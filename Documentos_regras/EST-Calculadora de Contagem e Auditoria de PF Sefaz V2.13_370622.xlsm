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ommentsmeta0" ContentType="application/binary"/>
  <Override PartName="/xl/commentsmeta3" ContentType="application/binary"/>
  <Override PartName="/xl/commentsmeta2"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C:\Users\watso\Desktop\Td\SEFAZ\370622\"/>
    </mc:Choice>
  </mc:AlternateContent>
  <xr:revisionPtr revIDLastSave="0" documentId="13_ncr:1_{F4741EA0-4A6C-40A4-96BF-D3208BC83BF4}" xr6:coauthVersionLast="47" xr6:coauthVersionMax="47" xr10:uidLastSave="{00000000-0000-0000-0000-000000000000}"/>
  <workbookProtection workbookAlgorithmName="SHA-512" workbookHashValue="gwN5GphVC+g7TRl1uCh9qht63AI6Ci6Txt2hxDwVcBRkLj0ybUmBOjxxyL799/WBBVUoiGmsJ1n9HjKH5zKOtw==" workbookSaltValue="VRRaAbRiryjgpuBdhuV1ww==" workbookSpinCount="100000" lockStructure="1"/>
  <bookViews>
    <workbookView xWindow="-120" yWindow="-120" windowWidth="20730" windowHeight="11040" activeTab="3" xr2:uid="{F174C936-8393-462E-BB84-F3B4E584F107}"/>
  </bookViews>
  <sheets>
    <sheet name="Resumo" sheetId="1" r:id="rId1"/>
    <sheet name="Contagem" sheetId="2" r:id="rId2"/>
    <sheet name="Faturamento" sheetId="10" r:id="rId3"/>
    <sheet name="SISP_Deflatores_e_INMs" sheetId="5" r:id="rId4"/>
    <sheet name="QuadroResumo" sheetId="4" state="hidden" r:id="rId5"/>
    <sheet name="Instruções" sheetId="7" r:id="rId6"/>
    <sheet name="Historico" sheetId="8" r:id="rId7"/>
    <sheet name="Tabelas e Parametros" sheetId="9" state="hidden" r:id="rId8"/>
    <sheet name="Itens Não Mensuráveis" sheetId="3" state="hidden" r:id="rId9"/>
  </sheets>
  <definedNames>
    <definedName name="_xlnm._FilterDatabase" localSheetId="1" hidden="1">Contagem!$B$3:$AT$942</definedName>
    <definedName name="_xleta.N" hidden="1" xlm="1">#NAME?</definedName>
    <definedName name="_xleta.OR" hidden="1" xlm="1">#NAME?</definedName>
    <definedName name="_xleta.T" hidden="1" xlm="1">#NAME?</definedName>
    <definedName name="_xleta.TRIM" hidden="1" xlm="1">#NAME?</definedName>
    <definedName name="AF_Descr_AR_TR">Contagem!$AC:$AC</definedName>
    <definedName name="AF_Descr_DT">Contagem!$AA:$AA</definedName>
    <definedName name="AF_QTD_AR_TR">Contagem!$AB:$AB</definedName>
    <definedName name="AF_QTD_DT">Contagem!$Z:$Z</definedName>
    <definedName name="Area">Contagem!$B$4:$AT$941</definedName>
    <definedName name="Area_dados_faturamento">Faturamento!$B$6:$U$943</definedName>
    <definedName name="AreaFaturamentoTotal">Faturamento!$B$4:$U$943</definedName>
    <definedName name="Auto_faseA">Faturamento!$X$7</definedName>
    <definedName name="Auto_faseB">Faturamento!$Y$7</definedName>
    <definedName name="Auto_faseC">Faturamento!$Z$7</definedName>
    <definedName name="Auto_faseD">Faturamento!$AA$7</definedName>
    <definedName name="Auto_faseE">Faturamento!$AB$7</definedName>
    <definedName name="Auto_faseF">Faturamento!$AC$7</definedName>
    <definedName name="Auto_faseG">Faturamento!$AD$7</definedName>
    <definedName name="Auto_faseH">Faturamento!$AE$7</definedName>
    <definedName name="Cont_Audit">Contagem!$V$4:$AD$941</definedName>
    <definedName name="Cont_Fabrica">Contagem!$B$4:$K$941</definedName>
    <definedName name="Cont_Pareceres">Contagem!$AQ$4:$AT$941</definedName>
    <definedName name="Descr_AR_TR">Contagem!$I:$I</definedName>
    <definedName name="Descr_TD">Contagem!$G:$G</definedName>
    <definedName name="Fase1">Faturamento!$D$6:$D$943</definedName>
    <definedName name="Fase2">Faturamento!$F$6:$F$943</definedName>
    <definedName name="Fase3">Faturamento!$H$6:$H$943</definedName>
    <definedName name="Fase4">Faturamento!$J$6:$J$943</definedName>
    <definedName name="Fase5">Faturamento!$L$6:$L$943</definedName>
    <definedName name="Fase6">Faturamento!$N$6:$N$943</definedName>
    <definedName name="Fase7">Faturamento!$P$6:$P$943</definedName>
    <definedName name="Fase8">Faturamento!$R$6:$R$943</definedName>
    <definedName name="ListaCTIS">SISP_Deflatores_e_INMs!$B$4:$B$35</definedName>
    <definedName name="Mnemonico">SISP_Deflatores_e_INMs!$B$4:$B$49</definedName>
    <definedName name="QTD_AR_TR">Contagem!$H:$H</definedName>
    <definedName name="QTD_TD">Contagem!$F:$F</definedName>
    <definedName name="SumarioFaturamento">Faturamento!$W$2:$AF$4</definedName>
    <definedName name="Tabela_Deflator">SISP_Deflatores_e_INMs!$B$4:$D$49</definedName>
    <definedName name="Tabela_INM">'Tabelas e Parametros'!$M$4:$M$6</definedName>
    <definedName name="Tabela_Pontuação">'Tabelas e Parametros'!$B$4:$C$27</definedName>
    <definedName name="Tabela_Sem_INM">'Tabelas e Parametros'!$N$4:$N$46</definedName>
    <definedName name="Tabela_Tipo">'Tabelas e Parametros'!$G$4:$G$11</definedName>
    <definedName name="Tipo_de_contagem">Resumo!$D$13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2" l="1"/>
  <c r="L5" i="2"/>
  <c r="L6" i="2"/>
  <c r="L7" i="2"/>
  <c r="L8" i="2"/>
  <c r="L9" i="2"/>
  <c r="L10" i="2"/>
  <c r="L11" i="2"/>
  <c r="L12" i="2"/>
  <c r="L13" i="2"/>
  <c r="L14" i="2"/>
  <c r="N4" i="9" a="1"/>
  <c r="N4" i="9" s="1"/>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L498" i="2"/>
  <c r="AL499" i="2"/>
  <c r="AL500" i="2"/>
  <c r="AL501" i="2"/>
  <c r="AL502" i="2"/>
  <c r="AL503" i="2"/>
  <c r="AL504" i="2"/>
  <c r="AL505" i="2"/>
  <c r="AL506" i="2"/>
  <c r="AL507" i="2"/>
  <c r="AL508" i="2"/>
  <c r="AL509" i="2"/>
  <c r="AL510" i="2"/>
  <c r="AL511" i="2"/>
  <c r="AL512" i="2"/>
  <c r="AL513" i="2"/>
  <c r="AL514" i="2"/>
  <c r="AL515" i="2"/>
  <c r="AL516" i="2"/>
  <c r="AL517" i="2"/>
  <c r="AL518" i="2"/>
  <c r="AL519" i="2"/>
  <c r="AL520" i="2"/>
  <c r="AL521" i="2"/>
  <c r="AL522" i="2"/>
  <c r="AL523" i="2"/>
  <c r="AL524" i="2"/>
  <c r="AL525" i="2"/>
  <c r="AL526" i="2"/>
  <c r="AL527" i="2"/>
  <c r="AL528" i="2"/>
  <c r="AL529" i="2"/>
  <c r="AL530" i="2"/>
  <c r="AL531" i="2"/>
  <c r="AL532" i="2"/>
  <c r="AL533" i="2"/>
  <c r="AL534" i="2"/>
  <c r="AL535" i="2"/>
  <c r="AL536" i="2"/>
  <c r="AL537" i="2"/>
  <c r="AL538" i="2"/>
  <c r="AL539" i="2"/>
  <c r="AL540" i="2"/>
  <c r="AL541" i="2"/>
  <c r="AL542" i="2"/>
  <c r="AL543" i="2"/>
  <c r="AL544" i="2"/>
  <c r="AL545" i="2"/>
  <c r="AL546" i="2"/>
  <c r="AL547" i="2"/>
  <c r="AL548" i="2"/>
  <c r="AL549" i="2"/>
  <c r="AL550" i="2"/>
  <c r="AL551" i="2"/>
  <c r="AL552" i="2"/>
  <c r="AL553" i="2"/>
  <c r="AL554" i="2"/>
  <c r="AL555" i="2"/>
  <c r="AL556" i="2"/>
  <c r="AL557" i="2"/>
  <c r="AL558" i="2"/>
  <c r="AL559" i="2"/>
  <c r="AL560" i="2"/>
  <c r="AL561" i="2"/>
  <c r="AL562" i="2"/>
  <c r="AL563" i="2"/>
  <c r="AL564" i="2"/>
  <c r="AL565" i="2"/>
  <c r="AL566" i="2"/>
  <c r="AL567" i="2"/>
  <c r="AL568" i="2"/>
  <c r="AL569" i="2"/>
  <c r="AL570" i="2"/>
  <c r="AL571" i="2"/>
  <c r="AL572" i="2"/>
  <c r="AL573" i="2"/>
  <c r="AL574" i="2"/>
  <c r="AL575" i="2"/>
  <c r="AL576" i="2"/>
  <c r="AL577" i="2"/>
  <c r="AL578" i="2"/>
  <c r="AL579" i="2"/>
  <c r="AL580" i="2"/>
  <c r="AL581" i="2"/>
  <c r="AL582" i="2"/>
  <c r="AL583" i="2"/>
  <c r="AL584" i="2"/>
  <c r="AL585" i="2"/>
  <c r="AL586" i="2"/>
  <c r="AL587" i="2"/>
  <c r="AL588" i="2"/>
  <c r="AL589" i="2"/>
  <c r="AL590" i="2"/>
  <c r="AL591" i="2"/>
  <c r="AL592" i="2"/>
  <c r="AL593" i="2"/>
  <c r="AL594" i="2"/>
  <c r="AL595" i="2"/>
  <c r="AL596" i="2"/>
  <c r="AL597" i="2"/>
  <c r="AL598" i="2"/>
  <c r="AL599" i="2"/>
  <c r="AL600" i="2"/>
  <c r="AL601" i="2"/>
  <c r="AL602" i="2"/>
  <c r="AL603" i="2"/>
  <c r="AL604" i="2"/>
  <c r="AL605" i="2"/>
  <c r="AL606" i="2"/>
  <c r="AL607" i="2"/>
  <c r="AL608" i="2"/>
  <c r="AL609" i="2"/>
  <c r="AL610" i="2"/>
  <c r="AL611" i="2"/>
  <c r="AL612" i="2"/>
  <c r="AL613" i="2"/>
  <c r="AL614" i="2"/>
  <c r="AL615" i="2"/>
  <c r="AL616" i="2"/>
  <c r="AL617" i="2"/>
  <c r="AL618" i="2"/>
  <c r="AL619" i="2"/>
  <c r="AL620" i="2"/>
  <c r="AL621" i="2"/>
  <c r="AL622" i="2"/>
  <c r="AL623" i="2"/>
  <c r="AL624" i="2"/>
  <c r="AL625" i="2"/>
  <c r="AL626" i="2"/>
  <c r="AL627" i="2"/>
  <c r="AL628" i="2"/>
  <c r="AL629" i="2"/>
  <c r="AL630" i="2"/>
  <c r="AL631" i="2"/>
  <c r="AL632" i="2"/>
  <c r="AL633" i="2"/>
  <c r="AL634" i="2"/>
  <c r="AL635" i="2"/>
  <c r="AL636" i="2"/>
  <c r="AL637" i="2"/>
  <c r="AL638" i="2"/>
  <c r="AL639" i="2"/>
  <c r="AL640" i="2"/>
  <c r="AL641" i="2"/>
  <c r="AL642" i="2"/>
  <c r="AL643" i="2"/>
  <c r="AL644" i="2"/>
  <c r="AL645" i="2"/>
  <c r="AL646" i="2"/>
  <c r="AL647" i="2"/>
  <c r="AL648" i="2"/>
  <c r="AL649" i="2"/>
  <c r="AL650" i="2"/>
  <c r="AL651" i="2"/>
  <c r="AL652" i="2"/>
  <c r="AL653" i="2"/>
  <c r="AL654" i="2"/>
  <c r="AL655" i="2"/>
  <c r="AL656" i="2"/>
  <c r="AL657" i="2"/>
  <c r="AL658" i="2"/>
  <c r="AL659" i="2"/>
  <c r="AL660" i="2"/>
  <c r="AL661" i="2"/>
  <c r="AL662" i="2"/>
  <c r="AL663" i="2"/>
  <c r="AL664" i="2"/>
  <c r="AL665" i="2"/>
  <c r="AL666" i="2"/>
  <c r="AL667" i="2"/>
  <c r="AL668" i="2"/>
  <c r="AL669" i="2"/>
  <c r="AL670" i="2"/>
  <c r="AL671" i="2"/>
  <c r="AL672" i="2"/>
  <c r="AL673" i="2"/>
  <c r="AL674" i="2"/>
  <c r="AL675" i="2"/>
  <c r="AL676" i="2"/>
  <c r="AL677" i="2"/>
  <c r="AL678" i="2"/>
  <c r="AL679" i="2"/>
  <c r="AL680" i="2"/>
  <c r="AL681" i="2"/>
  <c r="AL682" i="2"/>
  <c r="AL683" i="2"/>
  <c r="AL684" i="2"/>
  <c r="AL685" i="2"/>
  <c r="AL686" i="2"/>
  <c r="AL687" i="2"/>
  <c r="AL688" i="2"/>
  <c r="AL689" i="2"/>
  <c r="AL690" i="2"/>
  <c r="AL691" i="2"/>
  <c r="AL692" i="2"/>
  <c r="AL693" i="2"/>
  <c r="AL694" i="2"/>
  <c r="AL695" i="2"/>
  <c r="AL696" i="2"/>
  <c r="AL697" i="2"/>
  <c r="AL698" i="2"/>
  <c r="AL699" i="2"/>
  <c r="AL700" i="2"/>
  <c r="AL701" i="2"/>
  <c r="AL702" i="2"/>
  <c r="AL703" i="2"/>
  <c r="AL704" i="2"/>
  <c r="AL705" i="2"/>
  <c r="AL706" i="2"/>
  <c r="AL707" i="2"/>
  <c r="AL708" i="2"/>
  <c r="AL709" i="2"/>
  <c r="AL710" i="2"/>
  <c r="AL711" i="2"/>
  <c r="AL712" i="2"/>
  <c r="AL713" i="2"/>
  <c r="AL714" i="2"/>
  <c r="AL715" i="2"/>
  <c r="AL716" i="2"/>
  <c r="AL717" i="2"/>
  <c r="AL718" i="2"/>
  <c r="AL719" i="2"/>
  <c r="AL720" i="2"/>
  <c r="AL721" i="2"/>
  <c r="AL722" i="2"/>
  <c r="AL723" i="2"/>
  <c r="AL724" i="2"/>
  <c r="AL725" i="2"/>
  <c r="AL726" i="2"/>
  <c r="AL727" i="2"/>
  <c r="AL728" i="2"/>
  <c r="AL729" i="2"/>
  <c r="AL730" i="2"/>
  <c r="AL731" i="2"/>
  <c r="AL732" i="2"/>
  <c r="AL733" i="2"/>
  <c r="AL734" i="2"/>
  <c r="AL735" i="2"/>
  <c r="AL736" i="2"/>
  <c r="AL737" i="2"/>
  <c r="AL738" i="2"/>
  <c r="AL739" i="2"/>
  <c r="AL740" i="2"/>
  <c r="AL741" i="2"/>
  <c r="AL742" i="2"/>
  <c r="AL743" i="2"/>
  <c r="AL744" i="2"/>
  <c r="AL745" i="2"/>
  <c r="AL746" i="2"/>
  <c r="AL747" i="2"/>
  <c r="AL748" i="2"/>
  <c r="AL749" i="2"/>
  <c r="AL750" i="2"/>
  <c r="AL751" i="2"/>
  <c r="AL752" i="2"/>
  <c r="AL753" i="2"/>
  <c r="AL754" i="2"/>
  <c r="AL755" i="2"/>
  <c r="AL756" i="2"/>
  <c r="AL757" i="2"/>
  <c r="AL758" i="2"/>
  <c r="AL759" i="2"/>
  <c r="AL760" i="2"/>
  <c r="AL761" i="2"/>
  <c r="AL762" i="2"/>
  <c r="AL763" i="2"/>
  <c r="AL764" i="2"/>
  <c r="AL765" i="2"/>
  <c r="AL766" i="2"/>
  <c r="AL767" i="2"/>
  <c r="AL768" i="2"/>
  <c r="AL769" i="2"/>
  <c r="AL770" i="2"/>
  <c r="AL771" i="2"/>
  <c r="AL772" i="2"/>
  <c r="AL773" i="2"/>
  <c r="AL774" i="2"/>
  <c r="AL775" i="2"/>
  <c r="AL776" i="2"/>
  <c r="AL777" i="2"/>
  <c r="AL778" i="2"/>
  <c r="AL779" i="2"/>
  <c r="AL780" i="2"/>
  <c r="AL781" i="2"/>
  <c r="AL782" i="2"/>
  <c r="AL783" i="2"/>
  <c r="AL784" i="2"/>
  <c r="AL785" i="2"/>
  <c r="AL786" i="2"/>
  <c r="AL787" i="2"/>
  <c r="AL788" i="2"/>
  <c r="AL789" i="2"/>
  <c r="AL790" i="2"/>
  <c r="AL791" i="2"/>
  <c r="AL792" i="2"/>
  <c r="AL793" i="2"/>
  <c r="AL794" i="2"/>
  <c r="AL795" i="2"/>
  <c r="AL796" i="2"/>
  <c r="AL797" i="2"/>
  <c r="AL798" i="2"/>
  <c r="AL799" i="2"/>
  <c r="AL800" i="2"/>
  <c r="AL801" i="2"/>
  <c r="AL802" i="2"/>
  <c r="AL803" i="2"/>
  <c r="AL804" i="2"/>
  <c r="AL805" i="2"/>
  <c r="AL806" i="2"/>
  <c r="AL807" i="2"/>
  <c r="AL808" i="2"/>
  <c r="AL809" i="2"/>
  <c r="AL810" i="2"/>
  <c r="AL811" i="2"/>
  <c r="AL812" i="2"/>
  <c r="AL813" i="2"/>
  <c r="AL814" i="2"/>
  <c r="AL815" i="2"/>
  <c r="AL816" i="2"/>
  <c r="AL817" i="2"/>
  <c r="AL818" i="2"/>
  <c r="AL819" i="2"/>
  <c r="AL820" i="2"/>
  <c r="AL821" i="2"/>
  <c r="AL822" i="2"/>
  <c r="AL823" i="2"/>
  <c r="AL824" i="2"/>
  <c r="AL825" i="2"/>
  <c r="AL826" i="2"/>
  <c r="AL827" i="2"/>
  <c r="AL828" i="2"/>
  <c r="AL829" i="2"/>
  <c r="AL830" i="2"/>
  <c r="AL831" i="2"/>
  <c r="AL832" i="2"/>
  <c r="AL833" i="2"/>
  <c r="AL834" i="2"/>
  <c r="AL835" i="2"/>
  <c r="AL836" i="2"/>
  <c r="AL837" i="2"/>
  <c r="AL838" i="2"/>
  <c r="AL839" i="2"/>
  <c r="AL840" i="2"/>
  <c r="AL841" i="2"/>
  <c r="AL842" i="2"/>
  <c r="AL843" i="2"/>
  <c r="AL844" i="2"/>
  <c r="AL845" i="2"/>
  <c r="AL846" i="2"/>
  <c r="AL847" i="2"/>
  <c r="AL848" i="2"/>
  <c r="AL849" i="2"/>
  <c r="AL850" i="2"/>
  <c r="AL851" i="2"/>
  <c r="AL852" i="2"/>
  <c r="AL853" i="2"/>
  <c r="AL854" i="2"/>
  <c r="AL855" i="2"/>
  <c r="AL856" i="2"/>
  <c r="AL857" i="2"/>
  <c r="AL858" i="2"/>
  <c r="AL859" i="2"/>
  <c r="AL860" i="2"/>
  <c r="AL861" i="2"/>
  <c r="AL862" i="2"/>
  <c r="AL863" i="2"/>
  <c r="AL864" i="2"/>
  <c r="AL865" i="2"/>
  <c r="AL866" i="2"/>
  <c r="AL867" i="2"/>
  <c r="AL868" i="2"/>
  <c r="AL869" i="2"/>
  <c r="AL870" i="2"/>
  <c r="AL871" i="2"/>
  <c r="AL872" i="2"/>
  <c r="AL873" i="2"/>
  <c r="AL874" i="2"/>
  <c r="AL875" i="2"/>
  <c r="AL876" i="2"/>
  <c r="AL877" i="2"/>
  <c r="AL878" i="2"/>
  <c r="AL879" i="2"/>
  <c r="AL880" i="2"/>
  <c r="AL881" i="2"/>
  <c r="AL882" i="2"/>
  <c r="AL883" i="2"/>
  <c r="AL884" i="2"/>
  <c r="AL885" i="2"/>
  <c r="AL886" i="2"/>
  <c r="AL887" i="2"/>
  <c r="AL888" i="2"/>
  <c r="AL889" i="2"/>
  <c r="AL890" i="2"/>
  <c r="AL891" i="2"/>
  <c r="AL892" i="2"/>
  <c r="AL893" i="2"/>
  <c r="AL894" i="2"/>
  <c r="AL895" i="2"/>
  <c r="AL896" i="2"/>
  <c r="AL897" i="2"/>
  <c r="AL898" i="2"/>
  <c r="AL899" i="2"/>
  <c r="AL900" i="2"/>
  <c r="AL901" i="2"/>
  <c r="AL902" i="2"/>
  <c r="AL903" i="2"/>
  <c r="AL904" i="2"/>
  <c r="AL905" i="2"/>
  <c r="AL906" i="2"/>
  <c r="AL907" i="2"/>
  <c r="AL908" i="2"/>
  <c r="AL909" i="2"/>
  <c r="AL910" i="2"/>
  <c r="AL911" i="2"/>
  <c r="AL912" i="2"/>
  <c r="AL913" i="2"/>
  <c r="AL914" i="2"/>
  <c r="AL915" i="2"/>
  <c r="AL916" i="2"/>
  <c r="AL917" i="2"/>
  <c r="AL918" i="2"/>
  <c r="AL919" i="2"/>
  <c r="AL920" i="2"/>
  <c r="AL921" i="2"/>
  <c r="AL922" i="2"/>
  <c r="AL923" i="2"/>
  <c r="AL924" i="2"/>
  <c r="AL925" i="2"/>
  <c r="AL926" i="2"/>
  <c r="AL927" i="2"/>
  <c r="AL928" i="2"/>
  <c r="AL929" i="2"/>
  <c r="AL930" i="2"/>
  <c r="AL931" i="2"/>
  <c r="AL932" i="2"/>
  <c r="AL933" i="2"/>
  <c r="AL934" i="2"/>
  <c r="AL935" i="2"/>
  <c r="AL936" i="2"/>
  <c r="AL937" i="2"/>
  <c r="AL938" i="2"/>
  <c r="AL939" i="2"/>
  <c r="AL940" i="2"/>
  <c r="AL941" i="2"/>
  <c r="M13" i="4"/>
  <c r="O15" i="4"/>
  <c r="M15" i="4"/>
  <c r="O13" i="4"/>
  <c r="K6" i="4"/>
  <c r="K15" i="4"/>
  <c r="K13" i="4"/>
  <c r="O6" i="4"/>
  <c r="M6" i="4"/>
  <c r="B943" i="10"/>
  <c r="B942" i="10"/>
  <c r="K14" i="4" l="1"/>
  <c r="O14" i="4"/>
  <c r="M14" i="4"/>
  <c r="M7" i="4"/>
  <c r="O7" i="4"/>
  <c r="K7" i="4"/>
  <c r="D22" i="4"/>
  <c r="D24" i="4"/>
  <c r="D23" i="4"/>
  <c r="S18" i="2"/>
  <c r="T18" i="2"/>
  <c r="S54" i="2"/>
  <c r="T234" i="2"/>
  <c r="S270" i="2"/>
  <c r="S486" i="2"/>
  <c r="S548" i="2"/>
  <c r="S584" i="2"/>
  <c r="S620" i="2"/>
  <c r="S656" i="2"/>
  <c r="K24" i="9"/>
  <c r="K27" i="9"/>
  <c r="V2" i="2"/>
  <c r="N5" i="2"/>
  <c r="P5" i="2"/>
  <c r="Q5" i="2"/>
  <c r="AE5" i="2"/>
  <c r="AH5" i="2"/>
  <c r="AI5" i="2"/>
  <c r="N6" i="2"/>
  <c r="P6" i="2"/>
  <c r="Q6" i="2"/>
  <c r="AE6" i="2"/>
  <c r="AH6" i="2"/>
  <c r="AI6" i="2"/>
  <c r="N7" i="2"/>
  <c r="P7" i="2"/>
  <c r="Q7" i="2"/>
  <c r="AE7" i="2"/>
  <c r="AJ7" i="2" s="1"/>
  <c r="AH7" i="2"/>
  <c r="AI7" i="2"/>
  <c r="R8" i="2"/>
  <c r="N8" i="2"/>
  <c r="P8" i="2"/>
  <c r="Q8" i="2"/>
  <c r="AE8" i="2"/>
  <c r="AJ8" i="2" s="1"/>
  <c r="AH8" i="2"/>
  <c r="AI8" i="2"/>
  <c r="R9" i="2"/>
  <c r="N9" i="2"/>
  <c r="P9" i="2"/>
  <c r="Q9" i="2"/>
  <c r="AE9" i="2"/>
  <c r="AH9" i="2"/>
  <c r="AI9" i="2"/>
  <c r="R10" i="2"/>
  <c r="N10" i="2"/>
  <c r="P10" i="2"/>
  <c r="Q10" i="2"/>
  <c r="AE10" i="2"/>
  <c r="AJ10" i="2" s="1"/>
  <c r="AH10" i="2"/>
  <c r="AI10" i="2"/>
  <c r="R11" i="2"/>
  <c r="N11" i="2"/>
  <c r="P11" i="2"/>
  <c r="Q11" i="2"/>
  <c r="AE11" i="2"/>
  <c r="AH11" i="2"/>
  <c r="AI11" i="2"/>
  <c r="N12" i="2"/>
  <c r="P12" i="2"/>
  <c r="Q12" i="2"/>
  <c r="AE12" i="2"/>
  <c r="AJ12" i="2" s="1"/>
  <c r="AH12" i="2"/>
  <c r="AI12" i="2"/>
  <c r="N13" i="2"/>
  <c r="P13" i="2"/>
  <c r="Q13" i="2"/>
  <c r="AE13" i="2"/>
  <c r="AH13" i="2"/>
  <c r="AI13" i="2"/>
  <c r="R14" i="2"/>
  <c r="N14" i="2"/>
  <c r="P14" i="2"/>
  <c r="Q14" i="2"/>
  <c r="AE14" i="2"/>
  <c r="AJ14" i="2" s="1"/>
  <c r="AH14" i="2"/>
  <c r="AI14" i="2"/>
  <c r="L15" i="2"/>
  <c r="R15" i="2" s="1"/>
  <c r="N15" i="2"/>
  <c r="P15" i="2"/>
  <c r="Q15" i="2"/>
  <c r="AE15" i="2"/>
  <c r="AJ15" i="2" s="1"/>
  <c r="AH15" i="2"/>
  <c r="AI15" i="2"/>
  <c r="L16" i="2"/>
  <c r="R16" i="2" s="1"/>
  <c r="N16" i="2"/>
  <c r="P16" i="2"/>
  <c r="Q16" i="2"/>
  <c r="AE16" i="2"/>
  <c r="AH16" i="2"/>
  <c r="AI16" i="2"/>
  <c r="L17" i="2"/>
  <c r="R17" i="2" s="1"/>
  <c r="N17" i="2"/>
  <c r="P17" i="2"/>
  <c r="Q17" i="2"/>
  <c r="AE17" i="2"/>
  <c r="AH17" i="2"/>
  <c r="AI17" i="2"/>
  <c r="L18" i="2"/>
  <c r="N18" i="2"/>
  <c r="P18" i="2"/>
  <c r="Q18" i="2"/>
  <c r="AE18" i="2"/>
  <c r="AH18" i="2"/>
  <c r="AI18" i="2"/>
  <c r="L19" i="2"/>
  <c r="R19" i="2" s="1"/>
  <c r="N19" i="2"/>
  <c r="P19" i="2"/>
  <c r="Q19" i="2"/>
  <c r="AE19" i="2"/>
  <c r="AH19" i="2"/>
  <c r="AI19" i="2"/>
  <c r="L20" i="2"/>
  <c r="R20" i="2" s="1"/>
  <c r="N20" i="2"/>
  <c r="P20" i="2"/>
  <c r="Q20" i="2"/>
  <c r="AE20" i="2"/>
  <c r="AJ20" i="2" s="1"/>
  <c r="AH20" i="2"/>
  <c r="AI20" i="2"/>
  <c r="L21" i="2"/>
  <c r="R21" i="2" s="1"/>
  <c r="N21" i="2"/>
  <c r="P21" i="2"/>
  <c r="Q21" i="2"/>
  <c r="AE21" i="2"/>
  <c r="AJ21" i="2" s="1"/>
  <c r="AH21" i="2"/>
  <c r="AI21" i="2"/>
  <c r="L22" i="2"/>
  <c r="R22" i="2" s="1"/>
  <c r="N22" i="2"/>
  <c r="P22" i="2"/>
  <c r="Q22" i="2"/>
  <c r="AE22" i="2"/>
  <c r="AJ22" i="2" s="1"/>
  <c r="AH22" i="2"/>
  <c r="AI22" i="2"/>
  <c r="L23" i="2"/>
  <c r="R23" i="2" s="1"/>
  <c r="N23" i="2"/>
  <c r="P23" i="2"/>
  <c r="Q23" i="2"/>
  <c r="AE23" i="2"/>
  <c r="AH23" i="2"/>
  <c r="AI23" i="2"/>
  <c r="L24" i="2"/>
  <c r="R24" i="2" s="1"/>
  <c r="N24" i="2"/>
  <c r="P24" i="2"/>
  <c r="S24" i="2" s="1"/>
  <c r="Q24" i="2"/>
  <c r="AE24" i="2"/>
  <c r="AJ24" i="2" s="1"/>
  <c r="AH24" i="2"/>
  <c r="AI24" i="2"/>
  <c r="L25" i="2"/>
  <c r="R25" i="2" s="1"/>
  <c r="N25" i="2"/>
  <c r="P25" i="2"/>
  <c r="Q25" i="2"/>
  <c r="AE25" i="2"/>
  <c r="AH25" i="2"/>
  <c r="AI25" i="2"/>
  <c r="L26" i="2"/>
  <c r="R26" i="2" s="1"/>
  <c r="N26" i="2"/>
  <c r="P26" i="2"/>
  <c r="Q26" i="2"/>
  <c r="AE26" i="2"/>
  <c r="AJ26" i="2" s="1"/>
  <c r="AH26" i="2"/>
  <c r="AI26" i="2"/>
  <c r="L27" i="2"/>
  <c r="R27" i="2" s="1"/>
  <c r="N27" i="2"/>
  <c r="P27" i="2"/>
  <c r="Q27" i="2"/>
  <c r="AE27" i="2"/>
  <c r="AJ27" i="2" s="1"/>
  <c r="AH27" i="2"/>
  <c r="AI27" i="2"/>
  <c r="L28" i="2"/>
  <c r="R28" i="2" s="1"/>
  <c r="N28" i="2"/>
  <c r="P28" i="2"/>
  <c r="Q28" i="2"/>
  <c r="AE28" i="2"/>
  <c r="AH28" i="2"/>
  <c r="AI28" i="2"/>
  <c r="L29" i="2"/>
  <c r="N29" i="2"/>
  <c r="P29" i="2"/>
  <c r="Q29" i="2"/>
  <c r="AE29" i="2"/>
  <c r="AH29" i="2"/>
  <c r="AI29" i="2"/>
  <c r="L30" i="2"/>
  <c r="N30" i="2"/>
  <c r="P30" i="2"/>
  <c r="Q30" i="2"/>
  <c r="AE30" i="2"/>
  <c r="AJ30" i="2" s="1"/>
  <c r="AH30" i="2"/>
  <c r="AI30" i="2"/>
  <c r="L31" i="2"/>
  <c r="R31" i="2" s="1"/>
  <c r="N31" i="2"/>
  <c r="P31" i="2"/>
  <c r="Q31" i="2"/>
  <c r="AE31" i="2"/>
  <c r="AH31" i="2"/>
  <c r="AI31" i="2"/>
  <c r="L32" i="2"/>
  <c r="R32" i="2" s="1"/>
  <c r="N32" i="2"/>
  <c r="P32" i="2"/>
  <c r="Q32" i="2"/>
  <c r="AE32" i="2"/>
  <c r="AJ32" i="2" s="1"/>
  <c r="AH32" i="2"/>
  <c r="AI32" i="2"/>
  <c r="L33" i="2"/>
  <c r="R33" i="2" s="1"/>
  <c r="N33" i="2"/>
  <c r="P33" i="2"/>
  <c r="Q33" i="2"/>
  <c r="AE33" i="2"/>
  <c r="AJ33" i="2" s="1"/>
  <c r="AH33" i="2"/>
  <c r="AI33" i="2"/>
  <c r="L34" i="2"/>
  <c r="R34" i="2" s="1"/>
  <c r="N34" i="2"/>
  <c r="P34" i="2"/>
  <c r="Q34" i="2"/>
  <c r="AE34" i="2"/>
  <c r="AJ34" i="2" s="1"/>
  <c r="AH34" i="2"/>
  <c r="AI34" i="2"/>
  <c r="L35" i="2"/>
  <c r="N35" i="2"/>
  <c r="P35" i="2"/>
  <c r="Q35" i="2"/>
  <c r="AE35" i="2"/>
  <c r="AH35" i="2"/>
  <c r="AI35" i="2"/>
  <c r="L36" i="2"/>
  <c r="R36" i="2" s="1"/>
  <c r="N36" i="2"/>
  <c r="P36" i="2"/>
  <c r="Q36" i="2"/>
  <c r="AE36" i="2"/>
  <c r="AH36" i="2"/>
  <c r="AI36" i="2"/>
  <c r="L37" i="2"/>
  <c r="R37" i="2" s="1"/>
  <c r="N37" i="2"/>
  <c r="P37" i="2"/>
  <c r="Q37" i="2"/>
  <c r="AE37" i="2"/>
  <c r="AH37" i="2"/>
  <c r="AI37" i="2"/>
  <c r="L38" i="2"/>
  <c r="R38" i="2" s="1"/>
  <c r="N38" i="2"/>
  <c r="P38" i="2"/>
  <c r="Q38" i="2"/>
  <c r="AE38" i="2"/>
  <c r="AJ38" i="2" s="1"/>
  <c r="AH38" i="2"/>
  <c r="AI38" i="2"/>
  <c r="L39" i="2"/>
  <c r="R39" i="2" s="1"/>
  <c r="N39" i="2"/>
  <c r="P39" i="2"/>
  <c r="Q39" i="2"/>
  <c r="AE39" i="2"/>
  <c r="AJ39" i="2" s="1"/>
  <c r="AH39" i="2"/>
  <c r="AI39" i="2"/>
  <c r="L40" i="2"/>
  <c r="R40" i="2" s="1"/>
  <c r="N40" i="2"/>
  <c r="P40" i="2"/>
  <c r="Q40" i="2"/>
  <c r="AE40" i="2"/>
  <c r="AJ40" i="2" s="1"/>
  <c r="AH40" i="2"/>
  <c r="AI40" i="2"/>
  <c r="L41" i="2"/>
  <c r="R41" i="2" s="1"/>
  <c r="N41" i="2"/>
  <c r="P41" i="2"/>
  <c r="Q41" i="2"/>
  <c r="AE41" i="2"/>
  <c r="AH41" i="2"/>
  <c r="AI41" i="2"/>
  <c r="L42" i="2"/>
  <c r="N42" i="2"/>
  <c r="P42" i="2"/>
  <c r="Q42" i="2"/>
  <c r="AE42" i="2"/>
  <c r="AH42" i="2"/>
  <c r="AI42" i="2"/>
  <c r="L43" i="2"/>
  <c r="N43" i="2"/>
  <c r="P43" i="2"/>
  <c r="Q43" i="2"/>
  <c r="AE43" i="2"/>
  <c r="AH43" i="2"/>
  <c r="AI43" i="2"/>
  <c r="L44" i="2"/>
  <c r="R44" i="2" s="1"/>
  <c r="N44" i="2"/>
  <c r="P44" i="2"/>
  <c r="Q44" i="2"/>
  <c r="AE44" i="2"/>
  <c r="AJ44" i="2" s="1"/>
  <c r="AH44" i="2"/>
  <c r="AI44" i="2"/>
  <c r="L45" i="2"/>
  <c r="R45" i="2" s="1"/>
  <c r="N45" i="2"/>
  <c r="P45" i="2"/>
  <c r="Q45" i="2"/>
  <c r="AE45" i="2"/>
  <c r="AJ45" i="2" s="1"/>
  <c r="AH45" i="2"/>
  <c r="AI45" i="2"/>
  <c r="L46" i="2"/>
  <c r="R46" i="2" s="1"/>
  <c r="N46" i="2"/>
  <c r="P46" i="2"/>
  <c r="Q46" i="2"/>
  <c r="AE46" i="2"/>
  <c r="AH46" i="2"/>
  <c r="AI46" i="2"/>
  <c r="L47" i="2"/>
  <c r="N47" i="2"/>
  <c r="P47" i="2"/>
  <c r="Q47" i="2"/>
  <c r="AE47" i="2"/>
  <c r="AH47" i="2"/>
  <c r="AI47" i="2"/>
  <c r="L48" i="2"/>
  <c r="R48" i="2" s="1"/>
  <c r="N48" i="2"/>
  <c r="P48" i="2"/>
  <c r="Q48" i="2"/>
  <c r="AE48" i="2"/>
  <c r="AH48" i="2"/>
  <c r="AI48" i="2"/>
  <c r="L49" i="2"/>
  <c r="R49" i="2" s="1"/>
  <c r="N49" i="2"/>
  <c r="P49" i="2"/>
  <c r="Q49" i="2"/>
  <c r="AE49" i="2"/>
  <c r="AJ49" i="2" s="1"/>
  <c r="AH49" i="2"/>
  <c r="AI49" i="2"/>
  <c r="L50" i="2"/>
  <c r="R50" i="2" s="1"/>
  <c r="N50" i="2"/>
  <c r="P50" i="2"/>
  <c r="Q50" i="2"/>
  <c r="AE50" i="2"/>
  <c r="AJ50" i="2" s="1"/>
  <c r="AH50" i="2"/>
  <c r="AI50" i="2"/>
  <c r="L51" i="2"/>
  <c r="R51" i="2" s="1"/>
  <c r="N51" i="2"/>
  <c r="P51" i="2"/>
  <c r="Q51" i="2"/>
  <c r="AE51" i="2"/>
  <c r="AJ51" i="2" s="1"/>
  <c r="AH51" i="2"/>
  <c r="AI51" i="2"/>
  <c r="L52" i="2"/>
  <c r="R52" i="2" s="1"/>
  <c r="N52" i="2"/>
  <c r="P52" i="2"/>
  <c r="Q52" i="2"/>
  <c r="AE52" i="2"/>
  <c r="AJ52" i="2" s="1"/>
  <c r="AH52" i="2"/>
  <c r="AI52" i="2"/>
  <c r="L53" i="2"/>
  <c r="N53" i="2"/>
  <c r="P53" i="2"/>
  <c r="Q53" i="2"/>
  <c r="AE53" i="2"/>
  <c r="AJ53" i="2" s="1"/>
  <c r="AH53" i="2"/>
  <c r="AI53" i="2"/>
  <c r="L54" i="2"/>
  <c r="N54" i="2"/>
  <c r="P54" i="2"/>
  <c r="T54" i="2" s="1"/>
  <c r="Q54" i="2"/>
  <c r="AE54" i="2"/>
  <c r="AH54" i="2"/>
  <c r="AI54" i="2"/>
  <c r="L55" i="2"/>
  <c r="N55" i="2"/>
  <c r="P55" i="2"/>
  <c r="Q55" i="2"/>
  <c r="AE55" i="2"/>
  <c r="AH55" i="2"/>
  <c r="AI55" i="2"/>
  <c r="L56" i="2"/>
  <c r="R56" i="2" s="1"/>
  <c r="N56" i="2"/>
  <c r="P56" i="2"/>
  <c r="Q56" i="2"/>
  <c r="AE56" i="2"/>
  <c r="AJ56" i="2" s="1"/>
  <c r="AH56" i="2"/>
  <c r="AI56" i="2"/>
  <c r="L57" i="2"/>
  <c r="R57" i="2" s="1"/>
  <c r="N57" i="2"/>
  <c r="P57" i="2"/>
  <c r="Q57" i="2"/>
  <c r="AE57" i="2"/>
  <c r="AJ57" i="2" s="1"/>
  <c r="AH57" i="2"/>
  <c r="AI57" i="2"/>
  <c r="L58" i="2"/>
  <c r="R58" i="2" s="1"/>
  <c r="N58" i="2"/>
  <c r="P58" i="2"/>
  <c r="Q58" i="2"/>
  <c r="AE58" i="2"/>
  <c r="AH58" i="2"/>
  <c r="AI58" i="2"/>
  <c r="L59" i="2"/>
  <c r="R59" i="2" s="1"/>
  <c r="N59" i="2"/>
  <c r="P59" i="2"/>
  <c r="Q59" i="2"/>
  <c r="AE59" i="2"/>
  <c r="AH59" i="2"/>
  <c r="AI59" i="2"/>
  <c r="L60" i="2"/>
  <c r="N60" i="2"/>
  <c r="P60" i="2"/>
  <c r="Q60" i="2"/>
  <c r="AE60" i="2"/>
  <c r="AH60" i="2"/>
  <c r="AI60" i="2"/>
  <c r="L61" i="2"/>
  <c r="R61" i="2" s="1"/>
  <c r="N61" i="2"/>
  <c r="P61" i="2"/>
  <c r="Q61" i="2"/>
  <c r="AE61" i="2"/>
  <c r="AJ61" i="2" s="1"/>
  <c r="AH61" i="2"/>
  <c r="AI61" i="2"/>
  <c r="L62" i="2"/>
  <c r="N62" i="2"/>
  <c r="P62" i="2"/>
  <c r="Q62" i="2"/>
  <c r="AE62" i="2"/>
  <c r="AJ62" i="2" s="1"/>
  <c r="AH62" i="2"/>
  <c r="AI62" i="2"/>
  <c r="L63" i="2"/>
  <c r="R63" i="2" s="1"/>
  <c r="N63" i="2"/>
  <c r="P63" i="2"/>
  <c r="Q63" i="2"/>
  <c r="AE63" i="2"/>
  <c r="AJ63" i="2" s="1"/>
  <c r="AH63" i="2"/>
  <c r="AI63" i="2"/>
  <c r="L64" i="2"/>
  <c r="R64" i="2" s="1"/>
  <c r="N64" i="2"/>
  <c r="P64" i="2"/>
  <c r="Q64" i="2"/>
  <c r="AE64" i="2"/>
  <c r="AH64" i="2"/>
  <c r="AI64" i="2"/>
  <c r="L65" i="2"/>
  <c r="R65" i="2" s="1"/>
  <c r="N65" i="2"/>
  <c r="P65" i="2"/>
  <c r="Q65" i="2"/>
  <c r="AE65" i="2"/>
  <c r="AJ65" i="2" s="1"/>
  <c r="AH65" i="2"/>
  <c r="AI65" i="2"/>
  <c r="L66" i="2"/>
  <c r="N66" i="2"/>
  <c r="P66" i="2"/>
  <c r="Q66" i="2"/>
  <c r="AE66" i="2"/>
  <c r="AJ66" i="2" s="1"/>
  <c r="AH66" i="2"/>
  <c r="AI66" i="2"/>
  <c r="L67" i="2"/>
  <c r="R67" i="2" s="1"/>
  <c r="N67" i="2"/>
  <c r="P67" i="2"/>
  <c r="Q67" i="2"/>
  <c r="AE67" i="2"/>
  <c r="AJ67" i="2" s="1"/>
  <c r="AH67" i="2"/>
  <c r="AI67" i="2"/>
  <c r="L68" i="2"/>
  <c r="N68" i="2"/>
  <c r="P68" i="2"/>
  <c r="Q68" i="2"/>
  <c r="AE68" i="2"/>
  <c r="AJ68" i="2" s="1"/>
  <c r="AH68" i="2"/>
  <c r="AI68" i="2"/>
  <c r="L69" i="2"/>
  <c r="R69" i="2" s="1"/>
  <c r="N69" i="2"/>
  <c r="P69" i="2"/>
  <c r="Q69" i="2"/>
  <c r="AE69" i="2"/>
  <c r="AJ69" i="2" s="1"/>
  <c r="AH69" i="2"/>
  <c r="AI69" i="2"/>
  <c r="L70" i="2"/>
  <c r="R70" i="2" s="1"/>
  <c r="N70" i="2"/>
  <c r="P70" i="2"/>
  <c r="Q70" i="2"/>
  <c r="AE70" i="2"/>
  <c r="AH70" i="2"/>
  <c r="AI70" i="2"/>
  <c r="L71" i="2"/>
  <c r="R71" i="2" s="1"/>
  <c r="N71" i="2"/>
  <c r="P71" i="2"/>
  <c r="Q71" i="2"/>
  <c r="AE71" i="2"/>
  <c r="AH71" i="2"/>
  <c r="AI71" i="2"/>
  <c r="L72" i="2"/>
  <c r="N72" i="2"/>
  <c r="P72" i="2"/>
  <c r="Q72" i="2"/>
  <c r="AE72" i="2"/>
  <c r="AH72" i="2"/>
  <c r="AI72" i="2"/>
  <c r="L73" i="2"/>
  <c r="R73" i="2" s="1"/>
  <c r="N73" i="2"/>
  <c r="P73" i="2"/>
  <c r="Q73" i="2"/>
  <c r="AE73" i="2"/>
  <c r="AJ73" i="2" s="1"/>
  <c r="AH73" i="2"/>
  <c r="AI73" i="2"/>
  <c r="L74" i="2"/>
  <c r="R74" i="2" s="1"/>
  <c r="N74" i="2"/>
  <c r="P74" i="2"/>
  <c r="Q74" i="2"/>
  <c r="AE74" i="2"/>
  <c r="AJ74" i="2" s="1"/>
  <c r="AH74" i="2"/>
  <c r="AI74" i="2"/>
  <c r="L75" i="2"/>
  <c r="R75" i="2" s="1"/>
  <c r="N75" i="2"/>
  <c r="P75" i="2"/>
  <c r="Q75" i="2"/>
  <c r="AE75" i="2"/>
  <c r="AJ75" i="2" s="1"/>
  <c r="AH75" i="2"/>
  <c r="AI75" i="2"/>
  <c r="L76" i="2"/>
  <c r="R76" i="2" s="1"/>
  <c r="N76" i="2"/>
  <c r="P76" i="2"/>
  <c r="Q76" i="2"/>
  <c r="AE76" i="2"/>
  <c r="AJ76" i="2" s="1"/>
  <c r="AH76" i="2"/>
  <c r="AI76" i="2"/>
  <c r="L77" i="2"/>
  <c r="N77" i="2"/>
  <c r="P77" i="2"/>
  <c r="Q77" i="2"/>
  <c r="AE77" i="2"/>
  <c r="AJ77" i="2" s="1"/>
  <c r="AH77" i="2"/>
  <c r="AI77" i="2"/>
  <c r="L78" i="2"/>
  <c r="N78" i="2"/>
  <c r="P78" i="2"/>
  <c r="Q78" i="2"/>
  <c r="AE78" i="2"/>
  <c r="AJ78" i="2" s="1"/>
  <c r="AH78" i="2"/>
  <c r="AI78" i="2"/>
  <c r="L79" i="2"/>
  <c r="R79" i="2" s="1"/>
  <c r="N79" i="2"/>
  <c r="P79" i="2"/>
  <c r="Q79" i="2"/>
  <c r="AE79" i="2"/>
  <c r="AH79" i="2"/>
  <c r="AI79" i="2"/>
  <c r="L80" i="2"/>
  <c r="N80" i="2"/>
  <c r="P80" i="2"/>
  <c r="Q80" i="2"/>
  <c r="AE80" i="2"/>
  <c r="AJ80" i="2" s="1"/>
  <c r="AH80" i="2"/>
  <c r="AI80" i="2"/>
  <c r="L81" i="2"/>
  <c r="R81" i="2" s="1"/>
  <c r="N81" i="2"/>
  <c r="P81" i="2"/>
  <c r="Q81" i="2"/>
  <c r="AE81" i="2"/>
  <c r="AJ81" i="2" s="1"/>
  <c r="AH81" i="2"/>
  <c r="AI81" i="2"/>
  <c r="L82" i="2"/>
  <c r="N82" i="2"/>
  <c r="P82" i="2"/>
  <c r="Q82" i="2"/>
  <c r="AE82" i="2"/>
  <c r="AJ82" i="2" s="1"/>
  <c r="AH82" i="2"/>
  <c r="AI82" i="2"/>
  <c r="L83" i="2"/>
  <c r="N83" i="2"/>
  <c r="P83" i="2"/>
  <c r="Q83" i="2"/>
  <c r="AE83" i="2"/>
  <c r="AH83" i="2"/>
  <c r="AI83" i="2"/>
  <c r="L84" i="2"/>
  <c r="N84" i="2"/>
  <c r="P84" i="2"/>
  <c r="Q84" i="2"/>
  <c r="AE84" i="2"/>
  <c r="AH84" i="2"/>
  <c r="AI84" i="2"/>
  <c r="L85" i="2"/>
  <c r="N85" i="2"/>
  <c r="P85" i="2"/>
  <c r="Q85" i="2"/>
  <c r="AE85" i="2"/>
  <c r="AH85" i="2"/>
  <c r="AI85" i="2"/>
  <c r="L86" i="2"/>
  <c r="R86" i="2" s="1"/>
  <c r="N86" i="2"/>
  <c r="P86" i="2"/>
  <c r="Q86" i="2"/>
  <c r="AE86" i="2"/>
  <c r="AJ86" i="2" s="1"/>
  <c r="AH86" i="2"/>
  <c r="AI86" i="2"/>
  <c r="L87" i="2"/>
  <c r="R87" i="2" s="1"/>
  <c r="N87" i="2"/>
  <c r="P87" i="2"/>
  <c r="Q87" i="2"/>
  <c r="AE87" i="2"/>
  <c r="AJ87" i="2" s="1"/>
  <c r="AH87" i="2"/>
  <c r="AI87" i="2"/>
  <c r="L88" i="2"/>
  <c r="N88" i="2"/>
  <c r="P88" i="2"/>
  <c r="Q88" i="2"/>
  <c r="AE88" i="2"/>
  <c r="AJ88" i="2" s="1"/>
  <c r="AH88" i="2"/>
  <c r="AI88" i="2"/>
  <c r="L89" i="2"/>
  <c r="R89" i="2" s="1"/>
  <c r="N89" i="2"/>
  <c r="P89" i="2"/>
  <c r="Q89" i="2"/>
  <c r="AE89" i="2"/>
  <c r="AH89" i="2"/>
  <c r="AI89" i="2"/>
  <c r="L90" i="2"/>
  <c r="R90" i="2" s="1"/>
  <c r="N90" i="2"/>
  <c r="P90" i="2"/>
  <c r="S90" i="2" s="1"/>
  <c r="Q90" i="2"/>
  <c r="AE90" i="2"/>
  <c r="AH90" i="2"/>
  <c r="AI90" i="2"/>
  <c r="L91" i="2"/>
  <c r="R91" i="2" s="1"/>
  <c r="N91" i="2"/>
  <c r="P91" i="2"/>
  <c r="Q91" i="2"/>
  <c r="AE91" i="2"/>
  <c r="AJ91" i="2" s="1"/>
  <c r="AH91" i="2"/>
  <c r="AI91" i="2"/>
  <c r="L92" i="2"/>
  <c r="R92" i="2" s="1"/>
  <c r="N92" i="2"/>
  <c r="P92" i="2"/>
  <c r="Q92" i="2"/>
  <c r="AE92" i="2"/>
  <c r="AJ92" i="2" s="1"/>
  <c r="AH92" i="2"/>
  <c r="AI92" i="2"/>
  <c r="L93" i="2"/>
  <c r="R93" i="2" s="1"/>
  <c r="N93" i="2"/>
  <c r="P93" i="2"/>
  <c r="Q93" i="2"/>
  <c r="AE93" i="2"/>
  <c r="AH93" i="2"/>
  <c r="AI93" i="2"/>
  <c r="L94" i="2"/>
  <c r="R94" i="2" s="1"/>
  <c r="N94" i="2"/>
  <c r="P94" i="2"/>
  <c r="Q94" i="2"/>
  <c r="AE94" i="2"/>
  <c r="AH94" i="2"/>
  <c r="AI94" i="2"/>
  <c r="L95" i="2"/>
  <c r="N95" i="2"/>
  <c r="P95" i="2"/>
  <c r="Q95" i="2"/>
  <c r="AE95" i="2"/>
  <c r="AJ95" i="2" s="1"/>
  <c r="AH95" i="2"/>
  <c r="AI95" i="2"/>
  <c r="L96" i="2"/>
  <c r="N96" i="2"/>
  <c r="P96" i="2"/>
  <c r="Q96" i="2"/>
  <c r="AE96" i="2"/>
  <c r="AJ96" i="2" s="1"/>
  <c r="AH96" i="2"/>
  <c r="AI96" i="2"/>
  <c r="L97" i="2"/>
  <c r="N97" i="2"/>
  <c r="P97" i="2"/>
  <c r="Q97" i="2"/>
  <c r="AE97" i="2"/>
  <c r="AJ97" i="2" s="1"/>
  <c r="AH97" i="2"/>
  <c r="AI97" i="2"/>
  <c r="L98" i="2"/>
  <c r="N98" i="2"/>
  <c r="P98" i="2"/>
  <c r="Q98" i="2"/>
  <c r="AE98" i="2"/>
  <c r="AJ98" i="2" s="1"/>
  <c r="AH98" i="2"/>
  <c r="AI98" i="2"/>
  <c r="L99" i="2"/>
  <c r="R99" i="2" s="1"/>
  <c r="N99" i="2"/>
  <c r="P99" i="2"/>
  <c r="Q99" i="2"/>
  <c r="AE99" i="2"/>
  <c r="AH99" i="2"/>
  <c r="AI99" i="2"/>
  <c r="L100" i="2"/>
  <c r="N100" i="2"/>
  <c r="P100" i="2"/>
  <c r="Q100" i="2"/>
  <c r="AE100" i="2"/>
  <c r="AH100" i="2"/>
  <c r="AI100" i="2"/>
  <c r="L101" i="2"/>
  <c r="R101" i="2" s="1"/>
  <c r="N101" i="2"/>
  <c r="P101" i="2"/>
  <c r="Q101" i="2"/>
  <c r="AE101" i="2"/>
  <c r="AJ101" i="2" s="1"/>
  <c r="AH101" i="2"/>
  <c r="AI101" i="2"/>
  <c r="L102" i="2"/>
  <c r="R102" i="2" s="1"/>
  <c r="N102" i="2"/>
  <c r="P102" i="2"/>
  <c r="Q102" i="2"/>
  <c r="AE102" i="2"/>
  <c r="AH102" i="2"/>
  <c r="AI102" i="2"/>
  <c r="L103" i="2"/>
  <c r="R103" i="2" s="1"/>
  <c r="N103" i="2"/>
  <c r="P103" i="2"/>
  <c r="Q103" i="2"/>
  <c r="AE103" i="2"/>
  <c r="AH103" i="2"/>
  <c r="AI103" i="2"/>
  <c r="L104" i="2"/>
  <c r="N104" i="2"/>
  <c r="P104" i="2"/>
  <c r="Q104" i="2"/>
  <c r="AE104" i="2"/>
  <c r="AJ104" i="2" s="1"/>
  <c r="AH104" i="2"/>
  <c r="AI104" i="2"/>
  <c r="L105" i="2"/>
  <c r="R105" i="2" s="1"/>
  <c r="N105" i="2"/>
  <c r="P105" i="2"/>
  <c r="Q105" i="2"/>
  <c r="AE105" i="2"/>
  <c r="AJ105" i="2" s="1"/>
  <c r="AH105" i="2"/>
  <c r="AI105" i="2"/>
  <c r="L106" i="2"/>
  <c r="R106" i="2" s="1"/>
  <c r="N106" i="2"/>
  <c r="P106" i="2"/>
  <c r="Q106" i="2"/>
  <c r="AE106" i="2"/>
  <c r="AH106" i="2"/>
  <c r="AI106" i="2"/>
  <c r="L107" i="2"/>
  <c r="N107" i="2"/>
  <c r="P107" i="2"/>
  <c r="Q107" i="2"/>
  <c r="AE107" i="2"/>
  <c r="AJ107" i="2" s="1"/>
  <c r="AH107" i="2"/>
  <c r="AI107" i="2"/>
  <c r="L108" i="2"/>
  <c r="R108" i="2" s="1"/>
  <c r="N108" i="2"/>
  <c r="P108" i="2"/>
  <c r="Q108" i="2"/>
  <c r="AE108" i="2"/>
  <c r="AH108" i="2"/>
  <c r="AI108" i="2"/>
  <c r="L109" i="2"/>
  <c r="N109" i="2"/>
  <c r="P109" i="2"/>
  <c r="Q109" i="2"/>
  <c r="AE109" i="2"/>
  <c r="AH109" i="2"/>
  <c r="AI109" i="2"/>
  <c r="L110" i="2"/>
  <c r="R110" i="2" s="1"/>
  <c r="N110" i="2"/>
  <c r="P110" i="2"/>
  <c r="Q110" i="2"/>
  <c r="AE110" i="2"/>
  <c r="AJ110" i="2" s="1"/>
  <c r="AH110" i="2"/>
  <c r="AI110" i="2"/>
  <c r="L111" i="2"/>
  <c r="R111" i="2" s="1"/>
  <c r="N111" i="2"/>
  <c r="P111" i="2"/>
  <c r="Q111" i="2"/>
  <c r="AE111" i="2"/>
  <c r="AH111" i="2"/>
  <c r="AI111" i="2"/>
  <c r="L112" i="2"/>
  <c r="N112" i="2"/>
  <c r="P112" i="2"/>
  <c r="Q112" i="2"/>
  <c r="AE112" i="2"/>
  <c r="AH112" i="2"/>
  <c r="AI112" i="2"/>
  <c r="L113" i="2"/>
  <c r="R113" i="2" s="1"/>
  <c r="N113" i="2"/>
  <c r="P113" i="2"/>
  <c r="Q113" i="2"/>
  <c r="AE113" i="2"/>
  <c r="AH113" i="2"/>
  <c r="AI113" i="2"/>
  <c r="L114" i="2"/>
  <c r="N114" i="2"/>
  <c r="P114" i="2"/>
  <c r="Q114" i="2"/>
  <c r="AE114" i="2"/>
  <c r="AH114" i="2"/>
  <c r="AI114" i="2"/>
  <c r="L115" i="2"/>
  <c r="N115" i="2"/>
  <c r="P115" i="2"/>
  <c r="Q115" i="2"/>
  <c r="AE115" i="2"/>
  <c r="AH115" i="2"/>
  <c r="AI115" i="2"/>
  <c r="L116" i="2"/>
  <c r="R116" i="2" s="1"/>
  <c r="N116" i="2"/>
  <c r="P116" i="2"/>
  <c r="Q116" i="2"/>
  <c r="AE116" i="2"/>
  <c r="AJ116" i="2" s="1"/>
  <c r="AH116" i="2"/>
  <c r="AI116" i="2"/>
  <c r="L117" i="2"/>
  <c r="R117" i="2" s="1"/>
  <c r="N117" i="2"/>
  <c r="P117" i="2"/>
  <c r="Q117" i="2"/>
  <c r="AE117" i="2"/>
  <c r="AH117" i="2"/>
  <c r="AI117" i="2"/>
  <c r="L118" i="2"/>
  <c r="R118" i="2" s="1"/>
  <c r="N118" i="2"/>
  <c r="P118" i="2"/>
  <c r="Q118" i="2"/>
  <c r="AE118" i="2"/>
  <c r="AH118" i="2"/>
  <c r="AI118" i="2"/>
  <c r="L119" i="2"/>
  <c r="R119" i="2" s="1"/>
  <c r="N119" i="2"/>
  <c r="P119" i="2"/>
  <c r="Q119" i="2"/>
  <c r="AE119" i="2"/>
  <c r="AH119" i="2"/>
  <c r="AI119" i="2"/>
  <c r="L120" i="2"/>
  <c r="N120" i="2"/>
  <c r="P120" i="2"/>
  <c r="Q120" i="2"/>
  <c r="AE120" i="2"/>
  <c r="AH120" i="2"/>
  <c r="AI120" i="2"/>
  <c r="L121" i="2"/>
  <c r="N121" i="2"/>
  <c r="P121" i="2"/>
  <c r="Q121" i="2"/>
  <c r="AE121" i="2"/>
  <c r="AJ121" i="2" s="1"/>
  <c r="AH121" i="2"/>
  <c r="AI121" i="2"/>
  <c r="L122" i="2"/>
  <c r="N122" i="2"/>
  <c r="P122" i="2"/>
  <c r="Q122" i="2"/>
  <c r="AE122" i="2"/>
  <c r="AJ122" i="2" s="1"/>
  <c r="AH122" i="2"/>
  <c r="AI122" i="2"/>
  <c r="L123" i="2"/>
  <c r="R123" i="2" s="1"/>
  <c r="N123" i="2"/>
  <c r="P123" i="2"/>
  <c r="Q123" i="2"/>
  <c r="AE123" i="2"/>
  <c r="AJ123" i="2" s="1"/>
  <c r="AH123" i="2"/>
  <c r="AI123" i="2"/>
  <c r="L124" i="2"/>
  <c r="R124" i="2" s="1"/>
  <c r="N124" i="2"/>
  <c r="P124" i="2"/>
  <c r="Q124" i="2"/>
  <c r="AE124" i="2"/>
  <c r="AH124" i="2"/>
  <c r="AI124" i="2"/>
  <c r="L125" i="2"/>
  <c r="N125" i="2"/>
  <c r="P125" i="2"/>
  <c r="Q125" i="2"/>
  <c r="AE125" i="2"/>
  <c r="AH125" i="2"/>
  <c r="AI125" i="2"/>
  <c r="L126" i="2"/>
  <c r="N126" i="2"/>
  <c r="P126" i="2"/>
  <c r="S126" i="2" s="1"/>
  <c r="Q126" i="2"/>
  <c r="AE126" i="2"/>
  <c r="AJ126" i="2" s="1"/>
  <c r="AH126" i="2"/>
  <c r="AI126" i="2"/>
  <c r="L127" i="2"/>
  <c r="N127" i="2"/>
  <c r="P127" i="2"/>
  <c r="Q127" i="2"/>
  <c r="AE127" i="2"/>
  <c r="AJ127" i="2" s="1"/>
  <c r="AH127" i="2"/>
  <c r="AI127" i="2"/>
  <c r="L128" i="2"/>
  <c r="R128" i="2" s="1"/>
  <c r="N128" i="2"/>
  <c r="P128" i="2"/>
  <c r="Q128" i="2"/>
  <c r="AE128" i="2"/>
  <c r="AJ128" i="2" s="1"/>
  <c r="AH128" i="2"/>
  <c r="AI128" i="2"/>
  <c r="L129" i="2"/>
  <c r="R129" i="2" s="1"/>
  <c r="N129" i="2"/>
  <c r="P129" i="2"/>
  <c r="Q129" i="2"/>
  <c r="AE129" i="2"/>
  <c r="AJ129" i="2" s="1"/>
  <c r="AH129" i="2"/>
  <c r="AI129" i="2"/>
  <c r="L130" i="2"/>
  <c r="R130" i="2" s="1"/>
  <c r="N130" i="2"/>
  <c r="P130" i="2"/>
  <c r="Q130" i="2"/>
  <c r="AE130" i="2"/>
  <c r="AJ130" i="2" s="1"/>
  <c r="AH130" i="2"/>
  <c r="AI130" i="2"/>
  <c r="L131" i="2"/>
  <c r="R131" i="2" s="1"/>
  <c r="N131" i="2"/>
  <c r="P131" i="2"/>
  <c r="Q131" i="2"/>
  <c r="AE131" i="2"/>
  <c r="AJ131" i="2" s="1"/>
  <c r="AH131" i="2"/>
  <c r="AI131" i="2"/>
  <c r="L132" i="2"/>
  <c r="N132" i="2"/>
  <c r="P132" i="2"/>
  <c r="Q132" i="2"/>
  <c r="AE132" i="2"/>
  <c r="AH132" i="2"/>
  <c r="AI132" i="2"/>
  <c r="L133" i="2"/>
  <c r="R133" i="2" s="1"/>
  <c r="N133" i="2"/>
  <c r="P133" i="2"/>
  <c r="Q133" i="2"/>
  <c r="AE133" i="2"/>
  <c r="AH133" i="2"/>
  <c r="AI133" i="2"/>
  <c r="L134" i="2"/>
  <c r="N134" i="2"/>
  <c r="P134" i="2"/>
  <c r="Q134" i="2"/>
  <c r="AE134" i="2"/>
  <c r="AJ134" i="2" s="1"/>
  <c r="AH134" i="2"/>
  <c r="AI134" i="2"/>
  <c r="L135" i="2"/>
  <c r="R135" i="2" s="1"/>
  <c r="N135" i="2"/>
  <c r="P135" i="2"/>
  <c r="Q135" i="2"/>
  <c r="AE135" i="2"/>
  <c r="AJ135" i="2" s="1"/>
  <c r="AH135" i="2"/>
  <c r="AI135" i="2"/>
  <c r="L136" i="2"/>
  <c r="R136" i="2" s="1"/>
  <c r="N136" i="2"/>
  <c r="P136" i="2"/>
  <c r="Q136" i="2"/>
  <c r="AE136" i="2"/>
  <c r="AH136" i="2"/>
  <c r="AI136" i="2"/>
  <c r="L137" i="2"/>
  <c r="R137" i="2" s="1"/>
  <c r="N137" i="2"/>
  <c r="P137" i="2"/>
  <c r="Q137" i="2"/>
  <c r="AE137" i="2"/>
  <c r="AH137" i="2"/>
  <c r="AI137" i="2"/>
  <c r="L138" i="2"/>
  <c r="R138" i="2" s="1"/>
  <c r="N138" i="2"/>
  <c r="P138" i="2"/>
  <c r="Q138" i="2"/>
  <c r="AE138" i="2"/>
  <c r="AH138" i="2"/>
  <c r="AI138" i="2"/>
  <c r="L139" i="2"/>
  <c r="N139" i="2"/>
  <c r="P139" i="2"/>
  <c r="Q139" i="2"/>
  <c r="AE139" i="2"/>
  <c r="AJ139" i="2" s="1"/>
  <c r="AH139" i="2"/>
  <c r="AI139" i="2"/>
  <c r="L140" i="2"/>
  <c r="R140" i="2" s="1"/>
  <c r="N140" i="2"/>
  <c r="P140" i="2"/>
  <c r="Q140" i="2"/>
  <c r="AE140" i="2"/>
  <c r="AH140" i="2"/>
  <c r="AI140" i="2"/>
  <c r="L141" i="2"/>
  <c r="R141" i="2" s="1"/>
  <c r="N141" i="2"/>
  <c r="P141" i="2"/>
  <c r="Q141" i="2"/>
  <c r="AE141" i="2"/>
  <c r="AH141" i="2"/>
  <c r="AI141" i="2"/>
  <c r="L142" i="2"/>
  <c r="R142" i="2" s="1"/>
  <c r="N142" i="2"/>
  <c r="P142" i="2"/>
  <c r="Q142" i="2"/>
  <c r="AE142" i="2"/>
  <c r="AJ142" i="2" s="1"/>
  <c r="AH142" i="2"/>
  <c r="AI142" i="2"/>
  <c r="L143" i="2"/>
  <c r="R143" i="2" s="1"/>
  <c r="N143" i="2"/>
  <c r="P143" i="2"/>
  <c r="Q143" i="2"/>
  <c r="AE143" i="2"/>
  <c r="AH143" i="2"/>
  <c r="AI143" i="2"/>
  <c r="L144" i="2"/>
  <c r="R144" i="2" s="1"/>
  <c r="N144" i="2"/>
  <c r="P144" i="2"/>
  <c r="Q144" i="2"/>
  <c r="AE144" i="2"/>
  <c r="AH144" i="2"/>
  <c r="AI144" i="2"/>
  <c r="L145" i="2"/>
  <c r="N145" i="2"/>
  <c r="P145" i="2"/>
  <c r="Q145" i="2"/>
  <c r="AE145" i="2"/>
  <c r="AJ145" i="2" s="1"/>
  <c r="AH145" i="2"/>
  <c r="AI145" i="2"/>
  <c r="L146" i="2"/>
  <c r="R146" i="2" s="1"/>
  <c r="N146" i="2"/>
  <c r="P146" i="2"/>
  <c r="Q146" i="2"/>
  <c r="AE146" i="2"/>
  <c r="AH146" i="2"/>
  <c r="AI146" i="2"/>
  <c r="L147" i="2"/>
  <c r="R147" i="2" s="1"/>
  <c r="N147" i="2"/>
  <c r="P147" i="2"/>
  <c r="Q147" i="2"/>
  <c r="AE147" i="2"/>
  <c r="AH147" i="2"/>
  <c r="AI147" i="2"/>
  <c r="L148" i="2"/>
  <c r="N148" i="2"/>
  <c r="P148" i="2"/>
  <c r="Q148" i="2"/>
  <c r="AE148" i="2"/>
  <c r="AJ148" i="2" s="1"/>
  <c r="AH148" i="2"/>
  <c r="AI148" i="2"/>
  <c r="L149" i="2"/>
  <c r="R149" i="2" s="1"/>
  <c r="N149" i="2"/>
  <c r="P149" i="2"/>
  <c r="Q149" i="2"/>
  <c r="AE149" i="2"/>
  <c r="AJ149" i="2" s="1"/>
  <c r="AH149" i="2"/>
  <c r="AI149" i="2"/>
  <c r="L150" i="2"/>
  <c r="R150" i="2" s="1"/>
  <c r="N150" i="2"/>
  <c r="P150" i="2"/>
  <c r="Q150" i="2"/>
  <c r="AE150" i="2"/>
  <c r="AH150" i="2"/>
  <c r="AI150" i="2"/>
  <c r="L151" i="2"/>
  <c r="R151" i="2" s="1"/>
  <c r="N151" i="2"/>
  <c r="P151" i="2"/>
  <c r="Q151" i="2"/>
  <c r="AE151" i="2"/>
  <c r="AJ151" i="2" s="1"/>
  <c r="AH151" i="2"/>
  <c r="AI151" i="2"/>
  <c r="L152" i="2"/>
  <c r="R152" i="2" s="1"/>
  <c r="N152" i="2"/>
  <c r="P152" i="2"/>
  <c r="Q152" i="2"/>
  <c r="AE152" i="2"/>
  <c r="AH152" i="2"/>
  <c r="AI152" i="2"/>
  <c r="L153" i="2"/>
  <c r="N153" i="2"/>
  <c r="P153" i="2"/>
  <c r="Q153" i="2"/>
  <c r="AE153" i="2"/>
  <c r="AH153" i="2"/>
  <c r="AI153" i="2"/>
  <c r="L154" i="2"/>
  <c r="R154" i="2" s="1"/>
  <c r="N154" i="2"/>
  <c r="P154" i="2"/>
  <c r="Q154" i="2"/>
  <c r="AE154" i="2"/>
  <c r="AJ154" i="2" s="1"/>
  <c r="AH154" i="2"/>
  <c r="AI154" i="2"/>
  <c r="L155" i="2"/>
  <c r="N155" i="2"/>
  <c r="P155" i="2"/>
  <c r="Q155" i="2"/>
  <c r="AE155" i="2"/>
  <c r="AJ155" i="2" s="1"/>
  <c r="AH155" i="2"/>
  <c r="AI155" i="2"/>
  <c r="L156" i="2"/>
  <c r="R156" i="2" s="1"/>
  <c r="N156" i="2"/>
  <c r="P156" i="2"/>
  <c r="Q156" i="2"/>
  <c r="AE156" i="2"/>
  <c r="AJ156" i="2" s="1"/>
  <c r="AH156" i="2"/>
  <c r="AI156" i="2"/>
  <c r="L157" i="2"/>
  <c r="N157" i="2"/>
  <c r="P157" i="2"/>
  <c r="Q157" i="2"/>
  <c r="AE157" i="2"/>
  <c r="AJ157" i="2" s="1"/>
  <c r="AH157" i="2"/>
  <c r="AI157" i="2"/>
  <c r="L158" i="2"/>
  <c r="R158" i="2" s="1"/>
  <c r="N158" i="2"/>
  <c r="P158" i="2"/>
  <c r="Q158" i="2"/>
  <c r="AE158" i="2"/>
  <c r="AJ158" i="2" s="1"/>
  <c r="AH158" i="2"/>
  <c r="AI158" i="2"/>
  <c r="L159" i="2"/>
  <c r="R159" i="2" s="1"/>
  <c r="N159" i="2"/>
  <c r="P159" i="2"/>
  <c r="Q159" i="2"/>
  <c r="AE159" i="2"/>
  <c r="AH159" i="2"/>
  <c r="AI159" i="2"/>
  <c r="L160" i="2"/>
  <c r="R160" i="2" s="1"/>
  <c r="N160" i="2"/>
  <c r="P160" i="2"/>
  <c r="Q160" i="2"/>
  <c r="AE160" i="2"/>
  <c r="AH160" i="2"/>
  <c r="AI160" i="2"/>
  <c r="L161" i="2"/>
  <c r="R161" i="2" s="1"/>
  <c r="N161" i="2"/>
  <c r="P161" i="2"/>
  <c r="Q161" i="2"/>
  <c r="AE161" i="2"/>
  <c r="AH161" i="2"/>
  <c r="AI161" i="2"/>
  <c r="L162" i="2"/>
  <c r="R162" i="2" s="1"/>
  <c r="N162" i="2"/>
  <c r="P162" i="2"/>
  <c r="S162" i="2" s="1"/>
  <c r="Q162" i="2"/>
  <c r="AE162" i="2"/>
  <c r="AJ162" i="2" s="1"/>
  <c r="AH162" i="2"/>
  <c r="AI162" i="2"/>
  <c r="L163" i="2"/>
  <c r="R163" i="2" s="1"/>
  <c r="N163" i="2"/>
  <c r="P163" i="2"/>
  <c r="Q163" i="2"/>
  <c r="AE163" i="2"/>
  <c r="AJ163" i="2" s="1"/>
  <c r="AH163" i="2"/>
  <c r="AI163" i="2"/>
  <c r="L164" i="2"/>
  <c r="R164" i="2" s="1"/>
  <c r="N164" i="2"/>
  <c r="P164" i="2"/>
  <c r="Q164" i="2"/>
  <c r="AE164" i="2"/>
  <c r="AJ164" i="2" s="1"/>
  <c r="AH164" i="2"/>
  <c r="AI164" i="2"/>
  <c r="L165" i="2"/>
  <c r="R165" i="2" s="1"/>
  <c r="N165" i="2"/>
  <c r="P165" i="2"/>
  <c r="Q165" i="2"/>
  <c r="AE165" i="2"/>
  <c r="AH165" i="2"/>
  <c r="AI165" i="2"/>
  <c r="L166" i="2"/>
  <c r="N166" i="2"/>
  <c r="P166" i="2"/>
  <c r="Q166" i="2"/>
  <c r="AE166" i="2"/>
  <c r="AH166" i="2"/>
  <c r="AI166" i="2"/>
  <c r="L167" i="2"/>
  <c r="R167" i="2" s="1"/>
  <c r="N167" i="2"/>
  <c r="P167" i="2"/>
  <c r="Q167" i="2"/>
  <c r="AE167" i="2"/>
  <c r="AJ167" i="2" s="1"/>
  <c r="AH167" i="2"/>
  <c r="AI167" i="2"/>
  <c r="L168" i="2"/>
  <c r="R168" i="2" s="1"/>
  <c r="N168" i="2"/>
  <c r="P168" i="2"/>
  <c r="Q168" i="2"/>
  <c r="AE168" i="2"/>
  <c r="AJ168" i="2" s="1"/>
  <c r="AH168" i="2"/>
  <c r="AI168" i="2"/>
  <c r="L169" i="2"/>
  <c r="N169" i="2"/>
  <c r="P169" i="2"/>
  <c r="Q169" i="2"/>
  <c r="AE169" i="2"/>
  <c r="AJ169" i="2" s="1"/>
  <c r="AH169" i="2"/>
  <c r="AI169" i="2"/>
  <c r="L170" i="2"/>
  <c r="R170" i="2" s="1"/>
  <c r="N170" i="2"/>
  <c r="P170" i="2"/>
  <c r="Q170" i="2"/>
  <c r="AE170" i="2"/>
  <c r="AH170" i="2"/>
  <c r="AI170" i="2"/>
  <c r="L171" i="2"/>
  <c r="N171" i="2"/>
  <c r="P171" i="2"/>
  <c r="Q171" i="2"/>
  <c r="AE171" i="2"/>
  <c r="AH171" i="2"/>
  <c r="AI171" i="2"/>
  <c r="L172" i="2"/>
  <c r="R172" i="2" s="1"/>
  <c r="N172" i="2"/>
  <c r="P172" i="2"/>
  <c r="Q172" i="2"/>
  <c r="AE172" i="2"/>
  <c r="AH172" i="2"/>
  <c r="AI172" i="2"/>
  <c r="L173" i="2"/>
  <c r="N173" i="2"/>
  <c r="P173" i="2"/>
  <c r="Q173" i="2"/>
  <c r="AE173" i="2"/>
  <c r="AJ173" i="2" s="1"/>
  <c r="AH173" i="2"/>
  <c r="AI173" i="2"/>
  <c r="L174" i="2"/>
  <c r="R174" i="2" s="1"/>
  <c r="N174" i="2"/>
  <c r="P174" i="2"/>
  <c r="Q174" i="2"/>
  <c r="AE174" i="2"/>
  <c r="AJ174" i="2" s="1"/>
  <c r="AH174" i="2"/>
  <c r="AI174" i="2"/>
  <c r="L175" i="2"/>
  <c r="R175" i="2" s="1"/>
  <c r="N175" i="2"/>
  <c r="P175" i="2"/>
  <c r="Q175" i="2"/>
  <c r="AE175" i="2"/>
  <c r="AJ175" i="2" s="1"/>
  <c r="AH175" i="2"/>
  <c r="AI175" i="2"/>
  <c r="L176" i="2"/>
  <c r="R176" i="2" s="1"/>
  <c r="N176" i="2"/>
  <c r="P176" i="2"/>
  <c r="Q176" i="2"/>
  <c r="AE176" i="2"/>
  <c r="AJ176" i="2" s="1"/>
  <c r="AH176" i="2"/>
  <c r="AI176" i="2"/>
  <c r="L177" i="2"/>
  <c r="R177" i="2" s="1"/>
  <c r="N177" i="2"/>
  <c r="P177" i="2"/>
  <c r="Q177" i="2"/>
  <c r="AE177" i="2"/>
  <c r="AH177" i="2"/>
  <c r="AI177" i="2"/>
  <c r="L178" i="2"/>
  <c r="N178" i="2"/>
  <c r="P178" i="2"/>
  <c r="Q178" i="2"/>
  <c r="AE178" i="2"/>
  <c r="AH178" i="2"/>
  <c r="AI178" i="2"/>
  <c r="L179" i="2"/>
  <c r="N179" i="2"/>
  <c r="P179" i="2"/>
  <c r="Q179" i="2"/>
  <c r="AE179" i="2"/>
  <c r="AJ179" i="2" s="1"/>
  <c r="AH179" i="2"/>
  <c r="AI179" i="2"/>
  <c r="L180" i="2"/>
  <c r="R180" i="2" s="1"/>
  <c r="N180" i="2"/>
  <c r="P180" i="2"/>
  <c r="Q180" i="2"/>
  <c r="AE180" i="2"/>
  <c r="AJ180" i="2" s="1"/>
  <c r="AH180" i="2"/>
  <c r="AI180" i="2"/>
  <c r="L181" i="2"/>
  <c r="N181" i="2"/>
  <c r="P181" i="2"/>
  <c r="Q181" i="2"/>
  <c r="AE181" i="2"/>
  <c r="AJ181" i="2" s="1"/>
  <c r="AH181" i="2"/>
  <c r="AI181" i="2"/>
  <c r="L182" i="2"/>
  <c r="R182" i="2" s="1"/>
  <c r="N182" i="2"/>
  <c r="P182" i="2"/>
  <c r="Q182" i="2"/>
  <c r="AE182" i="2"/>
  <c r="AJ182" i="2" s="1"/>
  <c r="AH182" i="2"/>
  <c r="AI182" i="2"/>
  <c r="L183" i="2"/>
  <c r="R183" i="2" s="1"/>
  <c r="N183" i="2"/>
  <c r="P183" i="2"/>
  <c r="Q183" i="2"/>
  <c r="AE183" i="2"/>
  <c r="AJ183" i="2" s="1"/>
  <c r="AH183" i="2"/>
  <c r="AI183" i="2"/>
  <c r="L184" i="2"/>
  <c r="N184" i="2"/>
  <c r="P184" i="2"/>
  <c r="Q184" i="2"/>
  <c r="AE184" i="2"/>
  <c r="AH184" i="2"/>
  <c r="AI184" i="2"/>
  <c r="L185" i="2"/>
  <c r="R185" i="2" s="1"/>
  <c r="N185" i="2"/>
  <c r="P185" i="2"/>
  <c r="Q185" i="2"/>
  <c r="AE185" i="2"/>
  <c r="AJ185" i="2" s="1"/>
  <c r="AH185" i="2"/>
  <c r="AI185" i="2"/>
  <c r="L186" i="2"/>
  <c r="R186" i="2" s="1"/>
  <c r="N186" i="2"/>
  <c r="P186" i="2"/>
  <c r="Q186" i="2"/>
  <c r="AE186" i="2"/>
  <c r="AH186" i="2"/>
  <c r="AI186" i="2"/>
  <c r="L187" i="2"/>
  <c r="R187" i="2" s="1"/>
  <c r="N187" i="2"/>
  <c r="P187" i="2"/>
  <c r="Q187" i="2"/>
  <c r="AE187" i="2"/>
  <c r="AJ187" i="2" s="1"/>
  <c r="AH187" i="2"/>
  <c r="AI187" i="2"/>
  <c r="L188" i="2"/>
  <c r="R188" i="2" s="1"/>
  <c r="N188" i="2"/>
  <c r="P188" i="2"/>
  <c r="Q188" i="2"/>
  <c r="AE188" i="2"/>
  <c r="AH188" i="2"/>
  <c r="AI188" i="2"/>
  <c r="L189" i="2"/>
  <c r="R189" i="2" s="1"/>
  <c r="N189" i="2"/>
  <c r="P189" i="2"/>
  <c r="Q189" i="2"/>
  <c r="AE189" i="2"/>
  <c r="AJ189" i="2" s="1"/>
  <c r="AH189" i="2"/>
  <c r="AI189" i="2"/>
  <c r="L190" i="2"/>
  <c r="N190" i="2"/>
  <c r="P190" i="2"/>
  <c r="Q190" i="2"/>
  <c r="AE190" i="2"/>
  <c r="AJ190" i="2" s="1"/>
  <c r="AH190" i="2"/>
  <c r="AI190" i="2"/>
  <c r="L191" i="2"/>
  <c r="R191" i="2" s="1"/>
  <c r="N191" i="2"/>
  <c r="P191" i="2"/>
  <c r="Q191" i="2"/>
  <c r="AE191" i="2"/>
  <c r="AH191" i="2"/>
  <c r="AI191" i="2"/>
  <c r="L192" i="2"/>
  <c r="R192" i="2" s="1"/>
  <c r="N192" i="2"/>
  <c r="P192" i="2"/>
  <c r="Q192" i="2"/>
  <c r="AE192" i="2"/>
  <c r="AH192" i="2"/>
  <c r="AI192" i="2"/>
  <c r="L193" i="2"/>
  <c r="R193" i="2" s="1"/>
  <c r="N193" i="2"/>
  <c r="P193" i="2"/>
  <c r="Q193" i="2"/>
  <c r="AE193" i="2"/>
  <c r="AJ193" i="2" s="1"/>
  <c r="AH193" i="2"/>
  <c r="AI193" i="2"/>
  <c r="L194" i="2"/>
  <c r="R194" i="2" s="1"/>
  <c r="N194" i="2"/>
  <c r="P194" i="2"/>
  <c r="Q194" i="2"/>
  <c r="AE194" i="2"/>
  <c r="AH194" i="2"/>
  <c r="AI194" i="2"/>
  <c r="L195" i="2"/>
  <c r="R195" i="2" s="1"/>
  <c r="N195" i="2"/>
  <c r="P195" i="2"/>
  <c r="Q195" i="2"/>
  <c r="AE195" i="2"/>
  <c r="AJ195" i="2" s="1"/>
  <c r="AH195" i="2"/>
  <c r="AI195" i="2"/>
  <c r="L196" i="2"/>
  <c r="R196" i="2" s="1"/>
  <c r="N196" i="2"/>
  <c r="P196" i="2"/>
  <c r="Q196" i="2"/>
  <c r="AE196" i="2"/>
  <c r="AJ196" i="2" s="1"/>
  <c r="AH196" i="2"/>
  <c r="AI196" i="2"/>
  <c r="L197" i="2"/>
  <c r="R197" i="2" s="1"/>
  <c r="N197" i="2"/>
  <c r="P197" i="2"/>
  <c r="Q197" i="2"/>
  <c r="AE197" i="2"/>
  <c r="AH197" i="2"/>
  <c r="AI197" i="2"/>
  <c r="L198" i="2"/>
  <c r="R198" i="2" s="1"/>
  <c r="N198" i="2"/>
  <c r="P198" i="2"/>
  <c r="S198" i="2" s="1"/>
  <c r="Q198" i="2"/>
  <c r="AE198" i="2"/>
  <c r="AH198" i="2"/>
  <c r="AI198" i="2"/>
  <c r="L199" i="2"/>
  <c r="R199" i="2" s="1"/>
  <c r="N199" i="2"/>
  <c r="P199" i="2"/>
  <c r="Q199" i="2"/>
  <c r="AE199" i="2"/>
  <c r="AJ199" i="2" s="1"/>
  <c r="AH199" i="2"/>
  <c r="AI199" i="2"/>
  <c r="L200" i="2"/>
  <c r="R200" i="2" s="1"/>
  <c r="N200" i="2"/>
  <c r="P200" i="2"/>
  <c r="Q200" i="2"/>
  <c r="AE200" i="2"/>
  <c r="AH200" i="2"/>
  <c r="AI200" i="2"/>
  <c r="L201" i="2"/>
  <c r="R201" i="2" s="1"/>
  <c r="N201" i="2"/>
  <c r="P201" i="2"/>
  <c r="Q201" i="2"/>
  <c r="AE201" i="2"/>
  <c r="AJ201" i="2" s="1"/>
  <c r="AH201" i="2"/>
  <c r="AI201" i="2"/>
  <c r="L202" i="2"/>
  <c r="N202" i="2"/>
  <c r="P202" i="2"/>
  <c r="Q202" i="2"/>
  <c r="AE202" i="2"/>
  <c r="AJ202" i="2" s="1"/>
  <c r="AH202" i="2"/>
  <c r="AI202" i="2"/>
  <c r="L203" i="2"/>
  <c r="R203" i="2" s="1"/>
  <c r="N203" i="2"/>
  <c r="P203" i="2"/>
  <c r="Q203" i="2"/>
  <c r="AE203" i="2"/>
  <c r="AJ203" i="2" s="1"/>
  <c r="AH203" i="2"/>
  <c r="AI203" i="2"/>
  <c r="L204" i="2"/>
  <c r="R204" i="2" s="1"/>
  <c r="N204" i="2"/>
  <c r="P204" i="2"/>
  <c r="Q204" i="2"/>
  <c r="AE204" i="2"/>
  <c r="AH204" i="2"/>
  <c r="AI204" i="2"/>
  <c r="L205" i="2"/>
  <c r="R205" i="2" s="1"/>
  <c r="N205" i="2"/>
  <c r="P205" i="2"/>
  <c r="Q205" i="2"/>
  <c r="AE205" i="2"/>
  <c r="AJ205" i="2" s="1"/>
  <c r="AH205" i="2"/>
  <c r="AI205" i="2"/>
  <c r="L206" i="2"/>
  <c r="R206" i="2" s="1"/>
  <c r="N206" i="2"/>
  <c r="P206" i="2"/>
  <c r="Q206" i="2"/>
  <c r="AE206" i="2"/>
  <c r="AJ206" i="2" s="1"/>
  <c r="AH206" i="2"/>
  <c r="AI206" i="2"/>
  <c r="L207" i="2"/>
  <c r="R207" i="2" s="1"/>
  <c r="N207" i="2"/>
  <c r="P207" i="2"/>
  <c r="Q207" i="2"/>
  <c r="AE207" i="2"/>
  <c r="AJ207" i="2" s="1"/>
  <c r="AH207" i="2"/>
  <c r="AI207" i="2"/>
  <c r="L208" i="2"/>
  <c r="N208" i="2"/>
  <c r="P208" i="2"/>
  <c r="Q208" i="2"/>
  <c r="AE208" i="2"/>
  <c r="AH208" i="2"/>
  <c r="AI208" i="2"/>
  <c r="L209" i="2"/>
  <c r="N209" i="2"/>
  <c r="P209" i="2"/>
  <c r="Q209" i="2"/>
  <c r="AE209" i="2"/>
  <c r="AH209" i="2"/>
  <c r="AI209" i="2"/>
  <c r="L210" i="2"/>
  <c r="R210" i="2" s="1"/>
  <c r="N210" i="2"/>
  <c r="P210" i="2"/>
  <c r="Q210" i="2"/>
  <c r="AE210" i="2"/>
  <c r="AJ210" i="2" s="1"/>
  <c r="AH210" i="2"/>
  <c r="AI210" i="2"/>
  <c r="L211" i="2"/>
  <c r="R211" i="2" s="1"/>
  <c r="N211" i="2"/>
  <c r="P211" i="2"/>
  <c r="Q211" i="2"/>
  <c r="AE211" i="2"/>
  <c r="AJ211" i="2" s="1"/>
  <c r="AH211" i="2"/>
  <c r="AI211" i="2"/>
  <c r="L212" i="2"/>
  <c r="R212" i="2" s="1"/>
  <c r="N212" i="2"/>
  <c r="P212" i="2"/>
  <c r="Q212" i="2"/>
  <c r="AE212" i="2"/>
  <c r="AJ212" i="2" s="1"/>
  <c r="AH212" i="2"/>
  <c r="AI212" i="2"/>
  <c r="L213" i="2"/>
  <c r="R213" i="2" s="1"/>
  <c r="N213" i="2"/>
  <c r="P213" i="2"/>
  <c r="Q213" i="2"/>
  <c r="AE213" i="2"/>
  <c r="AH213" i="2"/>
  <c r="AI213" i="2"/>
  <c r="L214" i="2"/>
  <c r="R214" i="2" s="1"/>
  <c r="N214" i="2"/>
  <c r="P214" i="2"/>
  <c r="Q214" i="2"/>
  <c r="AE214" i="2"/>
  <c r="AJ214" i="2" s="1"/>
  <c r="AH214" i="2"/>
  <c r="AI214" i="2"/>
  <c r="L215" i="2"/>
  <c r="R215" i="2" s="1"/>
  <c r="N215" i="2"/>
  <c r="P215" i="2"/>
  <c r="Q215" i="2"/>
  <c r="AE215" i="2"/>
  <c r="AJ215" i="2" s="1"/>
  <c r="AH215" i="2"/>
  <c r="AI215" i="2"/>
  <c r="L216" i="2"/>
  <c r="N216" i="2"/>
  <c r="P216" i="2"/>
  <c r="Q216" i="2"/>
  <c r="AE216" i="2"/>
  <c r="AH216" i="2"/>
  <c r="AI216" i="2"/>
  <c r="L217" i="2"/>
  <c r="R217" i="2" s="1"/>
  <c r="N217" i="2"/>
  <c r="P217" i="2"/>
  <c r="Q217" i="2"/>
  <c r="AE217" i="2"/>
  <c r="AJ217" i="2" s="1"/>
  <c r="AH217" i="2"/>
  <c r="AI217" i="2"/>
  <c r="L218" i="2"/>
  <c r="R218" i="2" s="1"/>
  <c r="N218" i="2"/>
  <c r="P218" i="2"/>
  <c r="Q218" i="2"/>
  <c r="AE218" i="2"/>
  <c r="AJ218" i="2" s="1"/>
  <c r="AH218" i="2"/>
  <c r="AI218" i="2"/>
  <c r="L219" i="2"/>
  <c r="R219" i="2" s="1"/>
  <c r="N219" i="2"/>
  <c r="P219" i="2"/>
  <c r="Q219" i="2"/>
  <c r="AE219" i="2"/>
  <c r="AJ219" i="2" s="1"/>
  <c r="AH219" i="2"/>
  <c r="AI219" i="2"/>
  <c r="L220" i="2"/>
  <c r="R220" i="2" s="1"/>
  <c r="N220" i="2"/>
  <c r="P220" i="2"/>
  <c r="Q220" i="2"/>
  <c r="AE220" i="2"/>
  <c r="AJ220" i="2" s="1"/>
  <c r="AH220" i="2"/>
  <c r="AI220" i="2"/>
  <c r="L221" i="2"/>
  <c r="N221" i="2"/>
  <c r="P221" i="2"/>
  <c r="Q221" i="2"/>
  <c r="AE221" i="2"/>
  <c r="AJ221" i="2" s="1"/>
  <c r="AH221" i="2"/>
  <c r="AI221" i="2"/>
  <c r="L222" i="2"/>
  <c r="N222" i="2"/>
  <c r="P222" i="2"/>
  <c r="Q222" i="2"/>
  <c r="AE222" i="2"/>
  <c r="AJ222" i="2" s="1"/>
  <c r="AH222" i="2"/>
  <c r="AI222" i="2"/>
  <c r="L223" i="2"/>
  <c r="R223" i="2" s="1"/>
  <c r="N223" i="2"/>
  <c r="P223" i="2"/>
  <c r="Q223" i="2"/>
  <c r="AE223" i="2"/>
  <c r="AJ223" i="2" s="1"/>
  <c r="AH223" i="2"/>
  <c r="AI223" i="2"/>
  <c r="L224" i="2"/>
  <c r="N224" i="2"/>
  <c r="P224" i="2"/>
  <c r="Q224" i="2"/>
  <c r="AE224" i="2"/>
  <c r="AH224" i="2"/>
  <c r="AI224" i="2"/>
  <c r="L225" i="2"/>
  <c r="N225" i="2"/>
  <c r="P225" i="2"/>
  <c r="Q225" i="2"/>
  <c r="AE225" i="2"/>
  <c r="AJ225" i="2" s="1"/>
  <c r="AH225" i="2"/>
  <c r="AI225" i="2"/>
  <c r="L226" i="2"/>
  <c r="N226" i="2"/>
  <c r="P226" i="2"/>
  <c r="Q226" i="2"/>
  <c r="AE226" i="2"/>
  <c r="AJ226" i="2" s="1"/>
  <c r="AH226" i="2"/>
  <c r="AI226" i="2"/>
  <c r="L227" i="2"/>
  <c r="N227" i="2"/>
  <c r="P227" i="2"/>
  <c r="Q227" i="2"/>
  <c r="AE227" i="2"/>
  <c r="AJ227" i="2" s="1"/>
  <c r="AH227" i="2"/>
  <c r="AI227" i="2"/>
  <c r="L228" i="2"/>
  <c r="R228" i="2" s="1"/>
  <c r="N228" i="2"/>
  <c r="P228" i="2"/>
  <c r="Q228" i="2"/>
  <c r="AE228" i="2"/>
  <c r="AJ228" i="2" s="1"/>
  <c r="AH228" i="2"/>
  <c r="AI228" i="2"/>
  <c r="L229" i="2"/>
  <c r="N229" i="2"/>
  <c r="P229" i="2"/>
  <c r="Q229" i="2"/>
  <c r="AE229" i="2"/>
  <c r="AJ229" i="2" s="1"/>
  <c r="AH229" i="2"/>
  <c r="AI229" i="2"/>
  <c r="L230" i="2"/>
  <c r="N230" i="2"/>
  <c r="P230" i="2"/>
  <c r="Q230" i="2"/>
  <c r="AE230" i="2"/>
  <c r="AJ230" i="2" s="1"/>
  <c r="AH230" i="2"/>
  <c r="AI230" i="2"/>
  <c r="L231" i="2"/>
  <c r="R231" i="2" s="1"/>
  <c r="N231" i="2"/>
  <c r="P231" i="2"/>
  <c r="Q231" i="2"/>
  <c r="AE231" i="2"/>
  <c r="AH231" i="2"/>
  <c r="AI231" i="2"/>
  <c r="L232" i="2"/>
  <c r="R232" i="2" s="1"/>
  <c r="N232" i="2"/>
  <c r="P232" i="2"/>
  <c r="Q232" i="2"/>
  <c r="AE232" i="2"/>
  <c r="AH232" i="2"/>
  <c r="AI232" i="2"/>
  <c r="L233" i="2"/>
  <c r="R233" i="2" s="1"/>
  <c r="N233" i="2"/>
  <c r="P233" i="2"/>
  <c r="Q233" i="2"/>
  <c r="AE233" i="2"/>
  <c r="AH233" i="2"/>
  <c r="AI233" i="2"/>
  <c r="L234" i="2"/>
  <c r="R234" i="2" s="1"/>
  <c r="N234" i="2"/>
  <c r="P234" i="2"/>
  <c r="S234" i="2" s="1"/>
  <c r="Q234" i="2"/>
  <c r="AE234" i="2"/>
  <c r="AJ234" i="2" s="1"/>
  <c r="AH234" i="2"/>
  <c r="AI234" i="2"/>
  <c r="L235" i="2"/>
  <c r="R235" i="2" s="1"/>
  <c r="N235" i="2"/>
  <c r="P235" i="2"/>
  <c r="Q235" i="2"/>
  <c r="AE235" i="2"/>
  <c r="AJ235" i="2" s="1"/>
  <c r="AH235" i="2"/>
  <c r="AI235" i="2"/>
  <c r="L236" i="2"/>
  <c r="R236" i="2" s="1"/>
  <c r="N236" i="2"/>
  <c r="P236" i="2"/>
  <c r="Q236" i="2"/>
  <c r="AE236" i="2"/>
  <c r="AH236" i="2"/>
  <c r="AI236" i="2"/>
  <c r="L237" i="2"/>
  <c r="R237" i="2" s="1"/>
  <c r="N237" i="2"/>
  <c r="P237" i="2"/>
  <c r="Q237" i="2"/>
  <c r="AE237" i="2"/>
  <c r="AJ237" i="2" s="1"/>
  <c r="AH237" i="2"/>
  <c r="AI237" i="2"/>
  <c r="L238" i="2"/>
  <c r="R238" i="2" s="1"/>
  <c r="N238" i="2"/>
  <c r="P238" i="2"/>
  <c r="Q238" i="2"/>
  <c r="AE238" i="2"/>
  <c r="AJ238" i="2" s="1"/>
  <c r="AH238" i="2"/>
  <c r="AI238" i="2"/>
  <c r="L239" i="2"/>
  <c r="N239" i="2"/>
  <c r="P239" i="2"/>
  <c r="Q239" i="2"/>
  <c r="AE239" i="2"/>
  <c r="AH239" i="2"/>
  <c r="AI239" i="2"/>
  <c r="L240" i="2"/>
  <c r="R240" i="2" s="1"/>
  <c r="N240" i="2"/>
  <c r="P240" i="2"/>
  <c r="Q240" i="2"/>
  <c r="AE240" i="2"/>
  <c r="AJ240" i="2" s="1"/>
  <c r="AH240" i="2"/>
  <c r="AI240" i="2"/>
  <c r="L241" i="2"/>
  <c r="R241" i="2" s="1"/>
  <c r="N241" i="2"/>
  <c r="P241" i="2"/>
  <c r="Q241" i="2"/>
  <c r="AE241" i="2"/>
  <c r="AJ241" i="2" s="1"/>
  <c r="AH241" i="2"/>
  <c r="AI241" i="2"/>
  <c r="L242" i="2"/>
  <c r="R242" i="2" s="1"/>
  <c r="N242" i="2"/>
  <c r="P242" i="2"/>
  <c r="Q242" i="2"/>
  <c r="AE242" i="2"/>
  <c r="AH242" i="2"/>
  <c r="AI242" i="2"/>
  <c r="L243" i="2"/>
  <c r="N243" i="2"/>
  <c r="P243" i="2"/>
  <c r="Q243" i="2"/>
  <c r="AE243" i="2"/>
  <c r="AJ243" i="2" s="1"/>
  <c r="AH243" i="2"/>
  <c r="AI243" i="2"/>
  <c r="L244" i="2"/>
  <c r="N244" i="2"/>
  <c r="P244" i="2"/>
  <c r="Q244" i="2"/>
  <c r="AE244" i="2"/>
  <c r="AH244" i="2"/>
  <c r="AI244" i="2"/>
  <c r="L245" i="2"/>
  <c r="N245" i="2"/>
  <c r="P245" i="2"/>
  <c r="Q245" i="2"/>
  <c r="AE245" i="2"/>
  <c r="AH245" i="2"/>
  <c r="AI245" i="2"/>
  <c r="L246" i="2"/>
  <c r="N246" i="2"/>
  <c r="P246" i="2"/>
  <c r="Q246" i="2"/>
  <c r="AE246" i="2"/>
  <c r="AJ246" i="2" s="1"/>
  <c r="AH246" i="2"/>
  <c r="AI246" i="2"/>
  <c r="L247" i="2"/>
  <c r="R247" i="2" s="1"/>
  <c r="N247" i="2"/>
  <c r="P247" i="2"/>
  <c r="Q247" i="2"/>
  <c r="AE247" i="2"/>
  <c r="AJ247" i="2" s="1"/>
  <c r="AH247" i="2"/>
  <c r="AI247" i="2"/>
  <c r="L248" i="2"/>
  <c r="R248" i="2" s="1"/>
  <c r="N248" i="2"/>
  <c r="P248" i="2"/>
  <c r="Q248" i="2"/>
  <c r="AE248" i="2"/>
  <c r="AH248" i="2"/>
  <c r="AI248" i="2"/>
  <c r="L249" i="2"/>
  <c r="R249" i="2" s="1"/>
  <c r="N249" i="2"/>
  <c r="P249" i="2"/>
  <c r="Q249" i="2"/>
  <c r="AE249" i="2"/>
  <c r="AH249" i="2"/>
  <c r="AI249" i="2"/>
  <c r="L250" i="2"/>
  <c r="R250" i="2" s="1"/>
  <c r="N250" i="2"/>
  <c r="P250" i="2"/>
  <c r="Q250" i="2"/>
  <c r="AE250" i="2"/>
  <c r="AH250" i="2"/>
  <c r="AI250" i="2"/>
  <c r="L251" i="2"/>
  <c r="N251" i="2"/>
  <c r="P251" i="2"/>
  <c r="Q251" i="2"/>
  <c r="AE251" i="2"/>
  <c r="AJ251" i="2" s="1"/>
  <c r="AH251" i="2"/>
  <c r="AI251" i="2"/>
  <c r="L252" i="2"/>
  <c r="N252" i="2"/>
  <c r="P252" i="2"/>
  <c r="Q252" i="2"/>
  <c r="AE252" i="2"/>
  <c r="AJ252" i="2" s="1"/>
  <c r="AH252" i="2"/>
  <c r="AI252" i="2"/>
  <c r="L253" i="2"/>
  <c r="R253" i="2" s="1"/>
  <c r="N253" i="2"/>
  <c r="P253" i="2"/>
  <c r="Q253" i="2"/>
  <c r="AE253" i="2"/>
  <c r="AH253" i="2"/>
  <c r="AI253" i="2"/>
  <c r="L254" i="2"/>
  <c r="R254" i="2" s="1"/>
  <c r="N254" i="2"/>
  <c r="P254" i="2"/>
  <c r="Q254" i="2"/>
  <c r="AE254" i="2"/>
  <c r="AJ254" i="2" s="1"/>
  <c r="AH254" i="2"/>
  <c r="AI254" i="2"/>
  <c r="L255" i="2"/>
  <c r="R255" i="2" s="1"/>
  <c r="N255" i="2"/>
  <c r="P255" i="2"/>
  <c r="Q255" i="2"/>
  <c r="AE255" i="2"/>
  <c r="AJ255" i="2" s="1"/>
  <c r="AH255" i="2"/>
  <c r="AI255" i="2"/>
  <c r="L256" i="2"/>
  <c r="R256" i="2" s="1"/>
  <c r="N256" i="2"/>
  <c r="P256" i="2"/>
  <c r="Q256" i="2"/>
  <c r="AE256" i="2"/>
  <c r="AJ256" i="2" s="1"/>
  <c r="AH256" i="2"/>
  <c r="AI256" i="2"/>
  <c r="L257" i="2"/>
  <c r="N257" i="2"/>
  <c r="P257" i="2"/>
  <c r="Q257" i="2"/>
  <c r="AE257" i="2"/>
  <c r="AJ257" i="2" s="1"/>
  <c r="AH257" i="2"/>
  <c r="AI257" i="2"/>
  <c r="L258" i="2"/>
  <c r="N258" i="2"/>
  <c r="P258" i="2"/>
  <c r="Q258" i="2"/>
  <c r="AE258" i="2"/>
  <c r="AJ258" i="2" s="1"/>
  <c r="AH258" i="2"/>
  <c r="AI258" i="2"/>
  <c r="L259" i="2"/>
  <c r="R259" i="2" s="1"/>
  <c r="N259" i="2"/>
  <c r="P259" i="2"/>
  <c r="Q259" i="2"/>
  <c r="AE259" i="2"/>
  <c r="AH259" i="2"/>
  <c r="AI259" i="2"/>
  <c r="L260" i="2"/>
  <c r="R260" i="2" s="1"/>
  <c r="N260" i="2"/>
  <c r="P260" i="2"/>
  <c r="Q260" i="2"/>
  <c r="AE260" i="2"/>
  <c r="AH260" i="2"/>
  <c r="AI260" i="2"/>
  <c r="L261" i="2"/>
  <c r="R261" i="2" s="1"/>
  <c r="N261" i="2"/>
  <c r="P261" i="2"/>
  <c r="Q261" i="2"/>
  <c r="AE261" i="2"/>
  <c r="AJ261" i="2" s="1"/>
  <c r="AH261" i="2"/>
  <c r="AI261" i="2"/>
  <c r="L262" i="2"/>
  <c r="R262" i="2" s="1"/>
  <c r="N262" i="2"/>
  <c r="P262" i="2"/>
  <c r="Q262" i="2"/>
  <c r="AE262" i="2"/>
  <c r="AH262" i="2"/>
  <c r="AI262" i="2"/>
  <c r="L263" i="2"/>
  <c r="N263" i="2"/>
  <c r="P263" i="2"/>
  <c r="Q263" i="2"/>
  <c r="AE263" i="2"/>
  <c r="AH263" i="2"/>
  <c r="AI263" i="2"/>
  <c r="L264" i="2"/>
  <c r="R264" i="2" s="1"/>
  <c r="N264" i="2"/>
  <c r="P264" i="2"/>
  <c r="Q264" i="2"/>
  <c r="AE264" i="2"/>
  <c r="AJ264" i="2" s="1"/>
  <c r="AH264" i="2"/>
  <c r="AI264" i="2"/>
  <c r="L265" i="2"/>
  <c r="R265" i="2" s="1"/>
  <c r="N265" i="2"/>
  <c r="P265" i="2"/>
  <c r="Q265" i="2"/>
  <c r="AE265" i="2"/>
  <c r="AJ265" i="2" s="1"/>
  <c r="AH265" i="2"/>
  <c r="AI265" i="2"/>
  <c r="L266" i="2"/>
  <c r="R266" i="2" s="1"/>
  <c r="N266" i="2"/>
  <c r="P266" i="2"/>
  <c r="Q266" i="2"/>
  <c r="AE266" i="2"/>
  <c r="AJ266" i="2" s="1"/>
  <c r="AH266" i="2"/>
  <c r="AI266" i="2"/>
  <c r="L267" i="2"/>
  <c r="R267" i="2" s="1"/>
  <c r="N267" i="2"/>
  <c r="P267" i="2"/>
  <c r="Q267" i="2"/>
  <c r="AE267" i="2"/>
  <c r="AJ267" i="2" s="1"/>
  <c r="AH267" i="2"/>
  <c r="AI267" i="2"/>
  <c r="L268" i="2"/>
  <c r="N268" i="2"/>
  <c r="P268" i="2"/>
  <c r="Q268" i="2"/>
  <c r="AE268" i="2"/>
  <c r="AJ268" i="2" s="1"/>
  <c r="AH268" i="2"/>
  <c r="AI268" i="2"/>
  <c r="L269" i="2"/>
  <c r="N269" i="2"/>
  <c r="P269" i="2"/>
  <c r="Q269" i="2"/>
  <c r="AE269" i="2"/>
  <c r="AJ269" i="2" s="1"/>
  <c r="AH269" i="2"/>
  <c r="AI269" i="2"/>
  <c r="L270" i="2"/>
  <c r="R270" i="2" s="1"/>
  <c r="N270" i="2"/>
  <c r="P270" i="2"/>
  <c r="T270" i="2" s="1"/>
  <c r="Q270" i="2"/>
  <c r="AE270" i="2"/>
  <c r="AJ270" i="2" s="1"/>
  <c r="AH270" i="2"/>
  <c r="AI270" i="2"/>
  <c r="L271" i="2"/>
  <c r="N271" i="2"/>
  <c r="P271" i="2"/>
  <c r="Q271" i="2"/>
  <c r="AE271" i="2"/>
  <c r="AH271" i="2"/>
  <c r="AI271" i="2"/>
  <c r="L272" i="2"/>
  <c r="R272" i="2" s="1"/>
  <c r="N272" i="2"/>
  <c r="P272" i="2"/>
  <c r="Q272" i="2"/>
  <c r="AE272" i="2"/>
  <c r="AH272" i="2"/>
  <c r="AI272" i="2"/>
  <c r="L273" i="2"/>
  <c r="R273" i="2" s="1"/>
  <c r="N273" i="2"/>
  <c r="P273" i="2"/>
  <c r="Q273" i="2"/>
  <c r="AE273" i="2"/>
  <c r="AJ273" i="2" s="1"/>
  <c r="AH273" i="2"/>
  <c r="AI273" i="2"/>
  <c r="L274" i="2"/>
  <c r="R274" i="2" s="1"/>
  <c r="N274" i="2"/>
  <c r="P274" i="2"/>
  <c r="Q274" i="2"/>
  <c r="AE274" i="2"/>
  <c r="AH274" i="2"/>
  <c r="AI274" i="2"/>
  <c r="L275" i="2"/>
  <c r="R275" i="2" s="1"/>
  <c r="N275" i="2"/>
  <c r="P275" i="2"/>
  <c r="Q275" i="2"/>
  <c r="AE275" i="2"/>
  <c r="AJ275" i="2" s="1"/>
  <c r="AH275" i="2"/>
  <c r="AI275" i="2"/>
  <c r="L276" i="2"/>
  <c r="R276" i="2" s="1"/>
  <c r="N276" i="2"/>
  <c r="P276" i="2"/>
  <c r="Q276" i="2"/>
  <c r="AE276" i="2"/>
  <c r="AH276" i="2"/>
  <c r="AI276" i="2"/>
  <c r="L277" i="2"/>
  <c r="R277" i="2" s="1"/>
  <c r="N277" i="2"/>
  <c r="P277" i="2"/>
  <c r="Q277" i="2"/>
  <c r="AE277" i="2"/>
  <c r="AH277" i="2"/>
  <c r="AI277" i="2"/>
  <c r="L278" i="2"/>
  <c r="R278" i="2" s="1"/>
  <c r="N278" i="2"/>
  <c r="P278" i="2"/>
  <c r="Q278" i="2"/>
  <c r="AE278" i="2"/>
  <c r="AJ278" i="2" s="1"/>
  <c r="AH278" i="2"/>
  <c r="AI278" i="2"/>
  <c r="L279" i="2"/>
  <c r="N279" i="2"/>
  <c r="P279" i="2"/>
  <c r="Q279" i="2"/>
  <c r="AE279" i="2"/>
  <c r="AJ279" i="2" s="1"/>
  <c r="AH279" i="2"/>
  <c r="AI279" i="2"/>
  <c r="L280" i="2"/>
  <c r="R280" i="2" s="1"/>
  <c r="N280" i="2"/>
  <c r="P280" i="2"/>
  <c r="Q280" i="2"/>
  <c r="AE280" i="2"/>
  <c r="AH280" i="2"/>
  <c r="AI280" i="2"/>
  <c r="L281" i="2"/>
  <c r="N281" i="2"/>
  <c r="P281" i="2"/>
  <c r="Q281" i="2"/>
  <c r="AE281" i="2"/>
  <c r="AH281" i="2"/>
  <c r="AI281" i="2"/>
  <c r="L282" i="2"/>
  <c r="R282" i="2" s="1"/>
  <c r="N282" i="2"/>
  <c r="P282" i="2"/>
  <c r="Q282" i="2"/>
  <c r="AE282" i="2"/>
  <c r="AJ282" i="2" s="1"/>
  <c r="AH282" i="2"/>
  <c r="AI282" i="2"/>
  <c r="L283" i="2"/>
  <c r="N283" i="2"/>
  <c r="P283" i="2"/>
  <c r="Q283" i="2"/>
  <c r="AE283" i="2"/>
  <c r="AJ283" i="2" s="1"/>
  <c r="AH283" i="2"/>
  <c r="AI283" i="2"/>
  <c r="L284" i="2"/>
  <c r="R284" i="2" s="1"/>
  <c r="N284" i="2"/>
  <c r="P284" i="2"/>
  <c r="Q284" i="2"/>
  <c r="AE284" i="2"/>
  <c r="AH284" i="2"/>
  <c r="AI284" i="2"/>
  <c r="L285" i="2"/>
  <c r="R285" i="2" s="1"/>
  <c r="N285" i="2"/>
  <c r="P285" i="2"/>
  <c r="Q285" i="2"/>
  <c r="AE285" i="2"/>
  <c r="AH285" i="2"/>
  <c r="AI285" i="2"/>
  <c r="L286" i="2"/>
  <c r="R286" i="2" s="1"/>
  <c r="N286" i="2"/>
  <c r="P286" i="2"/>
  <c r="Q286" i="2"/>
  <c r="AE286" i="2"/>
  <c r="AH286" i="2"/>
  <c r="AI286" i="2"/>
  <c r="L287" i="2"/>
  <c r="R287" i="2" s="1"/>
  <c r="N287" i="2"/>
  <c r="P287" i="2"/>
  <c r="Q287" i="2"/>
  <c r="AE287" i="2"/>
  <c r="AJ287" i="2" s="1"/>
  <c r="AH287" i="2"/>
  <c r="AI287" i="2"/>
  <c r="L288" i="2"/>
  <c r="R288" i="2" s="1"/>
  <c r="N288" i="2"/>
  <c r="P288" i="2"/>
  <c r="Q288" i="2"/>
  <c r="AE288" i="2"/>
  <c r="AH288" i="2"/>
  <c r="AI288" i="2"/>
  <c r="L289" i="2"/>
  <c r="N289" i="2"/>
  <c r="P289" i="2"/>
  <c r="Q289" i="2"/>
  <c r="AE289" i="2"/>
  <c r="AJ289" i="2" s="1"/>
  <c r="AH289" i="2"/>
  <c r="AI289" i="2"/>
  <c r="L290" i="2"/>
  <c r="R290" i="2" s="1"/>
  <c r="N290" i="2"/>
  <c r="P290" i="2"/>
  <c r="Q290" i="2"/>
  <c r="AE290" i="2"/>
  <c r="AJ290" i="2" s="1"/>
  <c r="AH290" i="2"/>
  <c r="AI290" i="2"/>
  <c r="L291" i="2"/>
  <c r="R291" i="2" s="1"/>
  <c r="N291" i="2"/>
  <c r="P291" i="2"/>
  <c r="Q291" i="2"/>
  <c r="AE291" i="2"/>
  <c r="AH291" i="2"/>
  <c r="AI291" i="2"/>
  <c r="L292" i="2"/>
  <c r="R292" i="2" s="1"/>
  <c r="N292" i="2"/>
  <c r="P292" i="2"/>
  <c r="Q292" i="2"/>
  <c r="AE292" i="2"/>
  <c r="AJ292" i="2" s="1"/>
  <c r="AH292" i="2"/>
  <c r="AI292" i="2"/>
  <c r="L293" i="2"/>
  <c r="R293" i="2" s="1"/>
  <c r="N293" i="2"/>
  <c r="P293" i="2"/>
  <c r="Q293" i="2"/>
  <c r="AE293" i="2"/>
  <c r="AH293" i="2"/>
  <c r="AI293" i="2"/>
  <c r="L294" i="2"/>
  <c r="R294" i="2" s="1"/>
  <c r="N294" i="2"/>
  <c r="P294" i="2"/>
  <c r="Q294" i="2"/>
  <c r="AE294" i="2"/>
  <c r="AJ294" i="2" s="1"/>
  <c r="AH294" i="2"/>
  <c r="AI294" i="2"/>
  <c r="L295" i="2"/>
  <c r="R295" i="2" s="1"/>
  <c r="N295" i="2"/>
  <c r="P295" i="2"/>
  <c r="Q295" i="2"/>
  <c r="AE295" i="2"/>
  <c r="AJ295" i="2" s="1"/>
  <c r="AH295" i="2"/>
  <c r="AI295" i="2"/>
  <c r="L296" i="2"/>
  <c r="R296" i="2" s="1"/>
  <c r="N296" i="2"/>
  <c r="P296" i="2"/>
  <c r="Q296" i="2"/>
  <c r="AE296" i="2"/>
  <c r="AH296" i="2"/>
  <c r="AI296" i="2"/>
  <c r="L297" i="2"/>
  <c r="R297" i="2" s="1"/>
  <c r="N297" i="2"/>
  <c r="P297" i="2"/>
  <c r="Q297" i="2"/>
  <c r="AE297" i="2"/>
  <c r="AJ297" i="2" s="1"/>
  <c r="AH297" i="2"/>
  <c r="AI297" i="2"/>
  <c r="L298" i="2"/>
  <c r="N298" i="2"/>
  <c r="P298" i="2"/>
  <c r="Q298" i="2"/>
  <c r="AE298" i="2"/>
  <c r="AJ298" i="2" s="1"/>
  <c r="AH298" i="2"/>
  <c r="AI298" i="2"/>
  <c r="L299" i="2"/>
  <c r="R299" i="2" s="1"/>
  <c r="N299" i="2"/>
  <c r="P299" i="2"/>
  <c r="Q299" i="2"/>
  <c r="AE299" i="2"/>
  <c r="AH299" i="2"/>
  <c r="AI299" i="2"/>
  <c r="L300" i="2"/>
  <c r="R300" i="2" s="1"/>
  <c r="N300" i="2"/>
  <c r="P300" i="2"/>
  <c r="Q300" i="2"/>
  <c r="AE300" i="2"/>
  <c r="AJ300" i="2" s="1"/>
  <c r="AH300" i="2"/>
  <c r="AI300" i="2"/>
  <c r="L301" i="2"/>
  <c r="R301" i="2" s="1"/>
  <c r="N301" i="2"/>
  <c r="P301" i="2"/>
  <c r="Q301" i="2"/>
  <c r="AE301" i="2"/>
  <c r="AJ301" i="2" s="1"/>
  <c r="AH301" i="2"/>
  <c r="AI301" i="2"/>
  <c r="L302" i="2"/>
  <c r="R302" i="2" s="1"/>
  <c r="N302" i="2"/>
  <c r="P302" i="2"/>
  <c r="Q302" i="2"/>
  <c r="AE302" i="2"/>
  <c r="AH302" i="2"/>
  <c r="AI302" i="2"/>
  <c r="L303" i="2"/>
  <c r="N303" i="2"/>
  <c r="P303" i="2"/>
  <c r="Q303" i="2"/>
  <c r="AE303" i="2"/>
  <c r="AJ303" i="2" s="1"/>
  <c r="AH303" i="2"/>
  <c r="AI303" i="2"/>
  <c r="L304" i="2"/>
  <c r="R304" i="2" s="1"/>
  <c r="N304" i="2"/>
  <c r="P304" i="2"/>
  <c r="Q304" i="2"/>
  <c r="AE304" i="2"/>
  <c r="AJ304" i="2" s="1"/>
  <c r="AH304" i="2"/>
  <c r="AI304" i="2"/>
  <c r="L305" i="2"/>
  <c r="N305" i="2"/>
  <c r="P305" i="2"/>
  <c r="Q305" i="2"/>
  <c r="AE305" i="2"/>
  <c r="AH305" i="2"/>
  <c r="AI305" i="2"/>
  <c r="L306" i="2"/>
  <c r="N306" i="2"/>
  <c r="P306" i="2"/>
  <c r="S306" i="2" s="1"/>
  <c r="Q306" i="2"/>
  <c r="AE306" i="2"/>
  <c r="AJ306" i="2" s="1"/>
  <c r="AH306" i="2"/>
  <c r="AI306" i="2"/>
  <c r="L307" i="2"/>
  <c r="N307" i="2"/>
  <c r="P307" i="2"/>
  <c r="Q307" i="2"/>
  <c r="AE307" i="2"/>
  <c r="AJ307" i="2" s="1"/>
  <c r="AH307" i="2"/>
  <c r="AI307" i="2"/>
  <c r="L308" i="2"/>
  <c r="R308" i="2" s="1"/>
  <c r="N308" i="2"/>
  <c r="P308" i="2"/>
  <c r="Q308" i="2"/>
  <c r="AE308" i="2"/>
  <c r="AH308" i="2"/>
  <c r="AI308" i="2"/>
  <c r="L309" i="2"/>
  <c r="N309" i="2"/>
  <c r="P309" i="2"/>
  <c r="Q309" i="2"/>
  <c r="AE309" i="2"/>
  <c r="AJ309" i="2" s="1"/>
  <c r="AH309" i="2"/>
  <c r="AI309" i="2"/>
  <c r="L310" i="2"/>
  <c r="R310" i="2" s="1"/>
  <c r="N310" i="2"/>
  <c r="P310" i="2"/>
  <c r="Q310" i="2"/>
  <c r="AE310" i="2"/>
  <c r="AJ310" i="2" s="1"/>
  <c r="AH310" i="2"/>
  <c r="AI310" i="2"/>
  <c r="L311" i="2"/>
  <c r="N311" i="2"/>
  <c r="P311" i="2"/>
  <c r="Q311" i="2"/>
  <c r="AE311" i="2"/>
  <c r="AJ311" i="2" s="1"/>
  <c r="AH311" i="2"/>
  <c r="AI311" i="2"/>
  <c r="L312" i="2"/>
  <c r="N312" i="2"/>
  <c r="P312" i="2"/>
  <c r="Q312" i="2"/>
  <c r="AE312" i="2"/>
  <c r="AJ312" i="2" s="1"/>
  <c r="AH312" i="2"/>
  <c r="AI312" i="2"/>
  <c r="L313" i="2"/>
  <c r="N313" i="2"/>
  <c r="P313" i="2"/>
  <c r="Q313" i="2"/>
  <c r="AE313" i="2"/>
  <c r="AJ313" i="2" s="1"/>
  <c r="AH313" i="2"/>
  <c r="AI313" i="2"/>
  <c r="L314" i="2"/>
  <c r="R314" i="2" s="1"/>
  <c r="N314" i="2"/>
  <c r="P314" i="2"/>
  <c r="Q314" i="2"/>
  <c r="AE314" i="2"/>
  <c r="AJ314" i="2" s="1"/>
  <c r="AH314" i="2"/>
  <c r="AI314" i="2"/>
  <c r="L315" i="2"/>
  <c r="N315" i="2"/>
  <c r="P315" i="2"/>
  <c r="Q315" i="2"/>
  <c r="AE315" i="2"/>
  <c r="AJ315" i="2" s="1"/>
  <c r="AH315" i="2"/>
  <c r="AI315" i="2"/>
  <c r="L316" i="2"/>
  <c r="R316" i="2" s="1"/>
  <c r="N316" i="2"/>
  <c r="P316" i="2"/>
  <c r="Q316" i="2"/>
  <c r="AE316" i="2"/>
  <c r="AJ316" i="2" s="1"/>
  <c r="AH316" i="2"/>
  <c r="AI316" i="2"/>
  <c r="L317" i="2"/>
  <c r="N317" i="2"/>
  <c r="P317" i="2"/>
  <c r="Q317" i="2"/>
  <c r="AE317" i="2"/>
  <c r="AH317" i="2"/>
  <c r="AI317" i="2"/>
  <c r="L318" i="2"/>
  <c r="N318" i="2"/>
  <c r="P318" i="2"/>
  <c r="Q318" i="2"/>
  <c r="AE318" i="2"/>
  <c r="AJ318" i="2" s="1"/>
  <c r="AH318" i="2"/>
  <c r="AI318" i="2"/>
  <c r="L319" i="2"/>
  <c r="R319" i="2" s="1"/>
  <c r="N319" i="2"/>
  <c r="P319" i="2"/>
  <c r="Q319" i="2"/>
  <c r="AE319" i="2"/>
  <c r="AJ319" i="2" s="1"/>
  <c r="AH319" i="2"/>
  <c r="AI319" i="2"/>
  <c r="L320" i="2"/>
  <c r="N320" i="2"/>
  <c r="P320" i="2"/>
  <c r="Q320" i="2"/>
  <c r="AE320" i="2"/>
  <c r="AH320" i="2"/>
  <c r="AI320" i="2"/>
  <c r="L321" i="2"/>
  <c r="R321" i="2" s="1"/>
  <c r="N321" i="2"/>
  <c r="P321" i="2"/>
  <c r="Q321" i="2"/>
  <c r="AE321" i="2"/>
  <c r="AJ321" i="2" s="1"/>
  <c r="AH321" i="2"/>
  <c r="AI321" i="2"/>
  <c r="L322" i="2"/>
  <c r="R322" i="2" s="1"/>
  <c r="N322" i="2"/>
  <c r="P322" i="2"/>
  <c r="Q322" i="2"/>
  <c r="AE322" i="2"/>
  <c r="AJ322" i="2" s="1"/>
  <c r="AH322" i="2"/>
  <c r="AI322" i="2"/>
  <c r="L323" i="2"/>
  <c r="N323" i="2"/>
  <c r="P323" i="2"/>
  <c r="Q323" i="2"/>
  <c r="AE323" i="2"/>
  <c r="AJ323" i="2" s="1"/>
  <c r="AH323" i="2"/>
  <c r="AI323" i="2"/>
  <c r="L324" i="2"/>
  <c r="N324" i="2"/>
  <c r="P324" i="2"/>
  <c r="Q324" i="2"/>
  <c r="AE324" i="2"/>
  <c r="AH324" i="2"/>
  <c r="AI324" i="2"/>
  <c r="L325" i="2"/>
  <c r="R325" i="2" s="1"/>
  <c r="N325" i="2"/>
  <c r="P325" i="2"/>
  <c r="Q325" i="2"/>
  <c r="AE325" i="2"/>
  <c r="AJ325" i="2" s="1"/>
  <c r="AH325" i="2"/>
  <c r="AI325" i="2"/>
  <c r="L326" i="2"/>
  <c r="R326" i="2" s="1"/>
  <c r="N326" i="2"/>
  <c r="P326" i="2"/>
  <c r="Q326" i="2"/>
  <c r="AE326" i="2"/>
  <c r="AJ326" i="2" s="1"/>
  <c r="AH326" i="2"/>
  <c r="AI326" i="2"/>
  <c r="L327" i="2"/>
  <c r="N327" i="2"/>
  <c r="P327" i="2"/>
  <c r="Q327" i="2"/>
  <c r="AE327" i="2"/>
  <c r="AJ327" i="2" s="1"/>
  <c r="AH327" i="2"/>
  <c r="AI327" i="2"/>
  <c r="L328" i="2"/>
  <c r="R328" i="2" s="1"/>
  <c r="N328" i="2"/>
  <c r="P328" i="2"/>
  <c r="Q328" i="2"/>
  <c r="AE328" i="2"/>
  <c r="AJ328" i="2" s="1"/>
  <c r="AH328" i="2"/>
  <c r="AI328" i="2"/>
  <c r="L329" i="2"/>
  <c r="R329" i="2" s="1"/>
  <c r="N329" i="2"/>
  <c r="P329" i="2"/>
  <c r="Q329" i="2"/>
  <c r="AE329" i="2"/>
  <c r="AH329" i="2"/>
  <c r="AI329" i="2"/>
  <c r="L330" i="2"/>
  <c r="R330" i="2" s="1"/>
  <c r="N330" i="2"/>
  <c r="P330" i="2"/>
  <c r="Q330" i="2"/>
  <c r="AE330" i="2"/>
  <c r="AJ330" i="2" s="1"/>
  <c r="AH330" i="2"/>
  <c r="AI330" i="2"/>
  <c r="L331" i="2"/>
  <c r="N331" i="2"/>
  <c r="P331" i="2"/>
  <c r="Q331" i="2"/>
  <c r="AE331" i="2"/>
  <c r="AJ331" i="2" s="1"/>
  <c r="AH331" i="2"/>
  <c r="AI331" i="2"/>
  <c r="L332" i="2"/>
  <c r="R332" i="2" s="1"/>
  <c r="N332" i="2"/>
  <c r="P332" i="2"/>
  <c r="Q332" i="2"/>
  <c r="AE332" i="2"/>
  <c r="AJ332" i="2" s="1"/>
  <c r="AH332" i="2"/>
  <c r="AI332" i="2"/>
  <c r="L333" i="2"/>
  <c r="R333" i="2" s="1"/>
  <c r="N333" i="2"/>
  <c r="P333" i="2"/>
  <c r="Q333" i="2"/>
  <c r="AE333" i="2"/>
  <c r="AJ333" i="2" s="1"/>
  <c r="AH333" i="2"/>
  <c r="AI333" i="2"/>
  <c r="L334" i="2"/>
  <c r="N334" i="2"/>
  <c r="P334" i="2"/>
  <c r="Q334" i="2"/>
  <c r="AE334" i="2"/>
  <c r="AH334" i="2"/>
  <c r="AI334" i="2"/>
  <c r="L335" i="2"/>
  <c r="R335" i="2" s="1"/>
  <c r="N335" i="2"/>
  <c r="P335" i="2"/>
  <c r="Q335" i="2"/>
  <c r="AE335" i="2"/>
  <c r="AH335" i="2"/>
  <c r="AI335" i="2"/>
  <c r="L336" i="2"/>
  <c r="R336" i="2" s="1"/>
  <c r="N336" i="2"/>
  <c r="P336" i="2"/>
  <c r="Q336" i="2"/>
  <c r="AE336" i="2"/>
  <c r="AJ336" i="2" s="1"/>
  <c r="AH336" i="2"/>
  <c r="AI336" i="2"/>
  <c r="L337" i="2"/>
  <c r="N337" i="2"/>
  <c r="P337" i="2"/>
  <c r="Q337" i="2"/>
  <c r="AE337" i="2"/>
  <c r="AJ337" i="2" s="1"/>
  <c r="AH337" i="2"/>
  <c r="AI337" i="2"/>
  <c r="L338" i="2"/>
  <c r="R338" i="2" s="1"/>
  <c r="N338" i="2"/>
  <c r="P338" i="2"/>
  <c r="Q338" i="2"/>
  <c r="AE338" i="2"/>
  <c r="AH338" i="2"/>
  <c r="AI338" i="2"/>
  <c r="L339" i="2"/>
  <c r="N339" i="2"/>
  <c r="P339" i="2"/>
  <c r="Q339" i="2"/>
  <c r="AE339" i="2"/>
  <c r="AJ339" i="2" s="1"/>
  <c r="AH339" i="2"/>
  <c r="AI339" i="2"/>
  <c r="L340" i="2"/>
  <c r="R340" i="2" s="1"/>
  <c r="N340" i="2"/>
  <c r="P340" i="2"/>
  <c r="Q340" i="2"/>
  <c r="AE340" i="2"/>
  <c r="AJ340" i="2" s="1"/>
  <c r="AH340" i="2"/>
  <c r="AI340" i="2"/>
  <c r="L341" i="2"/>
  <c r="N341" i="2"/>
  <c r="P341" i="2"/>
  <c r="Q341" i="2"/>
  <c r="AE341" i="2"/>
  <c r="AJ341" i="2" s="1"/>
  <c r="AH341" i="2"/>
  <c r="AI341" i="2"/>
  <c r="L342" i="2"/>
  <c r="N342" i="2"/>
  <c r="P342" i="2"/>
  <c r="S342" i="2" s="1"/>
  <c r="Q342" i="2"/>
  <c r="AE342" i="2"/>
  <c r="AJ342" i="2" s="1"/>
  <c r="AH342" i="2"/>
  <c r="AI342" i="2"/>
  <c r="L343" i="2"/>
  <c r="R343" i="2" s="1"/>
  <c r="N343" i="2"/>
  <c r="P343" i="2"/>
  <c r="Q343" i="2"/>
  <c r="AE343" i="2"/>
  <c r="AH343" i="2"/>
  <c r="AI343" i="2"/>
  <c r="L344" i="2"/>
  <c r="N344" i="2"/>
  <c r="P344" i="2"/>
  <c r="Q344" i="2"/>
  <c r="AE344" i="2"/>
  <c r="AH344" i="2"/>
  <c r="AI344" i="2"/>
  <c r="L345" i="2"/>
  <c r="N345" i="2"/>
  <c r="P345" i="2"/>
  <c r="Q345" i="2"/>
  <c r="AE345" i="2"/>
  <c r="AJ345" i="2" s="1"/>
  <c r="AH345" i="2"/>
  <c r="AI345" i="2"/>
  <c r="L346" i="2"/>
  <c r="R346" i="2" s="1"/>
  <c r="N346" i="2"/>
  <c r="P346" i="2"/>
  <c r="Q346" i="2"/>
  <c r="AE346" i="2"/>
  <c r="AJ346" i="2" s="1"/>
  <c r="AH346" i="2"/>
  <c r="AI346" i="2"/>
  <c r="L347" i="2"/>
  <c r="R347" i="2" s="1"/>
  <c r="N347" i="2"/>
  <c r="P347" i="2"/>
  <c r="Q347" i="2"/>
  <c r="AE347" i="2"/>
  <c r="AJ347" i="2" s="1"/>
  <c r="AH347" i="2"/>
  <c r="AI347" i="2"/>
  <c r="L348" i="2"/>
  <c r="R348" i="2" s="1"/>
  <c r="N348" i="2"/>
  <c r="P348" i="2"/>
  <c r="Q348" i="2"/>
  <c r="AE348" i="2"/>
  <c r="AJ348" i="2" s="1"/>
  <c r="AH348" i="2"/>
  <c r="AI348" i="2"/>
  <c r="L349" i="2"/>
  <c r="R349" i="2" s="1"/>
  <c r="N349" i="2"/>
  <c r="P349" i="2"/>
  <c r="Q349" i="2"/>
  <c r="AE349" i="2"/>
  <c r="AJ349" i="2" s="1"/>
  <c r="AH349" i="2"/>
  <c r="AI349" i="2"/>
  <c r="L350" i="2"/>
  <c r="N350" i="2"/>
  <c r="P350" i="2"/>
  <c r="Q350" i="2"/>
  <c r="AE350" i="2"/>
  <c r="AH350" i="2"/>
  <c r="AI350" i="2"/>
  <c r="L351" i="2"/>
  <c r="N351" i="2"/>
  <c r="P351" i="2"/>
  <c r="Q351" i="2"/>
  <c r="AE351" i="2"/>
  <c r="AH351" i="2"/>
  <c r="AI351" i="2"/>
  <c r="L352" i="2"/>
  <c r="R352" i="2" s="1"/>
  <c r="N352" i="2"/>
  <c r="P352" i="2"/>
  <c r="Q352" i="2"/>
  <c r="AE352" i="2"/>
  <c r="AJ352" i="2" s="1"/>
  <c r="AH352" i="2"/>
  <c r="AI352" i="2"/>
  <c r="L353" i="2"/>
  <c r="R353" i="2" s="1"/>
  <c r="N353" i="2"/>
  <c r="P353" i="2"/>
  <c r="Q353" i="2"/>
  <c r="AE353" i="2"/>
  <c r="AJ353" i="2" s="1"/>
  <c r="AH353" i="2"/>
  <c r="AI353" i="2"/>
  <c r="L354" i="2"/>
  <c r="R354" i="2" s="1"/>
  <c r="N354" i="2"/>
  <c r="P354" i="2"/>
  <c r="Q354" i="2"/>
  <c r="AE354" i="2"/>
  <c r="AH354" i="2"/>
  <c r="AI354" i="2"/>
  <c r="L355" i="2"/>
  <c r="N355" i="2"/>
  <c r="P355" i="2"/>
  <c r="Q355" i="2"/>
  <c r="AE355" i="2"/>
  <c r="AH355" i="2"/>
  <c r="AI355" i="2"/>
  <c r="L356" i="2"/>
  <c r="N356" i="2"/>
  <c r="P356" i="2"/>
  <c r="Q356" i="2"/>
  <c r="AE356" i="2"/>
  <c r="AH356" i="2"/>
  <c r="AI356" i="2"/>
  <c r="L357" i="2"/>
  <c r="R357" i="2" s="1"/>
  <c r="N357" i="2"/>
  <c r="P357" i="2"/>
  <c r="Q357" i="2"/>
  <c r="AE357" i="2"/>
  <c r="AJ357" i="2" s="1"/>
  <c r="AH357" i="2"/>
  <c r="AI357" i="2"/>
  <c r="L358" i="2"/>
  <c r="R358" i="2" s="1"/>
  <c r="N358" i="2"/>
  <c r="P358" i="2"/>
  <c r="Q358" i="2"/>
  <c r="AE358" i="2"/>
  <c r="AH358" i="2"/>
  <c r="AI358" i="2"/>
  <c r="L359" i="2"/>
  <c r="N359" i="2"/>
  <c r="P359" i="2"/>
  <c r="Q359" i="2"/>
  <c r="AE359" i="2"/>
  <c r="AJ359" i="2" s="1"/>
  <c r="AH359" i="2"/>
  <c r="AI359" i="2"/>
  <c r="L360" i="2"/>
  <c r="R360" i="2" s="1"/>
  <c r="N360" i="2"/>
  <c r="P360" i="2"/>
  <c r="Q360" i="2"/>
  <c r="AE360" i="2"/>
  <c r="AJ360" i="2" s="1"/>
  <c r="AH360" i="2"/>
  <c r="AI360" i="2"/>
  <c r="L361" i="2"/>
  <c r="N361" i="2"/>
  <c r="P361" i="2"/>
  <c r="Q361" i="2"/>
  <c r="AE361" i="2"/>
  <c r="AJ361" i="2" s="1"/>
  <c r="AH361" i="2"/>
  <c r="AI361" i="2"/>
  <c r="L362" i="2"/>
  <c r="R362" i="2" s="1"/>
  <c r="N362" i="2"/>
  <c r="P362" i="2"/>
  <c r="Q362" i="2"/>
  <c r="AE362" i="2"/>
  <c r="AJ362" i="2" s="1"/>
  <c r="AH362" i="2"/>
  <c r="AI362" i="2"/>
  <c r="L363" i="2"/>
  <c r="N363" i="2"/>
  <c r="P363" i="2"/>
  <c r="Q363" i="2"/>
  <c r="AE363" i="2"/>
  <c r="AJ363" i="2" s="1"/>
  <c r="AH363" i="2"/>
  <c r="AI363" i="2"/>
  <c r="L364" i="2"/>
  <c r="R364" i="2" s="1"/>
  <c r="N364" i="2"/>
  <c r="P364" i="2"/>
  <c r="Q364" i="2"/>
  <c r="AE364" i="2"/>
  <c r="AJ364" i="2" s="1"/>
  <c r="AH364" i="2"/>
  <c r="AI364" i="2"/>
  <c r="L365" i="2"/>
  <c r="R365" i="2" s="1"/>
  <c r="N365" i="2"/>
  <c r="P365" i="2"/>
  <c r="Q365" i="2"/>
  <c r="AE365" i="2"/>
  <c r="AJ365" i="2" s="1"/>
  <c r="AH365" i="2"/>
  <c r="AI365" i="2"/>
  <c r="L366" i="2"/>
  <c r="R366" i="2" s="1"/>
  <c r="N366" i="2"/>
  <c r="P366" i="2"/>
  <c r="Q366" i="2"/>
  <c r="AE366" i="2"/>
  <c r="AJ366" i="2" s="1"/>
  <c r="AH366" i="2"/>
  <c r="AI366" i="2"/>
  <c r="L367" i="2"/>
  <c r="R367" i="2" s="1"/>
  <c r="N367" i="2"/>
  <c r="P367" i="2"/>
  <c r="Q367" i="2"/>
  <c r="AE367" i="2"/>
  <c r="AJ367" i="2" s="1"/>
  <c r="AH367" i="2"/>
  <c r="AI367" i="2"/>
  <c r="L368" i="2"/>
  <c r="R368" i="2" s="1"/>
  <c r="N368" i="2"/>
  <c r="P368" i="2"/>
  <c r="Q368" i="2"/>
  <c r="AE368" i="2"/>
  <c r="AJ368" i="2" s="1"/>
  <c r="AH368" i="2"/>
  <c r="AI368" i="2"/>
  <c r="L369" i="2"/>
  <c r="N369" i="2"/>
  <c r="P369" i="2"/>
  <c r="Q369" i="2"/>
  <c r="AE369" i="2"/>
  <c r="AJ369" i="2" s="1"/>
  <c r="AH369" i="2"/>
  <c r="AI369" i="2"/>
  <c r="L370" i="2"/>
  <c r="R370" i="2" s="1"/>
  <c r="N370" i="2"/>
  <c r="P370" i="2"/>
  <c r="Q370" i="2"/>
  <c r="AE370" i="2"/>
  <c r="AH370" i="2"/>
  <c r="AI370" i="2"/>
  <c r="L371" i="2"/>
  <c r="R371" i="2" s="1"/>
  <c r="N371" i="2"/>
  <c r="P371" i="2"/>
  <c r="Q371" i="2"/>
  <c r="AE371" i="2"/>
  <c r="AH371" i="2"/>
  <c r="AI371" i="2"/>
  <c r="L372" i="2"/>
  <c r="R372" i="2" s="1"/>
  <c r="N372" i="2"/>
  <c r="P372" i="2"/>
  <c r="Q372" i="2"/>
  <c r="AE372" i="2"/>
  <c r="AJ372" i="2" s="1"/>
  <c r="AH372" i="2"/>
  <c r="AI372" i="2"/>
  <c r="L373" i="2"/>
  <c r="R373" i="2" s="1"/>
  <c r="N373" i="2"/>
  <c r="P373" i="2"/>
  <c r="Q373" i="2"/>
  <c r="AE373" i="2"/>
  <c r="AH373" i="2"/>
  <c r="AI373" i="2"/>
  <c r="L374" i="2"/>
  <c r="R374" i="2" s="1"/>
  <c r="N374" i="2"/>
  <c r="P374" i="2"/>
  <c r="Q374" i="2"/>
  <c r="AE374" i="2"/>
  <c r="AJ374" i="2" s="1"/>
  <c r="AH374" i="2"/>
  <c r="AI374" i="2"/>
  <c r="L375" i="2"/>
  <c r="R375" i="2" s="1"/>
  <c r="N375" i="2"/>
  <c r="P375" i="2"/>
  <c r="Q375" i="2"/>
  <c r="AE375" i="2"/>
  <c r="AJ375" i="2" s="1"/>
  <c r="AH375" i="2"/>
  <c r="AI375" i="2"/>
  <c r="L376" i="2"/>
  <c r="R376" i="2" s="1"/>
  <c r="N376" i="2"/>
  <c r="P376" i="2"/>
  <c r="Q376" i="2"/>
  <c r="AE376" i="2"/>
  <c r="AJ376" i="2" s="1"/>
  <c r="AH376" i="2"/>
  <c r="AI376" i="2"/>
  <c r="L377" i="2"/>
  <c r="R377" i="2" s="1"/>
  <c r="N377" i="2"/>
  <c r="P377" i="2"/>
  <c r="Q377" i="2"/>
  <c r="AE377" i="2"/>
  <c r="AJ377" i="2" s="1"/>
  <c r="AH377" i="2"/>
  <c r="AI377" i="2"/>
  <c r="L378" i="2"/>
  <c r="R378" i="2" s="1"/>
  <c r="N378" i="2"/>
  <c r="P378" i="2"/>
  <c r="S378" i="2" s="1"/>
  <c r="Q378" i="2"/>
  <c r="AE378" i="2"/>
  <c r="AJ378" i="2" s="1"/>
  <c r="AH378" i="2"/>
  <c r="AI378" i="2"/>
  <c r="L379" i="2"/>
  <c r="N379" i="2"/>
  <c r="P379" i="2"/>
  <c r="Q379" i="2"/>
  <c r="AE379" i="2"/>
  <c r="AJ379" i="2" s="1"/>
  <c r="AH379" i="2"/>
  <c r="AI379" i="2"/>
  <c r="L380" i="2"/>
  <c r="R380" i="2" s="1"/>
  <c r="N380" i="2"/>
  <c r="P380" i="2"/>
  <c r="Q380" i="2"/>
  <c r="AE380" i="2"/>
  <c r="AH380" i="2"/>
  <c r="AI380" i="2"/>
  <c r="L381" i="2"/>
  <c r="R381" i="2" s="1"/>
  <c r="N381" i="2"/>
  <c r="P381" i="2"/>
  <c r="Q381" i="2"/>
  <c r="AE381" i="2"/>
  <c r="AJ381" i="2" s="1"/>
  <c r="AH381" i="2"/>
  <c r="AI381" i="2"/>
  <c r="L382" i="2"/>
  <c r="R382" i="2" s="1"/>
  <c r="N382" i="2"/>
  <c r="P382" i="2"/>
  <c r="Q382" i="2"/>
  <c r="AE382" i="2"/>
  <c r="AJ382" i="2" s="1"/>
  <c r="AH382" i="2"/>
  <c r="AI382" i="2"/>
  <c r="L383" i="2"/>
  <c r="R383" i="2" s="1"/>
  <c r="N383" i="2"/>
  <c r="P383" i="2"/>
  <c r="Q383" i="2"/>
  <c r="AE383" i="2"/>
  <c r="AH383" i="2"/>
  <c r="AI383" i="2"/>
  <c r="L384" i="2"/>
  <c r="R384" i="2" s="1"/>
  <c r="N384" i="2"/>
  <c r="P384" i="2"/>
  <c r="Q384" i="2"/>
  <c r="AE384" i="2"/>
  <c r="AH384" i="2"/>
  <c r="AI384" i="2"/>
  <c r="L385" i="2"/>
  <c r="R385" i="2" s="1"/>
  <c r="N385" i="2"/>
  <c r="P385" i="2"/>
  <c r="Q385" i="2"/>
  <c r="AE385" i="2"/>
  <c r="AH385" i="2"/>
  <c r="AI385" i="2"/>
  <c r="L386" i="2"/>
  <c r="R386" i="2" s="1"/>
  <c r="N386" i="2"/>
  <c r="P386" i="2"/>
  <c r="Q386" i="2"/>
  <c r="AE386" i="2"/>
  <c r="AJ386" i="2" s="1"/>
  <c r="AH386" i="2"/>
  <c r="AI386" i="2"/>
  <c r="L387" i="2"/>
  <c r="R387" i="2" s="1"/>
  <c r="N387" i="2"/>
  <c r="P387" i="2"/>
  <c r="Q387" i="2"/>
  <c r="AE387" i="2"/>
  <c r="AJ387" i="2" s="1"/>
  <c r="AH387" i="2"/>
  <c r="AI387" i="2"/>
  <c r="L388" i="2"/>
  <c r="R388" i="2" s="1"/>
  <c r="N388" i="2"/>
  <c r="P388" i="2"/>
  <c r="Q388" i="2"/>
  <c r="AE388" i="2"/>
  <c r="AH388" i="2"/>
  <c r="AI388" i="2"/>
  <c r="L389" i="2"/>
  <c r="R389" i="2" s="1"/>
  <c r="N389" i="2"/>
  <c r="P389" i="2"/>
  <c r="Q389" i="2"/>
  <c r="AE389" i="2"/>
  <c r="AJ389" i="2" s="1"/>
  <c r="AH389" i="2"/>
  <c r="AI389" i="2"/>
  <c r="L390" i="2"/>
  <c r="R390" i="2" s="1"/>
  <c r="N390" i="2"/>
  <c r="P390" i="2"/>
  <c r="Q390" i="2"/>
  <c r="AE390" i="2"/>
  <c r="AJ390" i="2" s="1"/>
  <c r="AH390" i="2"/>
  <c r="AI390" i="2"/>
  <c r="L391" i="2"/>
  <c r="R391" i="2" s="1"/>
  <c r="N391" i="2"/>
  <c r="P391" i="2"/>
  <c r="Q391" i="2"/>
  <c r="AE391" i="2"/>
  <c r="AH391" i="2"/>
  <c r="AI391" i="2"/>
  <c r="L392" i="2"/>
  <c r="R392" i="2" s="1"/>
  <c r="N392" i="2"/>
  <c r="P392" i="2"/>
  <c r="Q392" i="2"/>
  <c r="AE392" i="2"/>
  <c r="AJ392" i="2" s="1"/>
  <c r="AH392" i="2"/>
  <c r="AI392" i="2"/>
  <c r="L393" i="2"/>
  <c r="R393" i="2" s="1"/>
  <c r="N393" i="2"/>
  <c r="P393" i="2"/>
  <c r="Q393" i="2"/>
  <c r="AE393" i="2"/>
  <c r="AJ393" i="2" s="1"/>
  <c r="AH393" i="2"/>
  <c r="AI393" i="2"/>
  <c r="L394" i="2"/>
  <c r="R394" i="2" s="1"/>
  <c r="N394" i="2"/>
  <c r="P394" i="2"/>
  <c r="Q394" i="2"/>
  <c r="AE394" i="2"/>
  <c r="AH394" i="2"/>
  <c r="AI394" i="2"/>
  <c r="L395" i="2"/>
  <c r="R395" i="2" s="1"/>
  <c r="N395" i="2"/>
  <c r="P395" i="2"/>
  <c r="Q395" i="2"/>
  <c r="AE395" i="2"/>
  <c r="AJ395" i="2" s="1"/>
  <c r="AH395" i="2"/>
  <c r="AI395" i="2"/>
  <c r="L396" i="2"/>
  <c r="R396" i="2" s="1"/>
  <c r="N396" i="2"/>
  <c r="P396" i="2"/>
  <c r="Q396" i="2"/>
  <c r="AE396" i="2"/>
  <c r="AJ396" i="2" s="1"/>
  <c r="AH396" i="2"/>
  <c r="AI396" i="2"/>
  <c r="L397" i="2"/>
  <c r="N397" i="2"/>
  <c r="P397" i="2"/>
  <c r="Q397" i="2"/>
  <c r="AE397" i="2"/>
  <c r="AJ397" i="2" s="1"/>
  <c r="AH397" i="2"/>
  <c r="AI397" i="2"/>
  <c r="L398" i="2"/>
  <c r="R398" i="2" s="1"/>
  <c r="N398" i="2"/>
  <c r="P398" i="2"/>
  <c r="Q398" i="2"/>
  <c r="AE398" i="2"/>
  <c r="AH398" i="2"/>
  <c r="AI398" i="2"/>
  <c r="L399" i="2"/>
  <c r="R399" i="2" s="1"/>
  <c r="N399" i="2"/>
  <c r="P399" i="2"/>
  <c r="Q399" i="2"/>
  <c r="AE399" i="2"/>
  <c r="AJ399" i="2" s="1"/>
  <c r="AH399" i="2"/>
  <c r="AI399" i="2"/>
  <c r="L400" i="2"/>
  <c r="R400" i="2" s="1"/>
  <c r="N400" i="2"/>
  <c r="P400" i="2"/>
  <c r="Q400" i="2"/>
  <c r="AE400" i="2"/>
  <c r="AJ400" i="2" s="1"/>
  <c r="AH400" i="2"/>
  <c r="AI400" i="2"/>
  <c r="L401" i="2"/>
  <c r="R401" i="2" s="1"/>
  <c r="N401" i="2"/>
  <c r="P401" i="2"/>
  <c r="Q401" i="2"/>
  <c r="AE401" i="2"/>
  <c r="AH401" i="2"/>
  <c r="AI401" i="2"/>
  <c r="L402" i="2"/>
  <c r="R402" i="2" s="1"/>
  <c r="N402" i="2"/>
  <c r="P402" i="2"/>
  <c r="Q402" i="2"/>
  <c r="AE402" i="2"/>
  <c r="AJ402" i="2" s="1"/>
  <c r="AH402" i="2"/>
  <c r="AI402" i="2"/>
  <c r="L403" i="2"/>
  <c r="R403" i="2" s="1"/>
  <c r="N403" i="2"/>
  <c r="P403" i="2"/>
  <c r="Q403" i="2"/>
  <c r="AE403" i="2"/>
  <c r="AH403" i="2"/>
  <c r="AI403" i="2"/>
  <c r="L404" i="2"/>
  <c r="R404" i="2" s="1"/>
  <c r="N404" i="2"/>
  <c r="P404" i="2"/>
  <c r="Q404" i="2"/>
  <c r="AE404" i="2"/>
  <c r="AJ404" i="2" s="1"/>
  <c r="AH404" i="2"/>
  <c r="AI404" i="2"/>
  <c r="L405" i="2"/>
  <c r="R405" i="2" s="1"/>
  <c r="N405" i="2"/>
  <c r="P405" i="2"/>
  <c r="Q405" i="2"/>
  <c r="AE405" i="2"/>
  <c r="AJ405" i="2" s="1"/>
  <c r="AH405" i="2"/>
  <c r="AI405" i="2"/>
  <c r="L406" i="2"/>
  <c r="N406" i="2"/>
  <c r="P406" i="2"/>
  <c r="Q406" i="2"/>
  <c r="AE406" i="2"/>
  <c r="AH406" i="2"/>
  <c r="AI406" i="2"/>
  <c r="L407" i="2"/>
  <c r="R407" i="2" s="1"/>
  <c r="N407" i="2"/>
  <c r="P407" i="2"/>
  <c r="Q407" i="2"/>
  <c r="AE407" i="2"/>
  <c r="AH407" i="2"/>
  <c r="AI407" i="2"/>
  <c r="L408" i="2"/>
  <c r="R408" i="2" s="1"/>
  <c r="N408" i="2"/>
  <c r="P408" i="2"/>
  <c r="Q408" i="2"/>
  <c r="AE408" i="2"/>
  <c r="AH408" i="2"/>
  <c r="AI408" i="2"/>
  <c r="L409" i="2"/>
  <c r="N409" i="2"/>
  <c r="P409" i="2"/>
  <c r="Q409" i="2"/>
  <c r="AE409" i="2"/>
  <c r="AH409" i="2"/>
  <c r="AI409" i="2"/>
  <c r="L410" i="2"/>
  <c r="R410" i="2" s="1"/>
  <c r="N410" i="2"/>
  <c r="P410" i="2"/>
  <c r="Q410" i="2"/>
  <c r="AE410" i="2"/>
  <c r="AH410" i="2"/>
  <c r="AI410" i="2"/>
  <c r="L411" i="2"/>
  <c r="N411" i="2"/>
  <c r="P411" i="2"/>
  <c r="Q411" i="2"/>
  <c r="AE411" i="2"/>
  <c r="AJ411" i="2" s="1"/>
  <c r="AH411" i="2"/>
  <c r="AI411" i="2"/>
  <c r="L412" i="2"/>
  <c r="R412" i="2" s="1"/>
  <c r="N412" i="2"/>
  <c r="P412" i="2"/>
  <c r="Q412" i="2"/>
  <c r="AE412" i="2"/>
  <c r="AJ412" i="2" s="1"/>
  <c r="AH412" i="2"/>
  <c r="AI412" i="2"/>
  <c r="L413" i="2"/>
  <c r="N413" i="2"/>
  <c r="P413" i="2"/>
  <c r="Q413" i="2"/>
  <c r="AE413" i="2"/>
  <c r="AJ413" i="2" s="1"/>
  <c r="AH413" i="2"/>
  <c r="AI413" i="2"/>
  <c r="L414" i="2"/>
  <c r="R414" i="2" s="1"/>
  <c r="N414" i="2"/>
  <c r="P414" i="2"/>
  <c r="S414" i="2" s="1"/>
  <c r="Q414" i="2"/>
  <c r="AE414" i="2"/>
  <c r="AJ414" i="2" s="1"/>
  <c r="AH414" i="2"/>
  <c r="AI414" i="2"/>
  <c r="L415" i="2"/>
  <c r="R415" i="2" s="1"/>
  <c r="N415" i="2"/>
  <c r="P415" i="2"/>
  <c r="Q415" i="2"/>
  <c r="AE415" i="2"/>
  <c r="AH415" i="2"/>
  <c r="AI415" i="2"/>
  <c r="L416" i="2"/>
  <c r="R416" i="2" s="1"/>
  <c r="N416" i="2"/>
  <c r="P416" i="2"/>
  <c r="Q416" i="2"/>
  <c r="AE416" i="2"/>
  <c r="AJ416" i="2" s="1"/>
  <c r="AH416" i="2"/>
  <c r="AI416" i="2"/>
  <c r="L417" i="2"/>
  <c r="N417" i="2"/>
  <c r="P417" i="2"/>
  <c r="Q417" i="2"/>
  <c r="AE417" i="2"/>
  <c r="AJ417" i="2" s="1"/>
  <c r="AH417" i="2"/>
  <c r="AI417" i="2"/>
  <c r="L418" i="2"/>
  <c r="R418" i="2" s="1"/>
  <c r="N418" i="2"/>
  <c r="P418" i="2"/>
  <c r="Q418" i="2"/>
  <c r="AE418" i="2"/>
  <c r="AH418" i="2"/>
  <c r="AI418" i="2"/>
  <c r="L419" i="2"/>
  <c r="R419" i="2" s="1"/>
  <c r="N419" i="2"/>
  <c r="P419" i="2"/>
  <c r="Q419" i="2"/>
  <c r="AE419" i="2"/>
  <c r="AJ419" i="2" s="1"/>
  <c r="AH419" i="2"/>
  <c r="AI419" i="2"/>
  <c r="L420" i="2"/>
  <c r="N420" i="2"/>
  <c r="P420" i="2"/>
  <c r="Q420" i="2"/>
  <c r="AE420" i="2"/>
  <c r="AJ420" i="2" s="1"/>
  <c r="AH420" i="2"/>
  <c r="AI420" i="2"/>
  <c r="L421" i="2"/>
  <c r="N421" i="2"/>
  <c r="P421" i="2"/>
  <c r="Q421" i="2"/>
  <c r="AE421" i="2"/>
  <c r="AH421" i="2"/>
  <c r="AI421" i="2"/>
  <c r="L422" i="2"/>
  <c r="R422" i="2" s="1"/>
  <c r="N422" i="2"/>
  <c r="P422" i="2"/>
  <c r="Q422" i="2"/>
  <c r="AE422" i="2"/>
  <c r="AJ422" i="2" s="1"/>
  <c r="AH422" i="2"/>
  <c r="AI422" i="2"/>
  <c r="L423" i="2"/>
  <c r="N423" i="2"/>
  <c r="P423" i="2"/>
  <c r="Q423" i="2"/>
  <c r="AE423" i="2"/>
  <c r="AJ423" i="2" s="1"/>
  <c r="AH423" i="2"/>
  <c r="AI423" i="2"/>
  <c r="L424" i="2"/>
  <c r="R424" i="2" s="1"/>
  <c r="N424" i="2"/>
  <c r="P424" i="2"/>
  <c r="Q424" i="2"/>
  <c r="AE424" i="2"/>
  <c r="AJ424" i="2" s="1"/>
  <c r="AH424" i="2"/>
  <c r="AI424" i="2"/>
  <c r="L425" i="2"/>
  <c r="N425" i="2"/>
  <c r="P425" i="2"/>
  <c r="Q425" i="2"/>
  <c r="AE425" i="2"/>
  <c r="AJ425" i="2" s="1"/>
  <c r="AH425" i="2"/>
  <c r="AI425" i="2"/>
  <c r="L426" i="2"/>
  <c r="N426" i="2"/>
  <c r="P426" i="2"/>
  <c r="Q426" i="2"/>
  <c r="AE426" i="2"/>
  <c r="AH426" i="2"/>
  <c r="AI426" i="2"/>
  <c r="L427" i="2"/>
  <c r="N427" i="2"/>
  <c r="P427" i="2"/>
  <c r="Q427" i="2"/>
  <c r="AE427" i="2"/>
  <c r="AJ427" i="2" s="1"/>
  <c r="AH427" i="2"/>
  <c r="AI427" i="2"/>
  <c r="L428" i="2"/>
  <c r="R428" i="2" s="1"/>
  <c r="N428" i="2"/>
  <c r="P428" i="2"/>
  <c r="Q428" i="2"/>
  <c r="AE428" i="2"/>
  <c r="AJ428" i="2" s="1"/>
  <c r="AH428" i="2"/>
  <c r="AI428" i="2"/>
  <c r="L429" i="2"/>
  <c r="N429" i="2"/>
  <c r="P429" i="2"/>
  <c r="Q429" i="2"/>
  <c r="AE429" i="2"/>
  <c r="AJ429" i="2" s="1"/>
  <c r="AH429" i="2"/>
  <c r="AI429" i="2"/>
  <c r="L430" i="2"/>
  <c r="R430" i="2" s="1"/>
  <c r="N430" i="2"/>
  <c r="P430" i="2"/>
  <c r="Q430" i="2"/>
  <c r="AE430" i="2"/>
  <c r="AH430" i="2"/>
  <c r="AI430" i="2"/>
  <c r="L431" i="2"/>
  <c r="N431" i="2"/>
  <c r="P431" i="2"/>
  <c r="Q431" i="2"/>
  <c r="AE431" i="2"/>
  <c r="AH431" i="2"/>
  <c r="AI431" i="2"/>
  <c r="L432" i="2"/>
  <c r="N432" i="2"/>
  <c r="P432" i="2"/>
  <c r="Q432" i="2"/>
  <c r="AE432" i="2"/>
  <c r="AJ432" i="2" s="1"/>
  <c r="AH432" i="2"/>
  <c r="AI432" i="2"/>
  <c r="L433" i="2"/>
  <c r="N433" i="2"/>
  <c r="P433" i="2"/>
  <c r="Q433" i="2"/>
  <c r="AE433" i="2"/>
  <c r="AH433" i="2"/>
  <c r="AI433" i="2"/>
  <c r="L434" i="2"/>
  <c r="R434" i="2" s="1"/>
  <c r="N434" i="2"/>
  <c r="P434" i="2"/>
  <c r="Q434" i="2"/>
  <c r="AE434" i="2"/>
  <c r="AJ434" i="2" s="1"/>
  <c r="AH434" i="2"/>
  <c r="AI434" i="2"/>
  <c r="L435" i="2"/>
  <c r="R435" i="2" s="1"/>
  <c r="N435" i="2"/>
  <c r="P435" i="2"/>
  <c r="Q435" i="2"/>
  <c r="AE435" i="2"/>
  <c r="AJ435" i="2" s="1"/>
  <c r="AH435" i="2"/>
  <c r="AI435" i="2"/>
  <c r="L436" i="2"/>
  <c r="R436" i="2" s="1"/>
  <c r="N436" i="2"/>
  <c r="P436" i="2"/>
  <c r="Q436" i="2"/>
  <c r="AE436" i="2"/>
  <c r="AH436" i="2"/>
  <c r="AI436" i="2"/>
  <c r="L437" i="2"/>
  <c r="N437" i="2"/>
  <c r="P437" i="2"/>
  <c r="Q437" i="2"/>
  <c r="AE437" i="2"/>
  <c r="AJ437" i="2" s="1"/>
  <c r="AH437" i="2"/>
  <c r="AI437" i="2"/>
  <c r="L438" i="2"/>
  <c r="R438" i="2" s="1"/>
  <c r="N438" i="2"/>
  <c r="P438" i="2"/>
  <c r="Q438" i="2"/>
  <c r="AE438" i="2"/>
  <c r="AH438" i="2"/>
  <c r="AI438" i="2"/>
  <c r="L439" i="2"/>
  <c r="R439" i="2" s="1"/>
  <c r="N439" i="2"/>
  <c r="P439" i="2"/>
  <c r="Q439" i="2"/>
  <c r="AE439" i="2"/>
  <c r="AH439" i="2"/>
  <c r="AI439" i="2"/>
  <c r="L440" i="2"/>
  <c r="R440" i="2" s="1"/>
  <c r="N440" i="2"/>
  <c r="P440" i="2"/>
  <c r="Q440" i="2"/>
  <c r="AE440" i="2"/>
  <c r="AJ440" i="2" s="1"/>
  <c r="AH440" i="2"/>
  <c r="AI440" i="2"/>
  <c r="L441" i="2"/>
  <c r="N441" i="2"/>
  <c r="P441" i="2"/>
  <c r="Q441" i="2"/>
  <c r="AE441" i="2"/>
  <c r="AJ441" i="2" s="1"/>
  <c r="AH441" i="2"/>
  <c r="AI441" i="2"/>
  <c r="L442" i="2"/>
  <c r="R442" i="2" s="1"/>
  <c r="N442" i="2"/>
  <c r="P442" i="2"/>
  <c r="Q442" i="2"/>
  <c r="AE442" i="2"/>
  <c r="AJ442" i="2" s="1"/>
  <c r="AH442" i="2"/>
  <c r="AI442" i="2"/>
  <c r="L443" i="2"/>
  <c r="R443" i="2" s="1"/>
  <c r="N443" i="2"/>
  <c r="P443" i="2"/>
  <c r="Q443" i="2"/>
  <c r="AE443" i="2"/>
  <c r="AH443" i="2"/>
  <c r="AI443" i="2"/>
  <c r="L444" i="2"/>
  <c r="R444" i="2" s="1"/>
  <c r="N444" i="2"/>
  <c r="P444" i="2"/>
  <c r="Q444" i="2"/>
  <c r="AE444" i="2"/>
  <c r="AH444" i="2"/>
  <c r="AI444" i="2"/>
  <c r="L445" i="2"/>
  <c r="R445" i="2" s="1"/>
  <c r="N445" i="2"/>
  <c r="P445" i="2"/>
  <c r="Q445" i="2"/>
  <c r="AE445" i="2"/>
  <c r="AH445" i="2"/>
  <c r="AI445" i="2"/>
  <c r="L446" i="2"/>
  <c r="R446" i="2" s="1"/>
  <c r="N446" i="2"/>
  <c r="P446" i="2"/>
  <c r="Q446" i="2"/>
  <c r="AE446" i="2"/>
  <c r="AJ446" i="2" s="1"/>
  <c r="AH446" i="2"/>
  <c r="AI446" i="2"/>
  <c r="L447" i="2"/>
  <c r="R447" i="2" s="1"/>
  <c r="N447" i="2"/>
  <c r="P447" i="2"/>
  <c r="Q447" i="2"/>
  <c r="AE447" i="2"/>
  <c r="AJ447" i="2" s="1"/>
  <c r="AH447" i="2"/>
  <c r="AI447" i="2"/>
  <c r="L448" i="2"/>
  <c r="R448" i="2" s="1"/>
  <c r="N448" i="2"/>
  <c r="P448" i="2"/>
  <c r="Q448" i="2"/>
  <c r="AE448" i="2"/>
  <c r="AJ448" i="2" s="1"/>
  <c r="AH448" i="2"/>
  <c r="AI448" i="2"/>
  <c r="L449" i="2"/>
  <c r="R449" i="2" s="1"/>
  <c r="N449" i="2"/>
  <c r="P449" i="2"/>
  <c r="Q449" i="2"/>
  <c r="AE449" i="2"/>
  <c r="AH449" i="2"/>
  <c r="AI449" i="2"/>
  <c r="L450" i="2"/>
  <c r="N450" i="2"/>
  <c r="P450" i="2"/>
  <c r="S450" i="2" s="1"/>
  <c r="Q450" i="2"/>
  <c r="AE450" i="2"/>
  <c r="AJ450" i="2" s="1"/>
  <c r="AH450" i="2"/>
  <c r="AI450" i="2"/>
  <c r="L451" i="2"/>
  <c r="R451" i="2" s="1"/>
  <c r="N451" i="2"/>
  <c r="P451" i="2"/>
  <c r="Q451" i="2"/>
  <c r="AE451" i="2"/>
  <c r="AJ451" i="2" s="1"/>
  <c r="AH451" i="2"/>
  <c r="AI451" i="2"/>
  <c r="L452" i="2"/>
  <c r="R452" i="2" s="1"/>
  <c r="N452" i="2"/>
  <c r="P452" i="2"/>
  <c r="Q452" i="2"/>
  <c r="AE452" i="2"/>
  <c r="AH452" i="2"/>
  <c r="AI452" i="2"/>
  <c r="L453" i="2"/>
  <c r="R453" i="2" s="1"/>
  <c r="N453" i="2"/>
  <c r="P453" i="2"/>
  <c r="Q453" i="2"/>
  <c r="AE453" i="2"/>
  <c r="AJ453" i="2" s="1"/>
  <c r="AH453" i="2"/>
  <c r="AI453" i="2"/>
  <c r="L454" i="2"/>
  <c r="N454" i="2"/>
  <c r="P454" i="2"/>
  <c r="Q454" i="2"/>
  <c r="AE454" i="2"/>
  <c r="AJ454" i="2" s="1"/>
  <c r="AH454" i="2"/>
  <c r="AI454" i="2"/>
  <c r="L455" i="2"/>
  <c r="R455" i="2" s="1"/>
  <c r="N455" i="2"/>
  <c r="P455" i="2"/>
  <c r="Q455" i="2"/>
  <c r="AE455" i="2"/>
  <c r="AJ455" i="2" s="1"/>
  <c r="AH455" i="2"/>
  <c r="AI455" i="2"/>
  <c r="L456" i="2"/>
  <c r="R456" i="2" s="1"/>
  <c r="N456" i="2"/>
  <c r="P456" i="2"/>
  <c r="Q456" i="2"/>
  <c r="AE456" i="2"/>
  <c r="AJ456" i="2" s="1"/>
  <c r="AH456" i="2"/>
  <c r="AI456" i="2"/>
  <c r="L457" i="2"/>
  <c r="R457" i="2" s="1"/>
  <c r="N457" i="2"/>
  <c r="P457" i="2"/>
  <c r="Q457" i="2"/>
  <c r="AE457" i="2"/>
  <c r="AH457" i="2"/>
  <c r="AI457" i="2"/>
  <c r="L458" i="2"/>
  <c r="R458" i="2" s="1"/>
  <c r="N458" i="2"/>
  <c r="P458" i="2"/>
  <c r="Q458" i="2"/>
  <c r="AE458" i="2"/>
  <c r="AH458" i="2"/>
  <c r="AI458" i="2"/>
  <c r="L459" i="2"/>
  <c r="R459" i="2" s="1"/>
  <c r="N459" i="2"/>
  <c r="P459" i="2"/>
  <c r="Q459" i="2"/>
  <c r="AE459" i="2"/>
  <c r="AJ459" i="2" s="1"/>
  <c r="AH459" i="2"/>
  <c r="AI459" i="2"/>
  <c r="L460" i="2"/>
  <c r="R460" i="2" s="1"/>
  <c r="N460" i="2"/>
  <c r="P460" i="2"/>
  <c r="Q460" i="2"/>
  <c r="AE460" i="2"/>
  <c r="AJ460" i="2" s="1"/>
  <c r="AH460" i="2"/>
  <c r="AI460" i="2"/>
  <c r="L461" i="2"/>
  <c r="R461" i="2" s="1"/>
  <c r="N461" i="2"/>
  <c r="P461" i="2"/>
  <c r="Q461" i="2"/>
  <c r="AE461" i="2"/>
  <c r="AH461" i="2"/>
  <c r="AI461" i="2"/>
  <c r="L462" i="2"/>
  <c r="R462" i="2" s="1"/>
  <c r="N462" i="2"/>
  <c r="P462" i="2"/>
  <c r="Q462" i="2"/>
  <c r="AE462" i="2"/>
  <c r="AJ462" i="2" s="1"/>
  <c r="AH462" i="2"/>
  <c r="AI462" i="2"/>
  <c r="L463" i="2"/>
  <c r="R463" i="2" s="1"/>
  <c r="N463" i="2"/>
  <c r="P463" i="2"/>
  <c r="Q463" i="2"/>
  <c r="AE463" i="2"/>
  <c r="AH463" i="2"/>
  <c r="AI463" i="2"/>
  <c r="L464" i="2"/>
  <c r="R464" i="2" s="1"/>
  <c r="N464" i="2"/>
  <c r="P464" i="2"/>
  <c r="Q464" i="2"/>
  <c r="AE464" i="2"/>
  <c r="AJ464" i="2" s="1"/>
  <c r="AH464" i="2"/>
  <c r="AI464" i="2"/>
  <c r="L465" i="2"/>
  <c r="N465" i="2"/>
  <c r="P465" i="2"/>
  <c r="Q465" i="2"/>
  <c r="AE465" i="2"/>
  <c r="AH465" i="2"/>
  <c r="AI465" i="2"/>
  <c r="L466" i="2"/>
  <c r="R466" i="2" s="1"/>
  <c r="N466" i="2"/>
  <c r="P466" i="2"/>
  <c r="Q466" i="2"/>
  <c r="AE466" i="2"/>
  <c r="AJ466" i="2" s="1"/>
  <c r="AH466" i="2"/>
  <c r="AI466" i="2"/>
  <c r="L467" i="2"/>
  <c r="R467" i="2" s="1"/>
  <c r="N467" i="2"/>
  <c r="P467" i="2"/>
  <c r="Q467" i="2"/>
  <c r="AE467" i="2"/>
  <c r="AJ467" i="2" s="1"/>
  <c r="AH467" i="2"/>
  <c r="AI467" i="2"/>
  <c r="L468" i="2"/>
  <c r="R468" i="2" s="1"/>
  <c r="N468" i="2"/>
  <c r="P468" i="2"/>
  <c r="Q468" i="2"/>
  <c r="AE468" i="2"/>
  <c r="AJ468" i="2" s="1"/>
  <c r="AH468" i="2"/>
  <c r="AI468" i="2"/>
  <c r="L469" i="2"/>
  <c r="R469" i="2" s="1"/>
  <c r="N469" i="2"/>
  <c r="P469" i="2"/>
  <c r="Q469" i="2"/>
  <c r="AE469" i="2"/>
  <c r="AJ469" i="2" s="1"/>
  <c r="AH469" i="2"/>
  <c r="AI469" i="2"/>
  <c r="L470" i="2"/>
  <c r="R470" i="2" s="1"/>
  <c r="N470" i="2"/>
  <c r="P470" i="2"/>
  <c r="Q470" i="2"/>
  <c r="AE470" i="2"/>
  <c r="AH470" i="2"/>
  <c r="AI470" i="2"/>
  <c r="L471" i="2"/>
  <c r="N471" i="2"/>
  <c r="P471" i="2"/>
  <c r="Q471" i="2"/>
  <c r="AE471" i="2"/>
  <c r="AH471" i="2"/>
  <c r="AI471" i="2"/>
  <c r="L472" i="2"/>
  <c r="R472" i="2" s="1"/>
  <c r="N472" i="2"/>
  <c r="P472" i="2"/>
  <c r="Q472" i="2"/>
  <c r="AE472" i="2"/>
  <c r="AJ472" i="2" s="1"/>
  <c r="AH472" i="2"/>
  <c r="AI472" i="2"/>
  <c r="L473" i="2"/>
  <c r="R473" i="2" s="1"/>
  <c r="N473" i="2"/>
  <c r="P473" i="2"/>
  <c r="Q473" i="2"/>
  <c r="AE473" i="2"/>
  <c r="AJ473" i="2" s="1"/>
  <c r="AH473" i="2"/>
  <c r="AI473" i="2"/>
  <c r="L474" i="2"/>
  <c r="R474" i="2" s="1"/>
  <c r="N474" i="2"/>
  <c r="P474" i="2"/>
  <c r="Q474" i="2"/>
  <c r="AE474" i="2"/>
  <c r="AJ474" i="2" s="1"/>
  <c r="AH474" i="2"/>
  <c r="AI474" i="2"/>
  <c r="L475" i="2"/>
  <c r="R475" i="2" s="1"/>
  <c r="N475" i="2"/>
  <c r="P475" i="2"/>
  <c r="Q475" i="2"/>
  <c r="AE475" i="2"/>
  <c r="AH475" i="2"/>
  <c r="AI475" i="2"/>
  <c r="L476" i="2"/>
  <c r="R476" i="2" s="1"/>
  <c r="N476" i="2"/>
  <c r="P476" i="2"/>
  <c r="Q476" i="2"/>
  <c r="AE476" i="2"/>
  <c r="AH476" i="2"/>
  <c r="AI476" i="2"/>
  <c r="L477" i="2"/>
  <c r="N477" i="2"/>
  <c r="P477" i="2"/>
  <c r="Q477" i="2"/>
  <c r="AE477" i="2"/>
  <c r="AJ477" i="2" s="1"/>
  <c r="AH477" i="2"/>
  <c r="AI477" i="2"/>
  <c r="L478" i="2"/>
  <c r="R478" i="2" s="1"/>
  <c r="N478" i="2"/>
  <c r="P478" i="2"/>
  <c r="Q478" i="2"/>
  <c r="AE478" i="2"/>
  <c r="AJ478" i="2" s="1"/>
  <c r="AH478" i="2"/>
  <c r="AI478" i="2"/>
  <c r="L479" i="2"/>
  <c r="R479" i="2" s="1"/>
  <c r="N479" i="2"/>
  <c r="P479" i="2"/>
  <c r="Q479" i="2"/>
  <c r="AE479" i="2"/>
  <c r="AJ479" i="2" s="1"/>
  <c r="AH479" i="2"/>
  <c r="AI479" i="2"/>
  <c r="L480" i="2"/>
  <c r="R480" i="2" s="1"/>
  <c r="N480" i="2"/>
  <c r="P480" i="2"/>
  <c r="Q480" i="2"/>
  <c r="AE480" i="2"/>
  <c r="AJ480" i="2" s="1"/>
  <c r="AH480" i="2"/>
  <c r="AI480" i="2"/>
  <c r="L481" i="2"/>
  <c r="R481" i="2" s="1"/>
  <c r="N481" i="2"/>
  <c r="P481" i="2"/>
  <c r="Q481" i="2"/>
  <c r="AE481" i="2"/>
  <c r="AJ481" i="2" s="1"/>
  <c r="AH481" i="2"/>
  <c r="AI481" i="2"/>
  <c r="L482" i="2"/>
  <c r="R482" i="2" s="1"/>
  <c r="N482" i="2"/>
  <c r="P482" i="2"/>
  <c r="Q482" i="2"/>
  <c r="AE482" i="2"/>
  <c r="AH482" i="2"/>
  <c r="AI482" i="2"/>
  <c r="L483" i="2"/>
  <c r="N483" i="2"/>
  <c r="P483" i="2"/>
  <c r="Q483" i="2"/>
  <c r="AE483" i="2"/>
  <c r="AJ483" i="2" s="1"/>
  <c r="AH483" i="2"/>
  <c r="AI483" i="2"/>
  <c r="L484" i="2"/>
  <c r="N484" i="2"/>
  <c r="P484" i="2"/>
  <c r="Q484" i="2"/>
  <c r="AE484" i="2"/>
  <c r="AJ484" i="2" s="1"/>
  <c r="AH484" i="2"/>
  <c r="AI484" i="2"/>
  <c r="L485" i="2"/>
  <c r="R485" i="2" s="1"/>
  <c r="N485" i="2"/>
  <c r="P485" i="2"/>
  <c r="Q485" i="2"/>
  <c r="AE485" i="2"/>
  <c r="AJ485" i="2" s="1"/>
  <c r="AH485" i="2"/>
  <c r="AI485" i="2"/>
  <c r="L486" i="2"/>
  <c r="R486" i="2" s="1"/>
  <c r="N486" i="2"/>
  <c r="P486" i="2"/>
  <c r="T486" i="2" s="1"/>
  <c r="Q486" i="2"/>
  <c r="AE486" i="2"/>
  <c r="AJ486" i="2" s="1"/>
  <c r="AH486" i="2"/>
  <c r="AI486" i="2"/>
  <c r="L487" i="2"/>
  <c r="R487" i="2" s="1"/>
  <c r="N487" i="2"/>
  <c r="P487" i="2"/>
  <c r="Q487" i="2"/>
  <c r="AE487" i="2"/>
  <c r="AJ487" i="2" s="1"/>
  <c r="AH487" i="2"/>
  <c r="AI487" i="2"/>
  <c r="L488" i="2"/>
  <c r="N488" i="2"/>
  <c r="P488" i="2"/>
  <c r="Q488" i="2"/>
  <c r="AE488" i="2"/>
  <c r="AJ488" i="2" s="1"/>
  <c r="AH488" i="2"/>
  <c r="AI488" i="2"/>
  <c r="L489" i="2"/>
  <c r="R489" i="2" s="1"/>
  <c r="N489" i="2"/>
  <c r="P489" i="2"/>
  <c r="Q489" i="2"/>
  <c r="AE489" i="2"/>
  <c r="AJ489" i="2" s="1"/>
  <c r="AH489" i="2"/>
  <c r="AI489" i="2"/>
  <c r="L490" i="2"/>
  <c r="N490" i="2"/>
  <c r="P490" i="2"/>
  <c r="Q490" i="2"/>
  <c r="AE490" i="2"/>
  <c r="AJ490" i="2" s="1"/>
  <c r="AH490" i="2"/>
  <c r="AI490" i="2"/>
  <c r="L491" i="2"/>
  <c r="R491" i="2" s="1"/>
  <c r="N491" i="2"/>
  <c r="P491" i="2"/>
  <c r="Q491" i="2"/>
  <c r="AE491" i="2"/>
  <c r="AJ491" i="2" s="1"/>
  <c r="AH491" i="2"/>
  <c r="AI491" i="2"/>
  <c r="L492" i="2"/>
  <c r="R492" i="2" s="1"/>
  <c r="N492" i="2"/>
  <c r="P492" i="2"/>
  <c r="Q492" i="2"/>
  <c r="AE492" i="2"/>
  <c r="AJ492" i="2" s="1"/>
  <c r="AH492" i="2"/>
  <c r="AI492" i="2"/>
  <c r="L493" i="2"/>
  <c r="R493" i="2" s="1"/>
  <c r="N493" i="2"/>
  <c r="P493" i="2"/>
  <c r="Q493" i="2"/>
  <c r="AE493" i="2"/>
  <c r="AH493" i="2"/>
  <c r="AI493" i="2"/>
  <c r="L494" i="2"/>
  <c r="R494" i="2" s="1"/>
  <c r="N494" i="2"/>
  <c r="P494" i="2"/>
  <c r="Q494" i="2"/>
  <c r="AE494" i="2"/>
  <c r="AH494" i="2"/>
  <c r="AI494" i="2"/>
  <c r="L495" i="2"/>
  <c r="R495" i="2" s="1"/>
  <c r="N495" i="2"/>
  <c r="P495" i="2"/>
  <c r="Q495" i="2"/>
  <c r="AE495" i="2"/>
  <c r="AH495" i="2"/>
  <c r="AI495" i="2"/>
  <c r="L496" i="2"/>
  <c r="N496" i="2"/>
  <c r="P496" i="2"/>
  <c r="Q496" i="2"/>
  <c r="AE496" i="2"/>
  <c r="AJ496" i="2" s="1"/>
  <c r="AH496" i="2"/>
  <c r="AI496" i="2"/>
  <c r="L497" i="2"/>
  <c r="R497" i="2" s="1"/>
  <c r="N497" i="2"/>
  <c r="P497" i="2"/>
  <c r="Q497" i="2"/>
  <c r="AE497" i="2"/>
  <c r="AJ497" i="2" s="1"/>
  <c r="AH497" i="2"/>
  <c r="AI497" i="2"/>
  <c r="L498" i="2"/>
  <c r="R498" i="2" s="1"/>
  <c r="N498" i="2"/>
  <c r="P498" i="2"/>
  <c r="Q498" i="2"/>
  <c r="AE498" i="2"/>
  <c r="AH498" i="2"/>
  <c r="AI498" i="2"/>
  <c r="L499" i="2"/>
  <c r="R499" i="2" s="1"/>
  <c r="N499" i="2"/>
  <c r="P499" i="2"/>
  <c r="Q499" i="2"/>
  <c r="AE499" i="2"/>
  <c r="AJ499" i="2" s="1"/>
  <c r="AH499" i="2"/>
  <c r="AI499" i="2"/>
  <c r="L500" i="2"/>
  <c r="R500" i="2" s="1"/>
  <c r="N500" i="2"/>
  <c r="P500" i="2"/>
  <c r="Q500" i="2"/>
  <c r="AE500" i="2"/>
  <c r="AH500" i="2"/>
  <c r="AI500" i="2"/>
  <c r="L501" i="2"/>
  <c r="N501" i="2"/>
  <c r="P501" i="2"/>
  <c r="Q501" i="2"/>
  <c r="AE501" i="2"/>
  <c r="AH501" i="2"/>
  <c r="AI501" i="2"/>
  <c r="L502" i="2"/>
  <c r="R502" i="2" s="1"/>
  <c r="N502" i="2"/>
  <c r="P502" i="2"/>
  <c r="Q502" i="2"/>
  <c r="AE502" i="2"/>
  <c r="AJ502" i="2" s="1"/>
  <c r="AH502" i="2"/>
  <c r="AI502" i="2"/>
  <c r="L503" i="2"/>
  <c r="N503" i="2"/>
  <c r="P503" i="2"/>
  <c r="Q503" i="2"/>
  <c r="AE503" i="2"/>
  <c r="AJ503" i="2" s="1"/>
  <c r="AH503" i="2"/>
  <c r="AI503" i="2"/>
  <c r="L504" i="2"/>
  <c r="R504" i="2" s="1"/>
  <c r="N504" i="2"/>
  <c r="P504" i="2"/>
  <c r="Q504" i="2"/>
  <c r="AE504" i="2"/>
  <c r="AJ504" i="2" s="1"/>
  <c r="AH504" i="2"/>
  <c r="AI504" i="2"/>
  <c r="L505" i="2"/>
  <c r="R505" i="2" s="1"/>
  <c r="N505" i="2"/>
  <c r="P505" i="2"/>
  <c r="Q505" i="2"/>
  <c r="AE505" i="2"/>
  <c r="AH505" i="2"/>
  <c r="AI505" i="2"/>
  <c r="L506" i="2"/>
  <c r="R506" i="2" s="1"/>
  <c r="N506" i="2"/>
  <c r="P506" i="2"/>
  <c r="Q506" i="2"/>
  <c r="AE506" i="2"/>
  <c r="AH506" i="2"/>
  <c r="AI506" i="2"/>
  <c r="L507" i="2"/>
  <c r="R507" i="2" s="1"/>
  <c r="N507" i="2"/>
  <c r="P507" i="2"/>
  <c r="Q507" i="2"/>
  <c r="AE507" i="2"/>
  <c r="AJ507" i="2" s="1"/>
  <c r="AH507" i="2"/>
  <c r="AI507" i="2"/>
  <c r="L508" i="2"/>
  <c r="R508" i="2" s="1"/>
  <c r="N508" i="2"/>
  <c r="P508" i="2"/>
  <c r="Q508" i="2"/>
  <c r="AE508" i="2"/>
  <c r="AH508" i="2"/>
  <c r="AI508" i="2"/>
  <c r="L509" i="2"/>
  <c r="R509" i="2" s="1"/>
  <c r="N509" i="2"/>
  <c r="P509" i="2"/>
  <c r="Q509" i="2"/>
  <c r="AE509" i="2"/>
  <c r="AJ509" i="2" s="1"/>
  <c r="AH509" i="2"/>
  <c r="AI509" i="2"/>
  <c r="L510" i="2"/>
  <c r="R510" i="2" s="1"/>
  <c r="N510" i="2"/>
  <c r="P510" i="2"/>
  <c r="Q510" i="2"/>
  <c r="AE510" i="2"/>
  <c r="AJ510" i="2" s="1"/>
  <c r="AH510" i="2"/>
  <c r="AI510" i="2"/>
  <c r="L511" i="2"/>
  <c r="R511" i="2" s="1"/>
  <c r="N511" i="2"/>
  <c r="P511" i="2"/>
  <c r="Q511" i="2"/>
  <c r="AE511" i="2"/>
  <c r="AJ511" i="2" s="1"/>
  <c r="AH511" i="2"/>
  <c r="AI511" i="2"/>
  <c r="L512" i="2"/>
  <c r="R512" i="2" s="1"/>
  <c r="N512" i="2"/>
  <c r="P512" i="2"/>
  <c r="Q512" i="2"/>
  <c r="AE512" i="2"/>
  <c r="AJ512" i="2" s="1"/>
  <c r="AH512" i="2"/>
  <c r="AI512" i="2"/>
  <c r="L513" i="2"/>
  <c r="R513" i="2" s="1"/>
  <c r="N513" i="2"/>
  <c r="P513" i="2"/>
  <c r="Q513" i="2"/>
  <c r="AE513" i="2"/>
  <c r="AJ513" i="2" s="1"/>
  <c r="AH513" i="2"/>
  <c r="AI513" i="2"/>
  <c r="L514" i="2"/>
  <c r="R514" i="2" s="1"/>
  <c r="N514" i="2"/>
  <c r="P514" i="2"/>
  <c r="Q514" i="2"/>
  <c r="AE514" i="2"/>
  <c r="AJ514" i="2" s="1"/>
  <c r="AH514" i="2"/>
  <c r="AI514" i="2"/>
  <c r="L515" i="2"/>
  <c r="R515" i="2" s="1"/>
  <c r="N515" i="2"/>
  <c r="P515" i="2"/>
  <c r="Q515" i="2"/>
  <c r="AE515" i="2"/>
  <c r="AJ515" i="2" s="1"/>
  <c r="AH515" i="2"/>
  <c r="AI515" i="2"/>
  <c r="L516" i="2"/>
  <c r="R516" i="2" s="1"/>
  <c r="N516" i="2"/>
  <c r="P516" i="2"/>
  <c r="Q516" i="2"/>
  <c r="AE516" i="2"/>
  <c r="AJ516" i="2" s="1"/>
  <c r="AH516" i="2"/>
  <c r="AI516" i="2"/>
  <c r="L517" i="2"/>
  <c r="R517" i="2" s="1"/>
  <c r="N517" i="2"/>
  <c r="P517" i="2"/>
  <c r="Q517" i="2"/>
  <c r="AE517" i="2"/>
  <c r="AH517" i="2"/>
  <c r="AI517" i="2"/>
  <c r="L518" i="2"/>
  <c r="R518" i="2" s="1"/>
  <c r="N518" i="2"/>
  <c r="P518" i="2"/>
  <c r="S518" i="2" s="1"/>
  <c r="Q518" i="2"/>
  <c r="AE518" i="2"/>
  <c r="AH518" i="2"/>
  <c r="AI518" i="2"/>
  <c r="L519" i="2"/>
  <c r="R519" i="2" s="1"/>
  <c r="N519" i="2"/>
  <c r="P519" i="2"/>
  <c r="Q519" i="2"/>
  <c r="AE519" i="2"/>
  <c r="AJ519" i="2" s="1"/>
  <c r="AH519" i="2"/>
  <c r="AI519" i="2"/>
  <c r="L520" i="2"/>
  <c r="R520" i="2" s="1"/>
  <c r="N520" i="2"/>
  <c r="P520" i="2"/>
  <c r="Q520" i="2"/>
  <c r="AE520" i="2"/>
  <c r="AJ520" i="2" s="1"/>
  <c r="AH520" i="2"/>
  <c r="AI520" i="2"/>
  <c r="L521" i="2"/>
  <c r="R521" i="2" s="1"/>
  <c r="N521" i="2"/>
  <c r="P521" i="2"/>
  <c r="Q521" i="2"/>
  <c r="AE521" i="2"/>
  <c r="AJ521" i="2" s="1"/>
  <c r="AH521" i="2"/>
  <c r="AI521" i="2"/>
  <c r="L522" i="2"/>
  <c r="R522" i="2" s="1"/>
  <c r="N522" i="2"/>
  <c r="P522" i="2"/>
  <c r="Q522" i="2"/>
  <c r="AE522" i="2"/>
  <c r="AJ522" i="2" s="1"/>
  <c r="AH522" i="2"/>
  <c r="AI522" i="2"/>
  <c r="L523" i="2"/>
  <c r="R523" i="2" s="1"/>
  <c r="N523" i="2"/>
  <c r="P523" i="2"/>
  <c r="Q523" i="2"/>
  <c r="AE523" i="2"/>
  <c r="AH523" i="2"/>
  <c r="AI523" i="2"/>
  <c r="L524" i="2"/>
  <c r="R524" i="2" s="1"/>
  <c r="N524" i="2"/>
  <c r="P524" i="2"/>
  <c r="S524" i="2" s="1"/>
  <c r="Q524" i="2"/>
  <c r="AE524" i="2"/>
  <c r="AH524" i="2"/>
  <c r="AI524" i="2"/>
  <c r="L525" i="2"/>
  <c r="R525" i="2" s="1"/>
  <c r="N525" i="2"/>
  <c r="P525" i="2"/>
  <c r="Q525" i="2"/>
  <c r="AE525" i="2"/>
  <c r="AJ525" i="2" s="1"/>
  <c r="AH525" i="2"/>
  <c r="AI525" i="2"/>
  <c r="L526" i="2"/>
  <c r="R526" i="2" s="1"/>
  <c r="N526" i="2"/>
  <c r="P526" i="2"/>
  <c r="Q526" i="2"/>
  <c r="AE526" i="2"/>
  <c r="AJ526" i="2" s="1"/>
  <c r="AH526" i="2"/>
  <c r="AI526" i="2"/>
  <c r="L527" i="2"/>
  <c r="R527" i="2" s="1"/>
  <c r="N527" i="2"/>
  <c r="P527" i="2"/>
  <c r="Q527" i="2"/>
  <c r="AE527" i="2"/>
  <c r="AH527" i="2"/>
  <c r="AI527" i="2"/>
  <c r="L528" i="2"/>
  <c r="R528" i="2" s="1"/>
  <c r="N528" i="2"/>
  <c r="P528" i="2"/>
  <c r="Q528" i="2"/>
  <c r="AE528" i="2"/>
  <c r="AJ528" i="2" s="1"/>
  <c r="AH528" i="2"/>
  <c r="AI528" i="2"/>
  <c r="L529" i="2"/>
  <c r="R529" i="2" s="1"/>
  <c r="N529" i="2"/>
  <c r="P529" i="2"/>
  <c r="Q529" i="2"/>
  <c r="AE529" i="2"/>
  <c r="AH529" i="2"/>
  <c r="AI529" i="2"/>
  <c r="L530" i="2"/>
  <c r="R530" i="2" s="1"/>
  <c r="N530" i="2"/>
  <c r="P530" i="2"/>
  <c r="S530" i="2" s="1"/>
  <c r="Q530" i="2"/>
  <c r="AE530" i="2"/>
  <c r="AH530" i="2"/>
  <c r="AI530" i="2"/>
  <c r="L531" i="2"/>
  <c r="R531" i="2" s="1"/>
  <c r="N531" i="2"/>
  <c r="P531" i="2"/>
  <c r="Q531" i="2"/>
  <c r="AE531" i="2"/>
  <c r="AH531" i="2"/>
  <c r="AI531" i="2"/>
  <c r="L532" i="2"/>
  <c r="R532" i="2" s="1"/>
  <c r="N532" i="2"/>
  <c r="P532" i="2"/>
  <c r="Q532" i="2"/>
  <c r="AE532" i="2"/>
  <c r="AJ532" i="2" s="1"/>
  <c r="AH532" i="2"/>
  <c r="AI532" i="2"/>
  <c r="L533" i="2"/>
  <c r="R533" i="2" s="1"/>
  <c r="N533" i="2"/>
  <c r="P533" i="2"/>
  <c r="Q533" i="2"/>
  <c r="AE533" i="2"/>
  <c r="AJ533" i="2" s="1"/>
  <c r="AH533" i="2"/>
  <c r="AI533" i="2"/>
  <c r="L534" i="2"/>
  <c r="N534" i="2"/>
  <c r="P534" i="2"/>
  <c r="Q534" i="2"/>
  <c r="AE534" i="2"/>
  <c r="AH534" i="2"/>
  <c r="AI534" i="2"/>
  <c r="L535" i="2"/>
  <c r="R535" i="2" s="1"/>
  <c r="N535" i="2"/>
  <c r="P535" i="2"/>
  <c r="Q535" i="2"/>
  <c r="AE535" i="2"/>
  <c r="AH535" i="2"/>
  <c r="AI535" i="2"/>
  <c r="L536" i="2"/>
  <c r="N536" i="2"/>
  <c r="P536" i="2"/>
  <c r="S536" i="2" s="1"/>
  <c r="Q536" i="2"/>
  <c r="AE536" i="2"/>
  <c r="AJ536" i="2" s="1"/>
  <c r="AH536" i="2"/>
  <c r="AI536" i="2"/>
  <c r="L537" i="2"/>
  <c r="R537" i="2" s="1"/>
  <c r="N537" i="2"/>
  <c r="P537" i="2"/>
  <c r="Q537" i="2"/>
  <c r="AE537" i="2"/>
  <c r="AJ537" i="2" s="1"/>
  <c r="AH537" i="2"/>
  <c r="AI537" i="2"/>
  <c r="L538" i="2"/>
  <c r="R538" i="2" s="1"/>
  <c r="N538" i="2"/>
  <c r="P538" i="2"/>
  <c r="Q538" i="2"/>
  <c r="AE538" i="2"/>
  <c r="AH538" i="2"/>
  <c r="AI538" i="2"/>
  <c r="L539" i="2"/>
  <c r="R539" i="2" s="1"/>
  <c r="N539" i="2"/>
  <c r="P539" i="2"/>
  <c r="Q539" i="2"/>
  <c r="AE539" i="2"/>
  <c r="AJ539" i="2" s="1"/>
  <c r="AH539" i="2"/>
  <c r="AI539" i="2"/>
  <c r="L540" i="2"/>
  <c r="R540" i="2" s="1"/>
  <c r="N540" i="2"/>
  <c r="P540" i="2"/>
  <c r="Q540" i="2"/>
  <c r="AE540" i="2"/>
  <c r="AH540" i="2"/>
  <c r="AI540" i="2"/>
  <c r="L541" i="2"/>
  <c r="R541" i="2" s="1"/>
  <c r="N541" i="2"/>
  <c r="P541" i="2"/>
  <c r="Q541" i="2"/>
  <c r="AE541" i="2"/>
  <c r="AH541" i="2"/>
  <c r="AI541" i="2"/>
  <c r="L542" i="2"/>
  <c r="N542" i="2"/>
  <c r="P542" i="2"/>
  <c r="S542" i="2" s="1"/>
  <c r="Q542" i="2"/>
  <c r="AE542" i="2"/>
  <c r="AJ542" i="2" s="1"/>
  <c r="AH542" i="2"/>
  <c r="AI542" i="2"/>
  <c r="L543" i="2"/>
  <c r="R543" i="2" s="1"/>
  <c r="N543" i="2"/>
  <c r="P543" i="2"/>
  <c r="Q543" i="2"/>
  <c r="AE543" i="2"/>
  <c r="AH543" i="2"/>
  <c r="AI543" i="2"/>
  <c r="L544" i="2"/>
  <c r="R544" i="2" s="1"/>
  <c r="N544" i="2"/>
  <c r="P544" i="2"/>
  <c r="Q544" i="2"/>
  <c r="AE544" i="2"/>
  <c r="AJ544" i="2" s="1"/>
  <c r="AH544" i="2"/>
  <c r="AI544" i="2"/>
  <c r="L545" i="2"/>
  <c r="N545" i="2"/>
  <c r="P545" i="2"/>
  <c r="Q545" i="2"/>
  <c r="AE545" i="2"/>
  <c r="AJ545" i="2" s="1"/>
  <c r="AH545" i="2"/>
  <c r="AI545" i="2"/>
  <c r="L546" i="2"/>
  <c r="R546" i="2" s="1"/>
  <c r="N546" i="2"/>
  <c r="P546" i="2"/>
  <c r="Q546" i="2"/>
  <c r="AE546" i="2"/>
  <c r="AH546" i="2"/>
  <c r="AI546" i="2"/>
  <c r="L547" i="2"/>
  <c r="N547" i="2"/>
  <c r="P547" i="2"/>
  <c r="Q547" i="2"/>
  <c r="AE547" i="2"/>
  <c r="AJ547" i="2" s="1"/>
  <c r="AH547" i="2"/>
  <c r="AI547" i="2"/>
  <c r="L548" i="2"/>
  <c r="R548" i="2" s="1"/>
  <c r="N548" i="2"/>
  <c r="P548" i="2"/>
  <c r="T548" i="2" s="1"/>
  <c r="Q548" i="2"/>
  <c r="AE548" i="2"/>
  <c r="AJ548" i="2" s="1"/>
  <c r="AH548" i="2"/>
  <c r="AI548" i="2"/>
  <c r="L549" i="2"/>
  <c r="R549" i="2" s="1"/>
  <c r="N549" i="2"/>
  <c r="P549" i="2"/>
  <c r="Q549" i="2"/>
  <c r="AE549" i="2"/>
  <c r="AJ549" i="2" s="1"/>
  <c r="AH549" i="2"/>
  <c r="AI549" i="2"/>
  <c r="L550" i="2"/>
  <c r="R550" i="2" s="1"/>
  <c r="N550" i="2"/>
  <c r="P550" i="2"/>
  <c r="Q550" i="2"/>
  <c r="AE550" i="2"/>
  <c r="AJ550" i="2" s="1"/>
  <c r="AH550" i="2"/>
  <c r="AI550" i="2"/>
  <c r="L551" i="2"/>
  <c r="R551" i="2" s="1"/>
  <c r="N551" i="2"/>
  <c r="P551" i="2"/>
  <c r="Q551" i="2"/>
  <c r="AE551" i="2"/>
  <c r="AJ551" i="2" s="1"/>
  <c r="AH551" i="2"/>
  <c r="AI551" i="2"/>
  <c r="L552" i="2"/>
  <c r="R552" i="2" s="1"/>
  <c r="N552" i="2"/>
  <c r="P552" i="2"/>
  <c r="Q552" i="2"/>
  <c r="AE552" i="2"/>
  <c r="AJ552" i="2" s="1"/>
  <c r="AH552" i="2"/>
  <c r="AI552" i="2"/>
  <c r="L553" i="2"/>
  <c r="R553" i="2" s="1"/>
  <c r="N553" i="2"/>
  <c r="P553" i="2"/>
  <c r="Q553" i="2"/>
  <c r="AE553" i="2"/>
  <c r="AH553" i="2"/>
  <c r="AI553" i="2"/>
  <c r="L554" i="2"/>
  <c r="R554" i="2" s="1"/>
  <c r="N554" i="2"/>
  <c r="P554" i="2"/>
  <c r="S554" i="2" s="1"/>
  <c r="Q554" i="2"/>
  <c r="AE554" i="2"/>
  <c r="AJ554" i="2" s="1"/>
  <c r="AH554" i="2"/>
  <c r="AI554" i="2"/>
  <c r="L555" i="2"/>
  <c r="N555" i="2"/>
  <c r="P555" i="2"/>
  <c r="Q555" i="2"/>
  <c r="AE555" i="2"/>
  <c r="AH555" i="2"/>
  <c r="AI555" i="2"/>
  <c r="L556" i="2"/>
  <c r="R556" i="2" s="1"/>
  <c r="N556" i="2"/>
  <c r="P556" i="2"/>
  <c r="Q556" i="2"/>
  <c r="AE556" i="2"/>
  <c r="AJ556" i="2" s="1"/>
  <c r="AH556" i="2"/>
  <c r="AI556" i="2"/>
  <c r="L557" i="2"/>
  <c r="R557" i="2" s="1"/>
  <c r="N557" i="2"/>
  <c r="P557" i="2"/>
  <c r="Q557" i="2"/>
  <c r="AE557" i="2"/>
  <c r="AJ557" i="2" s="1"/>
  <c r="AH557" i="2"/>
  <c r="AI557" i="2"/>
  <c r="L558" i="2"/>
  <c r="R558" i="2" s="1"/>
  <c r="N558" i="2"/>
  <c r="P558" i="2"/>
  <c r="Q558" i="2"/>
  <c r="AE558" i="2"/>
  <c r="AJ558" i="2" s="1"/>
  <c r="AH558" i="2"/>
  <c r="AI558" i="2"/>
  <c r="L559" i="2"/>
  <c r="R559" i="2" s="1"/>
  <c r="N559" i="2"/>
  <c r="P559" i="2"/>
  <c r="Q559" i="2"/>
  <c r="AE559" i="2"/>
  <c r="AJ559" i="2" s="1"/>
  <c r="AH559" i="2"/>
  <c r="AI559" i="2"/>
  <c r="L560" i="2"/>
  <c r="R560" i="2" s="1"/>
  <c r="N560" i="2"/>
  <c r="P560" i="2"/>
  <c r="S560" i="2" s="1"/>
  <c r="Q560" i="2"/>
  <c r="AE560" i="2"/>
  <c r="AH560" i="2"/>
  <c r="AI560" i="2"/>
  <c r="L561" i="2"/>
  <c r="N561" i="2"/>
  <c r="P561" i="2"/>
  <c r="Q561" i="2"/>
  <c r="AE561" i="2"/>
  <c r="AH561" i="2"/>
  <c r="AI561" i="2"/>
  <c r="L562" i="2"/>
  <c r="R562" i="2" s="1"/>
  <c r="N562" i="2"/>
  <c r="P562" i="2"/>
  <c r="Q562" i="2"/>
  <c r="AE562" i="2"/>
  <c r="AJ562" i="2" s="1"/>
  <c r="AH562" i="2"/>
  <c r="AI562" i="2"/>
  <c r="L563" i="2"/>
  <c r="N563" i="2"/>
  <c r="P563" i="2"/>
  <c r="Q563" i="2"/>
  <c r="AE563" i="2"/>
  <c r="AJ563" i="2" s="1"/>
  <c r="AH563" i="2"/>
  <c r="AI563" i="2"/>
  <c r="L564" i="2"/>
  <c r="R564" i="2" s="1"/>
  <c r="N564" i="2"/>
  <c r="P564" i="2"/>
  <c r="Q564" i="2"/>
  <c r="AE564" i="2"/>
  <c r="AH564" i="2"/>
  <c r="AI564" i="2"/>
  <c r="L565" i="2"/>
  <c r="R565" i="2" s="1"/>
  <c r="N565" i="2"/>
  <c r="P565" i="2"/>
  <c r="Q565" i="2"/>
  <c r="AE565" i="2"/>
  <c r="AH565" i="2"/>
  <c r="AI565" i="2"/>
  <c r="L566" i="2"/>
  <c r="N566" i="2"/>
  <c r="P566" i="2"/>
  <c r="S566" i="2" s="1"/>
  <c r="Q566" i="2"/>
  <c r="AE566" i="2"/>
  <c r="AH566" i="2"/>
  <c r="AI566" i="2"/>
  <c r="L567" i="2"/>
  <c r="R567" i="2" s="1"/>
  <c r="N567" i="2"/>
  <c r="P567" i="2"/>
  <c r="Q567" i="2"/>
  <c r="AE567" i="2"/>
  <c r="AH567" i="2"/>
  <c r="AI567" i="2"/>
  <c r="L568" i="2"/>
  <c r="R568" i="2" s="1"/>
  <c r="N568" i="2"/>
  <c r="P568" i="2"/>
  <c r="Q568" i="2"/>
  <c r="AE568" i="2"/>
  <c r="AJ568" i="2" s="1"/>
  <c r="AH568" i="2"/>
  <c r="AI568" i="2"/>
  <c r="L569" i="2"/>
  <c r="N569" i="2"/>
  <c r="P569" i="2"/>
  <c r="Q569" i="2"/>
  <c r="AE569" i="2"/>
  <c r="AJ569" i="2" s="1"/>
  <c r="AH569" i="2"/>
  <c r="AI569" i="2"/>
  <c r="L570" i="2"/>
  <c r="R570" i="2" s="1"/>
  <c r="N570" i="2"/>
  <c r="P570" i="2"/>
  <c r="Q570" i="2"/>
  <c r="AE570" i="2"/>
  <c r="AH570" i="2"/>
  <c r="AI570" i="2"/>
  <c r="L571" i="2"/>
  <c r="N571" i="2"/>
  <c r="P571" i="2"/>
  <c r="Q571" i="2"/>
  <c r="AE571" i="2"/>
  <c r="AJ571" i="2" s="1"/>
  <c r="AH571" i="2"/>
  <c r="AI571" i="2"/>
  <c r="L572" i="2"/>
  <c r="R572" i="2" s="1"/>
  <c r="N572" i="2"/>
  <c r="P572" i="2"/>
  <c r="S572" i="2" s="1"/>
  <c r="Q572" i="2"/>
  <c r="AE572" i="2"/>
  <c r="AH572" i="2"/>
  <c r="AI572" i="2"/>
  <c r="L573" i="2"/>
  <c r="R573" i="2" s="1"/>
  <c r="N573" i="2"/>
  <c r="P573" i="2"/>
  <c r="Q573" i="2"/>
  <c r="AE573" i="2"/>
  <c r="AH573" i="2"/>
  <c r="AI573" i="2"/>
  <c r="L574" i="2"/>
  <c r="R574" i="2" s="1"/>
  <c r="N574" i="2"/>
  <c r="P574" i="2"/>
  <c r="Q574" i="2"/>
  <c r="AE574" i="2"/>
  <c r="AJ574" i="2" s="1"/>
  <c r="AH574" i="2"/>
  <c r="AI574" i="2"/>
  <c r="L575" i="2"/>
  <c r="N575" i="2"/>
  <c r="P575" i="2"/>
  <c r="Q575" i="2"/>
  <c r="AE575" i="2"/>
  <c r="AJ575" i="2" s="1"/>
  <c r="AH575" i="2"/>
  <c r="AI575" i="2"/>
  <c r="L576" i="2"/>
  <c r="R576" i="2" s="1"/>
  <c r="N576" i="2"/>
  <c r="P576" i="2"/>
  <c r="Q576" i="2"/>
  <c r="AE576" i="2"/>
  <c r="AJ576" i="2" s="1"/>
  <c r="AH576" i="2"/>
  <c r="AI576" i="2"/>
  <c r="L577" i="2"/>
  <c r="N577" i="2"/>
  <c r="P577" i="2"/>
  <c r="Q577" i="2"/>
  <c r="AE577" i="2"/>
  <c r="AH577" i="2"/>
  <c r="AI577" i="2"/>
  <c r="L578" i="2"/>
  <c r="R578" i="2" s="1"/>
  <c r="N578" i="2"/>
  <c r="P578" i="2"/>
  <c r="S578" i="2" s="1"/>
  <c r="Q578" i="2"/>
  <c r="AE578" i="2"/>
  <c r="AJ578" i="2" s="1"/>
  <c r="AH578" i="2"/>
  <c r="AI578" i="2"/>
  <c r="L579" i="2"/>
  <c r="R579" i="2" s="1"/>
  <c r="N579" i="2"/>
  <c r="P579" i="2"/>
  <c r="Q579" i="2"/>
  <c r="AE579" i="2"/>
  <c r="AH579" i="2"/>
  <c r="AI579" i="2"/>
  <c r="L580" i="2"/>
  <c r="R580" i="2" s="1"/>
  <c r="N580" i="2"/>
  <c r="P580" i="2"/>
  <c r="Q580" i="2"/>
  <c r="AE580" i="2"/>
  <c r="AJ580" i="2" s="1"/>
  <c r="AH580" i="2"/>
  <c r="AI580" i="2"/>
  <c r="L581" i="2"/>
  <c r="N581" i="2"/>
  <c r="P581" i="2"/>
  <c r="Q581" i="2"/>
  <c r="AE581" i="2"/>
  <c r="AJ581" i="2" s="1"/>
  <c r="AH581" i="2"/>
  <c r="AI581" i="2"/>
  <c r="L582" i="2"/>
  <c r="R582" i="2" s="1"/>
  <c r="N582" i="2"/>
  <c r="P582" i="2"/>
  <c r="Q582" i="2"/>
  <c r="AE582" i="2"/>
  <c r="AJ582" i="2" s="1"/>
  <c r="AH582" i="2"/>
  <c r="AI582" i="2"/>
  <c r="L583" i="2"/>
  <c r="N583" i="2"/>
  <c r="P583" i="2"/>
  <c r="Q583" i="2"/>
  <c r="AE583" i="2"/>
  <c r="AH583" i="2"/>
  <c r="AI583" i="2"/>
  <c r="L584" i="2"/>
  <c r="R584" i="2" s="1"/>
  <c r="N584" i="2"/>
  <c r="P584" i="2"/>
  <c r="T584" i="2" s="1"/>
  <c r="Q584" i="2"/>
  <c r="AE584" i="2"/>
  <c r="AJ584" i="2" s="1"/>
  <c r="AH584" i="2"/>
  <c r="AI584" i="2"/>
  <c r="L585" i="2"/>
  <c r="R585" i="2" s="1"/>
  <c r="N585" i="2"/>
  <c r="P585" i="2"/>
  <c r="Q585" i="2"/>
  <c r="AE585" i="2"/>
  <c r="AH585" i="2"/>
  <c r="AI585" i="2"/>
  <c r="L586" i="2"/>
  <c r="R586" i="2" s="1"/>
  <c r="N586" i="2"/>
  <c r="P586" i="2"/>
  <c r="Q586" i="2"/>
  <c r="AE586" i="2"/>
  <c r="AJ586" i="2" s="1"/>
  <c r="AH586" i="2"/>
  <c r="AI586" i="2"/>
  <c r="L587" i="2"/>
  <c r="N587" i="2"/>
  <c r="P587" i="2"/>
  <c r="Q587" i="2"/>
  <c r="AE587" i="2"/>
  <c r="AJ587" i="2" s="1"/>
  <c r="AH587" i="2"/>
  <c r="AI587" i="2"/>
  <c r="L588" i="2"/>
  <c r="R588" i="2" s="1"/>
  <c r="N588" i="2"/>
  <c r="P588" i="2"/>
  <c r="Q588" i="2"/>
  <c r="AE588" i="2"/>
  <c r="AH588" i="2"/>
  <c r="AI588" i="2"/>
  <c r="L589" i="2"/>
  <c r="N589" i="2"/>
  <c r="P589" i="2"/>
  <c r="Q589" i="2"/>
  <c r="AE589" i="2"/>
  <c r="AJ589" i="2" s="1"/>
  <c r="AH589" i="2"/>
  <c r="AI589" i="2"/>
  <c r="L590" i="2"/>
  <c r="R590" i="2" s="1"/>
  <c r="N590" i="2"/>
  <c r="P590" i="2"/>
  <c r="S590" i="2" s="1"/>
  <c r="Q590" i="2"/>
  <c r="AE590" i="2"/>
  <c r="AJ590" i="2" s="1"/>
  <c r="AH590" i="2"/>
  <c r="AI590" i="2"/>
  <c r="L591" i="2"/>
  <c r="N591" i="2"/>
  <c r="P591" i="2"/>
  <c r="Q591" i="2"/>
  <c r="AE591" i="2"/>
  <c r="AH591" i="2"/>
  <c r="AI591" i="2"/>
  <c r="L592" i="2"/>
  <c r="R592" i="2" s="1"/>
  <c r="N592" i="2"/>
  <c r="P592" i="2"/>
  <c r="Q592" i="2"/>
  <c r="AE592" i="2"/>
  <c r="AH592" i="2"/>
  <c r="AI592" i="2"/>
  <c r="L593" i="2"/>
  <c r="N593" i="2"/>
  <c r="P593" i="2"/>
  <c r="Q593" i="2"/>
  <c r="AE593" i="2"/>
  <c r="AH593" i="2"/>
  <c r="AI593" i="2"/>
  <c r="L594" i="2"/>
  <c r="R594" i="2" s="1"/>
  <c r="N594" i="2"/>
  <c r="P594" i="2"/>
  <c r="Q594" i="2"/>
  <c r="AE594" i="2"/>
  <c r="AJ594" i="2" s="1"/>
  <c r="AH594" i="2"/>
  <c r="AI594" i="2"/>
  <c r="L595" i="2"/>
  <c r="R595" i="2" s="1"/>
  <c r="N595" i="2"/>
  <c r="P595" i="2"/>
  <c r="Q595" i="2"/>
  <c r="AE595" i="2"/>
  <c r="AJ595" i="2" s="1"/>
  <c r="AH595" i="2"/>
  <c r="AI595" i="2"/>
  <c r="L596" i="2"/>
  <c r="R596" i="2" s="1"/>
  <c r="N596" i="2"/>
  <c r="P596" i="2"/>
  <c r="S596" i="2" s="1"/>
  <c r="Q596" i="2"/>
  <c r="AE596" i="2"/>
  <c r="AH596" i="2"/>
  <c r="AI596" i="2"/>
  <c r="L597" i="2"/>
  <c r="R597" i="2" s="1"/>
  <c r="N597" i="2"/>
  <c r="P597" i="2"/>
  <c r="Q597" i="2"/>
  <c r="AE597" i="2"/>
  <c r="AH597" i="2"/>
  <c r="AI597" i="2"/>
  <c r="L598" i="2"/>
  <c r="R598" i="2" s="1"/>
  <c r="N598" i="2"/>
  <c r="P598" i="2"/>
  <c r="Q598" i="2"/>
  <c r="AE598" i="2"/>
  <c r="AJ598" i="2" s="1"/>
  <c r="AH598" i="2"/>
  <c r="AI598" i="2"/>
  <c r="L599" i="2"/>
  <c r="R599" i="2" s="1"/>
  <c r="N599" i="2"/>
  <c r="P599" i="2"/>
  <c r="Q599" i="2"/>
  <c r="AE599" i="2"/>
  <c r="AJ599" i="2" s="1"/>
  <c r="AH599" i="2"/>
  <c r="AI599" i="2"/>
  <c r="L600" i="2"/>
  <c r="R600" i="2" s="1"/>
  <c r="N600" i="2"/>
  <c r="P600" i="2"/>
  <c r="Q600" i="2"/>
  <c r="AE600" i="2"/>
  <c r="AH600" i="2"/>
  <c r="AI600" i="2"/>
  <c r="L601" i="2"/>
  <c r="N601" i="2"/>
  <c r="P601" i="2"/>
  <c r="Q601" i="2"/>
  <c r="AE601" i="2"/>
  <c r="AJ601" i="2" s="1"/>
  <c r="AH601" i="2"/>
  <c r="AI601" i="2"/>
  <c r="L602" i="2"/>
  <c r="N602" i="2"/>
  <c r="P602" i="2"/>
  <c r="S602" i="2" s="1"/>
  <c r="Q602" i="2"/>
  <c r="AE602" i="2"/>
  <c r="AH602" i="2"/>
  <c r="AI602" i="2"/>
  <c r="L603" i="2"/>
  <c r="N603" i="2"/>
  <c r="P603" i="2"/>
  <c r="Q603" i="2"/>
  <c r="AE603" i="2"/>
  <c r="AH603" i="2"/>
  <c r="AI603" i="2"/>
  <c r="L604" i="2"/>
  <c r="N604" i="2"/>
  <c r="P604" i="2"/>
  <c r="Q604" i="2"/>
  <c r="AE604" i="2"/>
  <c r="AJ604" i="2" s="1"/>
  <c r="AH604" i="2"/>
  <c r="AI604" i="2"/>
  <c r="L605" i="2"/>
  <c r="R605" i="2" s="1"/>
  <c r="N605" i="2"/>
  <c r="P605" i="2"/>
  <c r="Q605" i="2"/>
  <c r="AE605" i="2"/>
  <c r="AJ605" i="2" s="1"/>
  <c r="AH605" i="2"/>
  <c r="AI605" i="2"/>
  <c r="L606" i="2"/>
  <c r="R606" i="2" s="1"/>
  <c r="N606" i="2"/>
  <c r="P606" i="2"/>
  <c r="Q606" i="2"/>
  <c r="AE606" i="2"/>
  <c r="AJ606" i="2" s="1"/>
  <c r="AH606" i="2"/>
  <c r="AI606" i="2"/>
  <c r="L607" i="2"/>
  <c r="R607" i="2" s="1"/>
  <c r="N607" i="2"/>
  <c r="P607" i="2"/>
  <c r="Q607" i="2"/>
  <c r="AE607" i="2"/>
  <c r="AJ607" i="2" s="1"/>
  <c r="AH607" i="2"/>
  <c r="AI607" i="2"/>
  <c r="L608" i="2"/>
  <c r="N608" i="2"/>
  <c r="P608" i="2"/>
  <c r="S608" i="2" s="1"/>
  <c r="Q608" i="2"/>
  <c r="AE608" i="2"/>
  <c r="AJ608" i="2" s="1"/>
  <c r="AH608" i="2"/>
  <c r="AI608" i="2"/>
  <c r="L609" i="2"/>
  <c r="R609" i="2" s="1"/>
  <c r="N609" i="2"/>
  <c r="P609" i="2"/>
  <c r="Q609" i="2"/>
  <c r="AE609" i="2"/>
  <c r="AH609" i="2"/>
  <c r="AI609" i="2"/>
  <c r="L610" i="2"/>
  <c r="R610" i="2" s="1"/>
  <c r="N610" i="2"/>
  <c r="P610" i="2"/>
  <c r="Q610" i="2"/>
  <c r="AE610" i="2"/>
  <c r="AH610" i="2"/>
  <c r="AI610" i="2"/>
  <c r="L611" i="2"/>
  <c r="N611" i="2"/>
  <c r="P611" i="2"/>
  <c r="Q611" i="2"/>
  <c r="AE611" i="2"/>
  <c r="AJ611" i="2" s="1"/>
  <c r="AH611" i="2"/>
  <c r="AI611" i="2"/>
  <c r="L612" i="2"/>
  <c r="R612" i="2" s="1"/>
  <c r="N612" i="2"/>
  <c r="P612" i="2"/>
  <c r="Q612" i="2"/>
  <c r="AE612" i="2"/>
  <c r="AH612" i="2"/>
  <c r="AI612" i="2"/>
  <c r="L613" i="2"/>
  <c r="N613" i="2"/>
  <c r="P613" i="2"/>
  <c r="Q613" i="2"/>
  <c r="AE613" i="2"/>
  <c r="AH613" i="2"/>
  <c r="AI613" i="2"/>
  <c r="L614" i="2"/>
  <c r="R614" i="2" s="1"/>
  <c r="N614" i="2"/>
  <c r="P614" i="2"/>
  <c r="S614" i="2" s="1"/>
  <c r="Q614" i="2"/>
  <c r="AE614" i="2"/>
  <c r="AJ614" i="2" s="1"/>
  <c r="AH614" i="2"/>
  <c r="AI614" i="2"/>
  <c r="L615" i="2"/>
  <c r="N615" i="2"/>
  <c r="P615" i="2"/>
  <c r="Q615" i="2"/>
  <c r="AE615" i="2"/>
  <c r="AH615" i="2"/>
  <c r="AI615" i="2"/>
  <c r="L616" i="2"/>
  <c r="N616" i="2"/>
  <c r="P616" i="2"/>
  <c r="Q616" i="2"/>
  <c r="AE616" i="2"/>
  <c r="AJ616" i="2" s="1"/>
  <c r="AH616" i="2"/>
  <c r="AI616" i="2"/>
  <c r="L617" i="2"/>
  <c r="N617" i="2"/>
  <c r="P617" i="2"/>
  <c r="Q617" i="2"/>
  <c r="AE617" i="2"/>
  <c r="AJ617" i="2" s="1"/>
  <c r="AH617" i="2"/>
  <c r="AI617" i="2"/>
  <c r="L618" i="2"/>
  <c r="R618" i="2" s="1"/>
  <c r="N618" i="2"/>
  <c r="P618" i="2"/>
  <c r="Q618" i="2"/>
  <c r="AE618" i="2"/>
  <c r="AJ618" i="2" s="1"/>
  <c r="AH618" i="2"/>
  <c r="AI618" i="2"/>
  <c r="L619" i="2"/>
  <c r="N619" i="2"/>
  <c r="P619" i="2"/>
  <c r="Q619" i="2"/>
  <c r="AE619" i="2"/>
  <c r="AH619" i="2"/>
  <c r="AI619" i="2"/>
  <c r="L620" i="2"/>
  <c r="R620" i="2" s="1"/>
  <c r="N620" i="2"/>
  <c r="P620" i="2"/>
  <c r="T620" i="2" s="1"/>
  <c r="Q620" i="2"/>
  <c r="AE620" i="2"/>
  <c r="AJ620" i="2" s="1"/>
  <c r="AH620" i="2"/>
  <c r="AI620" i="2"/>
  <c r="L621" i="2"/>
  <c r="R621" i="2" s="1"/>
  <c r="N621" i="2"/>
  <c r="P621" i="2"/>
  <c r="Q621" i="2"/>
  <c r="AE621" i="2"/>
  <c r="AH621" i="2"/>
  <c r="AI621" i="2"/>
  <c r="L622" i="2"/>
  <c r="N622" i="2"/>
  <c r="P622" i="2"/>
  <c r="Q622" i="2"/>
  <c r="AE622" i="2"/>
  <c r="AH622" i="2"/>
  <c r="AI622" i="2"/>
  <c r="L623" i="2"/>
  <c r="R623" i="2" s="1"/>
  <c r="N623" i="2"/>
  <c r="P623" i="2"/>
  <c r="Q623" i="2"/>
  <c r="AE623" i="2"/>
  <c r="AJ623" i="2" s="1"/>
  <c r="AH623" i="2"/>
  <c r="AI623" i="2"/>
  <c r="L624" i="2"/>
  <c r="R624" i="2" s="1"/>
  <c r="N624" i="2"/>
  <c r="P624" i="2"/>
  <c r="Q624" i="2"/>
  <c r="AE624" i="2"/>
  <c r="AJ624" i="2" s="1"/>
  <c r="AH624" i="2"/>
  <c r="AI624" i="2"/>
  <c r="L625" i="2"/>
  <c r="R625" i="2" s="1"/>
  <c r="N625" i="2"/>
  <c r="P625" i="2"/>
  <c r="Q625" i="2"/>
  <c r="AE625" i="2"/>
  <c r="AH625" i="2"/>
  <c r="AI625" i="2"/>
  <c r="L626" i="2"/>
  <c r="N626" i="2"/>
  <c r="P626" i="2"/>
  <c r="S626" i="2" s="1"/>
  <c r="Q626" i="2"/>
  <c r="AE626" i="2"/>
  <c r="AH626" i="2"/>
  <c r="AI626" i="2"/>
  <c r="L627" i="2"/>
  <c r="R627" i="2" s="1"/>
  <c r="N627" i="2"/>
  <c r="P627" i="2"/>
  <c r="Q627" i="2"/>
  <c r="AE627" i="2"/>
  <c r="AH627" i="2"/>
  <c r="AI627" i="2"/>
  <c r="L628" i="2"/>
  <c r="R628" i="2" s="1"/>
  <c r="N628" i="2"/>
  <c r="P628" i="2"/>
  <c r="Q628" i="2"/>
  <c r="AE628" i="2"/>
  <c r="AJ628" i="2" s="1"/>
  <c r="AH628" i="2"/>
  <c r="AI628" i="2"/>
  <c r="L629" i="2"/>
  <c r="R629" i="2" s="1"/>
  <c r="N629" i="2"/>
  <c r="P629" i="2"/>
  <c r="Q629" i="2"/>
  <c r="AE629" i="2"/>
  <c r="AJ629" i="2" s="1"/>
  <c r="AH629" i="2"/>
  <c r="AI629" i="2"/>
  <c r="L630" i="2"/>
  <c r="R630" i="2" s="1"/>
  <c r="N630" i="2"/>
  <c r="P630" i="2"/>
  <c r="Q630" i="2"/>
  <c r="AE630" i="2"/>
  <c r="AJ630" i="2" s="1"/>
  <c r="AH630" i="2"/>
  <c r="AI630" i="2"/>
  <c r="L631" i="2"/>
  <c r="R631" i="2" s="1"/>
  <c r="N631" i="2"/>
  <c r="P631" i="2"/>
  <c r="Q631" i="2"/>
  <c r="AE631" i="2"/>
  <c r="AH631" i="2"/>
  <c r="AI631" i="2"/>
  <c r="L632" i="2"/>
  <c r="R632" i="2" s="1"/>
  <c r="N632" i="2"/>
  <c r="P632" i="2"/>
  <c r="S632" i="2" s="1"/>
  <c r="Q632" i="2"/>
  <c r="AE632" i="2"/>
  <c r="AH632" i="2"/>
  <c r="AI632" i="2"/>
  <c r="L633" i="2"/>
  <c r="R633" i="2" s="1"/>
  <c r="N633" i="2"/>
  <c r="P633" i="2"/>
  <c r="Q633" i="2"/>
  <c r="AE633" i="2"/>
  <c r="AH633" i="2"/>
  <c r="AI633" i="2"/>
  <c r="L634" i="2"/>
  <c r="R634" i="2" s="1"/>
  <c r="N634" i="2"/>
  <c r="P634" i="2"/>
  <c r="Q634" i="2"/>
  <c r="AE634" i="2"/>
  <c r="AJ634" i="2" s="1"/>
  <c r="AH634" i="2"/>
  <c r="AI634" i="2"/>
  <c r="L635" i="2"/>
  <c r="R635" i="2" s="1"/>
  <c r="N635" i="2"/>
  <c r="P635" i="2"/>
  <c r="Q635" i="2"/>
  <c r="AE635" i="2"/>
  <c r="AJ635" i="2" s="1"/>
  <c r="AH635" i="2"/>
  <c r="AI635" i="2"/>
  <c r="L636" i="2"/>
  <c r="R636" i="2" s="1"/>
  <c r="N636" i="2"/>
  <c r="P636" i="2"/>
  <c r="Q636" i="2"/>
  <c r="AE636" i="2"/>
  <c r="AJ636" i="2" s="1"/>
  <c r="AH636" i="2"/>
  <c r="AI636" i="2"/>
  <c r="L637" i="2"/>
  <c r="R637" i="2" s="1"/>
  <c r="N637" i="2"/>
  <c r="P637" i="2"/>
  <c r="Q637" i="2"/>
  <c r="AE637" i="2"/>
  <c r="AH637" i="2"/>
  <c r="AI637" i="2"/>
  <c r="L638" i="2"/>
  <c r="N638" i="2"/>
  <c r="P638" i="2"/>
  <c r="S638" i="2" s="1"/>
  <c r="Q638" i="2"/>
  <c r="AE638" i="2"/>
  <c r="AH638" i="2"/>
  <c r="AI638" i="2"/>
  <c r="L639" i="2"/>
  <c r="R639" i="2" s="1"/>
  <c r="N639" i="2"/>
  <c r="P639" i="2"/>
  <c r="Q639" i="2"/>
  <c r="AE639" i="2"/>
  <c r="AH639" i="2"/>
  <c r="AI639" i="2"/>
  <c r="L640" i="2"/>
  <c r="R640" i="2" s="1"/>
  <c r="N640" i="2"/>
  <c r="P640" i="2"/>
  <c r="Q640" i="2"/>
  <c r="AE640" i="2"/>
  <c r="AJ640" i="2" s="1"/>
  <c r="AH640" i="2"/>
  <c r="AI640" i="2"/>
  <c r="L641" i="2"/>
  <c r="R641" i="2" s="1"/>
  <c r="N641" i="2"/>
  <c r="P641" i="2"/>
  <c r="Q641" i="2"/>
  <c r="AE641" i="2"/>
  <c r="AJ641" i="2" s="1"/>
  <c r="AH641" i="2"/>
  <c r="AI641" i="2"/>
  <c r="L642" i="2"/>
  <c r="R642" i="2" s="1"/>
  <c r="N642" i="2"/>
  <c r="P642" i="2"/>
  <c r="Q642" i="2"/>
  <c r="AE642" i="2"/>
  <c r="AH642" i="2"/>
  <c r="AI642" i="2"/>
  <c r="L643" i="2"/>
  <c r="R643" i="2" s="1"/>
  <c r="N643" i="2"/>
  <c r="P643" i="2"/>
  <c r="Q643" i="2"/>
  <c r="AE643" i="2"/>
  <c r="AH643" i="2"/>
  <c r="AI643" i="2"/>
  <c r="L644" i="2"/>
  <c r="R644" i="2" s="1"/>
  <c r="N644" i="2"/>
  <c r="P644" i="2"/>
  <c r="S644" i="2" s="1"/>
  <c r="Q644" i="2"/>
  <c r="AE644" i="2"/>
  <c r="AH644" i="2"/>
  <c r="AI644" i="2"/>
  <c r="L645" i="2"/>
  <c r="R645" i="2" s="1"/>
  <c r="N645" i="2"/>
  <c r="P645" i="2"/>
  <c r="Q645" i="2"/>
  <c r="AE645" i="2"/>
  <c r="AJ645" i="2" s="1"/>
  <c r="AH645" i="2"/>
  <c r="AI645" i="2"/>
  <c r="L646" i="2"/>
  <c r="R646" i="2" s="1"/>
  <c r="N646" i="2"/>
  <c r="P646" i="2"/>
  <c r="Q646" i="2"/>
  <c r="AE646" i="2"/>
  <c r="AJ646" i="2" s="1"/>
  <c r="AH646" i="2"/>
  <c r="AI646" i="2"/>
  <c r="L647" i="2"/>
  <c r="R647" i="2" s="1"/>
  <c r="N647" i="2"/>
  <c r="P647" i="2"/>
  <c r="Q647" i="2"/>
  <c r="AE647" i="2"/>
  <c r="AJ647" i="2" s="1"/>
  <c r="AH647" i="2"/>
  <c r="AI647" i="2"/>
  <c r="L648" i="2"/>
  <c r="R648" i="2" s="1"/>
  <c r="N648" i="2"/>
  <c r="P648" i="2"/>
  <c r="Q648" i="2"/>
  <c r="AE648" i="2"/>
  <c r="AJ648" i="2" s="1"/>
  <c r="AH648" i="2"/>
  <c r="AI648" i="2"/>
  <c r="L649" i="2"/>
  <c r="R649" i="2" s="1"/>
  <c r="N649" i="2"/>
  <c r="P649" i="2"/>
  <c r="Q649" i="2"/>
  <c r="AE649" i="2"/>
  <c r="AH649" i="2"/>
  <c r="AI649" i="2"/>
  <c r="L650" i="2"/>
  <c r="N650" i="2"/>
  <c r="P650" i="2"/>
  <c r="S650" i="2" s="1"/>
  <c r="Q650" i="2"/>
  <c r="AE650" i="2"/>
  <c r="AH650" i="2"/>
  <c r="AI650" i="2"/>
  <c r="L651" i="2"/>
  <c r="R651" i="2" s="1"/>
  <c r="N651" i="2"/>
  <c r="P651" i="2"/>
  <c r="Q651" i="2"/>
  <c r="AE651" i="2"/>
  <c r="AJ651" i="2" s="1"/>
  <c r="AH651" i="2"/>
  <c r="AI651" i="2"/>
  <c r="L652" i="2"/>
  <c r="R652" i="2" s="1"/>
  <c r="N652" i="2"/>
  <c r="P652" i="2"/>
  <c r="Q652" i="2"/>
  <c r="AE652" i="2"/>
  <c r="AJ652" i="2" s="1"/>
  <c r="AH652" i="2"/>
  <c r="AI652" i="2"/>
  <c r="L653" i="2"/>
  <c r="R653" i="2" s="1"/>
  <c r="N653" i="2"/>
  <c r="P653" i="2"/>
  <c r="Q653" i="2"/>
  <c r="AE653" i="2"/>
  <c r="AJ653" i="2" s="1"/>
  <c r="AH653" i="2"/>
  <c r="AI653" i="2"/>
  <c r="L654" i="2"/>
  <c r="R654" i="2" s="1"/>
  <c r="N654" i="2"/>
  <c r="P654" i="2"/>
  <c r="Q654" i="2"/>
  <c r="AE654" i="2"/>
  <c r="AH654" i="2"/>
  <c r="AI654" i="2"/>
  <c r="L655" i="2"/>
  <c r="R655" i="2" s="1"/>
  <c r="N655" i="2"/>
  <c r="P655" i="2"/>
  <c r="Q655" i="2"/>
  <c r="AE655" i="2"/>
  <c r="AJ655" i="2" s="1"/>
  <c r="AH655" i="2"/>
  <c r="AI655" i="2"/>
  <c r="L656" i="2"/>
  <c r="R656" i="2" s="1"/>
  <c r="N656" i="2"/>
  <c r="P656" i="2"/>
  <c r="T656" i="2" s="1"/>
  <c r="Q656" i="2"/>
  <c r="AE656" i="2"/>
  <c r="AH656" i="2"/>
  <c r="AI656" i="2"/>
  <c r="L657" i="2"/>
  <c r="R657" i="2" s="1"/>
  <c r="N657" i="2"/>
  <c r="P657" i="2"/>
  <c r="Q657" i="2"/>
  <c r="AE657" i="2"/>
  <c r="AJ657" i="2" s="1"/>
  <c r="AH657" i="2"/>
  <c r="AI657" i="2"/>
  <c r="L658" i="2"/>
  <c r="R658" i="2" s="1"/>
  <c r="N658" i="2"/>
  <c r="P658" i="2"/>
  <c r="Q658" i="2"/>
  <c r="AE658" i="2"/>
  <c r="AJ658" i="2" s="1"/>
  <c r="AH658" i="2"/>
  <c r="AI658" i="2"/>
  <c r="L659" i="2"/>
  <c r="R659" i="2" s="1"/>
  <c r="N659" i="2"/>
  <c r="P659" i="2"/>
  <c r="Q659" i="2"/>
  <c r="AE659" i="2"/>
  <c r="AJ659" i="2" s="1"/>
  <c r="AH659" i="2"/>
  <c r="AI659" i="2"/>
  <c r="L660" i="2"/>
  <c r="R660" i="2" s="1"/>
  <c r="N660" i="2"/>
  <c r="P660" i="2"/>
  <c r="Q660" i="2"/>
  <c r="AE660" i="2"/>
  <c r="AJ660" i="2" s="1"/>
  <c r="AH660" i="2"/>
  <c r="AI660" i="2"/>
  <c r="L661" i="2"/>
  <c r="N661" i="2"/>
  <c r="P661" i="2"/>
  <c r="Q661" i="2"/>
  <c r="AE661" i="2"/>
  <c r="AH661" i="2"/>
  <c r="AI661" i="2"/>
  <c r="L662" i="2"/>
  <c r="R662" i="2" s="1"/>
  <c r="N662" i="2"/>
  <c r="P662" i="2"/>
  <c r="S662" i="2" s="1"/>
  <c r="Q662" i="2"/>
  <c r="AE662" i="2"/>
  <c r="AH662" i="2"/>
  <c r="AI662" i="2"/>
  <c r="L663" i="2"/>
  <c r="R663" i="2" s="1"/>
  <c r="N663" i="2"/>
  <c r="P663" i="2"/>
  <c r="Q663" i="2"/>
  <c r="AE663" i="2"/>
  <c r="AJ663" i="2" s="1"/>
  <c r="AH663" i="2"/>
  <c r="AI663" i="2"/>
  <c r="L664" i="2"/>
  <c r="R664" i="2" s="1"/>
  <c r="N664" i="2"/>
  <c r="P664" i="2"/>
  <c r="Q664" i="2"/>
  <c r="AE664" i="2"/>
  <c r="AJ664" i="2" s="1"/>
  <c r="AH664" i="2"/>
  <c r="AI664" i="2"/>
  <c r="L665" i="2"/>
  <c r="R665" i="2" s="1"/>
  <c r="N665" i="2"/>
  <c r="P665" i="2"/>
  <c r="Q665" i="2"/>
  <c r="AE665" i="2"/>
  <c r="AJ665" i="2" s="1"/>
  <c r="AH665" i="2"/>
  <c r="AI665" i="2"/>
  <c r="L666" i="2"/>
  <c r="R666" i="2" s="1"/>
  <c r="N666" i="2"/>
  <c r="P666" i="2"/>
  <c r="Q666" i="2"/>
  <c r="AE666" i="2"/>
  <c r="AH666" i="2"/>
  <c r="AI666" i="2"/>
  <c r="L667" i="2"/>
  <c r="R667" i="2" s="1"/>
  <c r="N667" i="2"/>
  <c r="P667" i="2"/>
  <c r="Q667" i="2"/>
  <c r="AE667" i="2"/>
  <c r="AJ667" i="2" s="1"/>
  <c r="AH667" i="2"/>
  <c r="AI667" i="2"/>
  <c r="L668" i="2"/>
  <c r="N668" i="2"/>
  <c r="P668" i="2"/>
  <c r="S668" i="2" s="1"/>
  <c r="Q668" i="2"/>
  <c r="AE668" i="2"/>
  <c r="AH668" i="2"/>
  <c r="AI668" i="2"/>
  <c r="L669" i="2"/>
  <c r="N669" i="2"/>
  <c r="P669" i="2"/>
  <c r="Q669" i="2"/>
  <c r="AE669" i="2"/>
  <c r="AJ669" i="2" s="1"/>
  <c r="AH669" i="2"/>
  <c r="AI669" i="2"/>
  <c r="L670" i="2"/>
  <c r="R670" i="2" s="1"/>
  <c r="N670" i="2"/>
  <c r="P670" i="2"/>
  <c r="Q670" i="2"/>
  <c r="AE670" i="2"/>
  <c r="AJ670" i="2" s="1"/>
  <c r="AH670" i="2"/>
  <c r="AI670" i="2"/>
  <c r="L671" i="2"/>
  <c r="R671" i="2" s="1"/>
  <c r="N671" i="2"/>
  <c r="P671" i="2"/>
  <c r="Q671" i="2"/>
  <c r="AE671" i="2"/>
  <c r="AJ671" i="2" s="1"/>
  <c r="AH671" i="2"/>
  <c r="AI671" i="2"/>
  <c r="L672" i="2"/>
  <c r="R672" i="2" s="1"/>
  <c r="N672" i="2"/>
  <c r="P672" i="2"/>
  <c r="Q672" i="2"/>
  <c r="AE672" i="2"/>
  <c r="AH672" i="2"/>
  <c r="AI672" i="2"/>
  <c r="L673" i="2"/>
  <c r="R673" i="2" s="1"/>
  <c r="N673" i="2"/>
  <c r="P673" i="2"/>
  <c r="Q673" i="2"/>
  <c r="AE673" i="2"/>
  <c r="AH673" i="2"/>
  <c r="AI673" i="2"/>
  <c r="L674" i="2"/>
  <c r="N674" i="2"/>
  <c r="P674" i="2"/>
  <c r="S674" i="2" s="1"/>
  <c r="Q674" i="2"/>
  <c r="AE674" i="2"/>
  <c r="AH674" i="2"/>
  <c r="AI674" i="2"/>
  <c r="L675" i="2"/>
  <c r="R675" i="2" s="1"/>
  <c r="N675" i="2"/>
  <c r="P675" i="2"/>
  <c r="Q675" i="2"/>
  <c r="AE675" i="2"/>
  <c r="AJ675" i="2" s="1"/>
  <c r="AH675" i="2"/>
  <c r="AI675" i="2"/>
  <c r="L676" i="2"/>
  <c r="R676" i="2" s="1"/>
  <c r="N676" i="2"/>
  <c r="P676" i="2"/>
  <c r="Q676" i="2"/>
  <c r="AE676" i="2"/>
  <c r="AJ676" i="2" s="1"/>
  <c r="AH676" i="2"/>
  <c r="AI676" i="2"/>
  <c r="L677" i="2"/>
  <c r="R677" i="2" s="1"/>
  <c r="N677" i="2"/>
  <c r="P677" i="2"/>
  <c r="Q677" i="2"/>
  <c r="AE677" i="2"/>
  <c r="AJ677" i="2" s="1"/>
  <c r="AH677" i="2"/>
  <c r="AI677" i="2"/>
  <c r="L678" i="2"/>
  <c r="R678" i="2" s="1"/>
  <c r="N678" i="2"/>
  <c r="P678" i="2"/>
  <c r="Q678" i="2"/>
  <c r="AE678" i="2"/>
  <c r="AH678" i="2"/>
  <c r="AI678" i="2"/>
  <c r="L679" i="2"/>
  <c r="R679" i="2" s="1"/>
  <c r="N679" i="2"/>
  <c r="P679" i="2"/>
  <c r="Q679" i="2"/>
  <c r="AE679" i="2"/>
  <c r="AH679" i="2"/>
  <c r="AI679" i="2"/>
  <c r="L680" i="2"/>
  <c r="R680" i="2" s="1"/>
  <c r="N680" i="2"/>
  <c r="P680" i="2"/>
  <c r="S680" i="2" s="1"/>
  <c r="Q680" i="2"/>
  <c r="AE680" i="2"/>
  <c r="AH680" i="2"/>
  <c r="AI680" i="2"/>
  <c r="L681" i="2"/>
  <c r="R681" i="2" s="1"/>
  <c r="N681" i="2"/>
  <c r="P681" i="2"/>
  <c r="Q681" i="2"/>
  <c r="AE681" i="2"/>
  <c r="AJ681" i="2" s="1"/>
  <c r="AH681" i="2"/>
  <c r="AI681" i="2"/>
  <c r="L682" i="2"/>
  <c r="N682" i="2"/>
  <c r="P682" i="2"/>
  <c r="Q682" i="2"/>
  <c r="AE682" i="2"/>
  <c r="AJ682" i="2" s="1"/>
  <c r="AH682" i="2"/>
  <c r="AI682" i="2"/>
  <c r="L683" i="2"/>
  <c r="R683" i="2" s="1"/>
  <c r="N683" i="2"/>
  <c r="P683" i="2"/>
  <c r="Q683" i="2"/>
  <c r="AE683" i="2"/>
  <c r="AJ683" i="2" s="1"/>
  <c r="AH683" i="2"/>
  <c r="AI683" i="2"/>
  <c r="L684" i="2"/>
  <c r="R684" i="2" s="1"/>
  <c r="N684" i="2"/>
  <c r="P684" i="2"/>
  <c r="Q684" i="2"/>
  <c r="AE684" i="2"/>
  <c r="AJ684" i="2" s="1"/>
  <c r="AH684" i="2"/>
  <c r="AI684" i="2"/>
  <c r="L685" i="2"/>
  <c r="N685" i="2"/>
  <c r="P685" i="2"/>
  <c r="Q685" i="2"/>
  <c r="AE685" i="2"/>
  <c r="AH685" i="2"/>
  <c r="AI685" i="2"/>
  <c r="L686" i="2"/>
  <c r="R686" i="2" s="1"/>
  <c r="N686" i="2"/>
  <c r="P686" i="2"/>
  <c r="S686" i="2" s="1"/>
  <c r="Q686" i="2"/>
  <c r="AE686" i="2"/>
  <c r="AH686" i="2"/>
  <c r="AI686" i="2"/>
  <c r="L687" i="2"/>
  <c r="R687" i="2" s="1"/>
  <c r="N687" i="2"/>
  <c r="P687" i="2"/>
  <c r="Q687" i="2"/>
  <c r="AE687" i="2"/>
  <c r="AJ687" i="2" s="1"/>
  <c r="AH687" i="2"/>
  <c r="AI687" i="2"/>
  <c r="L688" i="2"/>
  <c r="R688" i="2" s="1"/>
  <c r="N688" i="2"/>
  <c r="P688" i="2"/>
  <c r="Q688" i="2"/>
  <c r="AE688" i="2"/>
  <c r="AJ688" i="2" s="1"/>
  <c r="AH688" i="2"/>
  <c r="AI688" i="2"/>
  <c r="L689" i="2"/>
  <c r="R689" i="2" s="1"/>
  <c r="N689" i="2"/>
  <c r="P689" i="2"/>
  <c r="Q689" i="2"/>
  <c r="AE689" i="2"/>
  <c r="AJ689" i="2" s="1"/>
  <c r="AH689" i="2"/>
  <c r="AI689" i="2"/>
  <c r="L690" i="2"/>
  <c r="R690" i="2" s="1"/>
  <c r="N690" i="2"/>
  <c r="P690" i="2"/>
  <c r="Q690" i="2"/>
  <c r="AE690" i="2"/>
  <c r="AH690" i="2"/>
  <c r="AI690" i="2"/>
  <c r="L691" i="2"/>
  <c r="N691" i="2"/>
  <c r="P691" i="2"/>
  <c r="Q691" i="2"/>
  <c r="AE691" i="2"/>
  <c r="AH691" i="2"/>
  <c r="AI691" i="2"/>
  <c r="L692" i="2"/>
  <c r="N692" i="2"/>
  <c r="P692" i="2"/>
  <c r="T692" i="2" s="1"/>
  <c r="Q692" i="2"/>
  <c r="AE692" i="2"/>
  <c r="AH692" i="2"/>
  <c r="AI692" i="2"/>
  <c r="L693" i="2"/>
  <c r="R693" i="2" s="1"/>
  <c r="N693" i="2"/>
  <c r="P693" i="2"/>
  <c r="Q693" i="2"/>
  <c r="AE693" i="2"/>
  <c r="AJ693" i="2" s="1"/>
  <c r="AH693" i="2"/>
  <c r="AI693" i="2"/>
  <c r="L694" i="2"/>
  <c r="R694" i="2" s="1"/>
  <c r="N694" i="2"/>
  <c r="P694" i="2"/>
  <c r="Q694" i="2"/>
  <c r="AE694" i="2"/>
  <c r="AJ694" i="2" s="1"/>
  <c r="AH694" i="2"/>
  <c r="AI694" i="2"/>
  <c r="L695" i="2"/>
  <c r="R695" i="2" s="1"/>
  <c r="N695" i="2"/>
  <c r="P695" i="2"/>
  <c r="Q695" i="2"/>
  <c r="AE695" i="2"/>
  <c r="AJ695" i="2" s="1"/>
  <c r="AH695" i="2"/>
  <c r="AI695" i="2"/>
  <c r="L696" i="2"/>
  <c r="R696" i="2" s="1"/>
  <c r="N696" i="2"/>
  <c r="P696" i="2"/>
  <c r="Q696" i="2"/>
  <c r="AE696" i="2"/>
  <c r="AH696" i="2"/>
  <c r="AI696" i="2"/>
  <c r="L697" i="2"/>
  <c r="R697" i="2" s="1"/>
  <c r="N697" i="2"/>
  <c r="P697" i="2"/>
  <c r="Q697" i="2"/>
  <c r="AE697" i="2"/>
  <c r="AH697" i="2"/>
  <c r="AI697" i="2"/>
  <c r="L698" i="2"/>
  <c r="N698" i="2"/>
  <c r="P698" i="2"/>
  <c r="S698" i="2" s="1"/>
  <c r="Q698" i="2"/>
  <c r="AE698" i="2"/>
  <c r="AH698" i="2"/>
  <c r="AI698" i="2"/>
  <c r="L699" i="2"/>
  <c r="R699" i="2" s="1"/>
  <c r="N699" i="2"/>
  <c r="P699" i="2"/>
  <c r="Q699" i="2"/>
  <c r="AE699" i="2"/>
  <c r="AJ699" i="2" s="1"/>
  <c r="AH699" i="2"/>
  <c r="AI699" i="2"/>
  <c r="L700" i="2"/>
  <c r="R700" i="2" s="1"/>
  <c r="N700" i="2"/>
  <c r="P700" i="2"/>
  <c r="Q700" i="2"/>
  <c r="AE700" i="2"/>
  <c r="AJ700" i="2" s="1"/>
  <c r="AH700" i="2"/>
  <c r="AI700" i="2"/>
  <c r="L701" i="2"/>
  <c r="R701" i="2" s="1"/>
  <c r="N701" i="2"/>
  <c r="P701" i="2"/>
  <c r="Q701" i="2"/>
  <c r="AE701" i="2"/>
  <c r="AJ701" i="2" s="1"/>
  <c r="AH701" i="2"/>
  <c r="AI701" i="2"/>
  <c r="L702" i="2"/>
  <c r="R702" i="2" s="1"/>
  <c r="N702" i="2"/>
  <c r="P702" i="2"/>
  <c r="Q702" i="2"/>
  <c r="AE702" i="2"/>
  <c r="AH702" i="2"/>
  <c r="AI702" i="2"/>
  <c r="L703" i="2"/>
  <c r="R703" i="2" s="1"/>
  <c r="N703" i="2"/>
  <c r="P703" i="2"/>
  <c r="Q703" i="2"/>
  <c r="AE703" i="2"/>
  <c r="AH703" i="2"/>
  <c r="AI703" i="2"/>
  <c r="L704" i="2"/>
  <c r="N704" i="2"/>
  <c r="P704" i="2"/>
  <c r="S704" i="2" s="1"/>
  <c r="Q704" i="2"/>
  <c r="AE704" i="2"/>
  <c r="AJ704" i="2" s="1"/>
  <c r="AH704" i="2"/>
  <c r="AI704" i="2"/>
  <c r="L705" i="2"/>
  <c r="R705" i="2" s="1"/>
  <c r="N705" i="2"/>
  <c r="P705" i="2"/>
  <c r="Q705" i="2"/>
  <c r="AE705" i="2"/>
  <c r="AJ705" i="2" s="1"/>
  <c r="AH705" i="2"/>
  <c r="AI705" i="2"/>
  <c r="L706" i="2"/>
  <c r="N706" i="2"/>
  <c r="P706" i="2"/>
  <c r="Q706" i="2"/>
  <c r="AE706" i="2"/>
  <c r="AJ706" i="2" s="1"/>
  <c r="AH706" i="2"/>
  <c r="AI706" i="2"/>
  <c r="L707" i="2"/>
  <c r="R707" i="2" s="1"/>
  <c r="N707" i="2"/>
  <c r="P707" i="2"/>
  <c r="Q707" i="2"/>
  <c r="AE707" i="2"/>
  <c r="AJ707" i="2" s="1"/>
  <c r="AH707" i="2"/>
  <c r="AI707" i="2"/>
  <c r="L708" i="2"/>
  <c r="R708" i="2" s="1"/>
  <c r="N708" i="2"/>
  <c r="P708" i="2"/>
  <c r="Q708" i="2"/>
  <c r="AE708" i="2"/>
  <c r="AH708" i="2"/>
  <c r="AI708" i="2"/>
  <c r="L709" i="2"/>
  <c r="N709" i="2"/>
  <c r="P709" i="2"/>
  <c r="Q709" i="2"/>
  <c r="AE709" i="2"/>
  <c r="AH709" i="2"/>
  <c r="AI709" i="2"/>
  <c r="L710" i="2"/>
  <c r="R710" i="2" s="1"/>
  <c r="N710" i="2"/>
  <c r="P710" i="2"/>
  <c r="S710" i="2" s="1"/>
  <c r="Q710" i="2"/>
  <c r="AE710" i="2"/>
  <c r="AJ710" i="2" s="1"/>
  <c r="AH710" i="2"/>
  <c r="AI710" i="2"/>
  <c r="L711" i="2"/>
  <c r="R711" i="2" s="1"/>
  <c r="N711" i="2"/>
  <c r="P711" i="2"/>
  <c r="Q711" i="2"/>
  <c r="AE711" i="2"/>
  <c r="AJ711" i="2" s="1"/>
  <c r="AH711" i="2"/>
  <c r="AI711" i="2"/>
  <c r="L712" i="2"/>
  <c r="R712" i="2" s="1"/>
  <c r="N712" i="2"/>
  <c r="P712" i="2"/>
  <c r="Q712" i="2"/>
  <c r="AE712" i="2"/>
  <c r="AJ712" i="2" s="1"/>
  <c r="AH712" i="2"/>
  <c r="AI712" i="2"/>
  <c r="L713" i="2"/>
  <c r="R713" i="2" s="1"/>
  <c r="N713" i="2"/>
  <c r="P713" i="2"/>
  <c r="Q713" i="2"/>
  <c r="AE713" i="2"/>
  <c r="AJ713" i="2" s="1"/>
  <c r="AH713" i="2"/>
  <c r="AI713" i="2"/>
  <c r="L714" i="2"/>
  <c r="R714" i="2" s="1"/>
  <c r="N714" i="2"/>
  <c r="P714" i="2"/>
  <c r="Q714" i="2"/>
  <c r="AE714" i="2"/>
  <c r="AH714" i="2"/>
  <c r="AI714" i="2"/>
  <c r="L715" i="2"/>
  <c r="N715" i="2"/>
  <c r="P715" i="2"/>
  <c r="Q715" i="2"/>
  <c r="AE715" i="2"/>
  <c r="AH715" i="2"/>
  <c r="AI715" i="2"/>
  <c r="L716" i="2"/>
  <c r="R716" i="2" s="1"/>
  <c r="N716" i="2"/>
  <c r="P716" i="2"/>
  <c r="S716" i="2" s="1"/>
  <c r="Q716" i="2"/>
  <c r="AE716" i="2"/>
  <c r="AH716" i="2"/>
  <c r="AI716" i="2"/>
  <c r="L717" i="2"/>
  <c r="R717" i="2" s="1"/>
  <c r="N717" i="2"/>
  <c r="P717" i="2"/>
  <c r="Q717" i="2"/>
  <c r="AE717" i="2"/>
  <c r="AJ717" i="2" s="1"/>
  <c r="AH717" i="2"/>
  <c r="AI717" i="2"/>
  <c r="L718" i="2"/>
  <c r="N718" i="2"/>
  <c r="P718" i="2"/>
  <c r="Q718" i="2"/>
  <c r="AE718" i="2"/>
  <c r="AH718" i="2"/>
  <c r="AI718" i="2"/>
  <c r="L719" i="2"/>
  <c r="R719" i="2" s="1"/>
  <c r="N719" i="2"/>
  <c r="P719" i="2"/>
  <c r="Q719" i="2"/>
  <c r="AE719" i="2"/>
  <c r="AJ719" i="2" s="1"/>
  <c r="AH719" i="2"/>
  <c r="AI719" i="2"/>
  <c r="L720" i="2"/>
  <c r="R720" i="2" s="1"/>
  <c r="N720" i="2"/>
  <c r="P720" i="2"/>
  <c r="Q720" i="2"/>
  <c r="AE720" i="2"/>
  <c r="AJ720" i="2" s="1"/>
  <c r="AH720" i="2"/>
  <c r="AI720" i="2"/>
  <c r="L721" i="2"/>
  <c r="R721" i="2" s="1"/>
  <c r="N721" i="2"/>
  <c r="P721" i="2"/>
  <c r="Q721" i="2"/>
  <c r="AE721" i="2"/>
  <c r="AJ721" i="2" s="1"/>
  <c r="AH721" i="2"/>
  <c r="AI721" i="2"/>
  <c r="L722" i="2"/>
  <c r="N722" i="2"/>
  <c r="P722" i="2"/>
  <c r="S722" i="2" s="1"/>
  <c r="Q722" i="2"/>
  <c r="AE722" i="2"/>
  <c r="AH722" i="2"/>
  <c r="AI722" i="2"/>
  <c r="L723" i="2"/>
  <c r="R723" i="2" s="1"/>
  <c r="N723" i="2"/>
  <c r="P723" i="2"/>
  <c r="Q723" i="2"/>
  <c r="AE723" i="2"/>
  <c r="AJ723" i="2" s="1"/>
  <c r="AH723" i="2"/>
  <c r="AI723" i="2"/>
  <c r="L724" i="2"/>
  <c r="R724" i="2" s="1"/>
  <c r="N724" i="2"/>
  <c r="P724" i="2"/>
  <c r="Q724" i="2"/>
  <c r="AE724" i="2"/>
  <c r="AH724" i="2"/>
  <c r="AI724" i="2"/>
  <c r="L725" i="2"/>
  <c r="R725" i="2" s="1"/>
  <c r="N725" i="2"/>
  <c r="P725" i="2"/>
  <c r="Q725" i="2"/>
  <c r="AE725" i="2"/>
  <c r="AJ725" i="2" s="1"/>
  <c r="AH725" i="2"/>
  <c r="AI725" i="2"/>
  <c r="L726" i="2"/>
  <c r="R726" i="2" s="1"/>
  <c r="N726" i="2"/>
  <c r="P726" i="2"/>
  <c r="Q726" i="2"/>
  <c r="AE726" i="2"/>
  <c r="AH726" i="2"/>
  <c r="AI726" i="2"/>
  <c r="L727" i="2"/>
  <c r="N727" i="2"/>
  <c r="P727" i="2"/>
  <c r="Q727" i="2"/>
  <c r="AE727" i="2"/>
  <c r="AJ727" i="2" s="1"/>
  <c r="AH727" i="2"/>
  <c r="AI727" i="2"/>
  <c r="L728" i="2"/>
  <c r="R728" i="2" s="1"/>
  <c r="N728" i="2"/>
  <c r="P728" i="2"/>
  <c r="T728" i="2" s="1"/>
  <c r="Q728" i="2"/>
  <c r="AE728" i="2"/>
  <c r="AH728" i="2"/>
  <c r="AI728" i="2"/>
  <c r="L729" i="2"/>
  <c r="R729" i="2" s="1"/>
  <c r="N729" i="2"/>
  <c r="P729" i="2"/>
  <c r="Q729" i="2"/>
  <c r="AE729" i="2"/>
  <c r="AH729" i="2"/>
  <c r="AI729" i="2"/>
  <c r="L730" i="2"/>
  <c r="N730" i="2"/>
  <c r="P730" i="2"/>
  <c r="Q730" i="2"/>
  <c r="AE730" i="2"/>
  <c r="AH730" i="2"/>
  <c r="AI730" i="2"/>
  <c r="L731" i="2"/>
  <c r="R731" i="2" s="1"/>
  <c r="N731" i="2"/>
  <c r="P731" i="2"/>
  <c r="Q731" i="2"/>
  <c r="AE731" i="2"/>
  <c r="AJ731" i="2" s="1"/>
  <c r="AH731" i="2"/>
  <c r="AI731" i="2"/>
  <c r="L732" i="2"/>
  <c r="R732" i="2" s="1"/>
  <c r="N732" i="2"/>
  <c r="P732" i="2"/>
  <c r="Q732" i="2"/>
  <c r="AE732" i="2"/>
  <c r="AJ732" i="2" s="1"/>
  <c r="AH732" i="2"/>
  <c r="AI732" i="2"/>
  <c r="L733" i="2"/>
  <c r="R733" i="2" s="1"/>
  <c r="N733" i="2"/>
  <c r="P733" i="2"/>
  <c r="Q733" i="2"/>
  <c r="AE733" i="2"/>
  <c r="AJ733" i="2" s="1"/>
  <c r="AH733" i="2"/>
  <c r="AI733" i="2"/>
  <c r="L734" i="2"/>
  <c r="N734" i="2"/>
  <c r="P734" i="2"/>
  <c r="S734" i="2" s="1"/>
  <c r="Q734" i="2"/>
  <c r="AE734" i="2"/>
  <c r="AH734" i="2"/>
  <c r="AI734" i="2"/>
  <c r="L735" i="2"/>
  <c r="R735" i="2" s="1"/>
  <c r="N735" i="2"/>
  <c r="P735" i="2"/>
  <c r="Q735" i="2"/>
  <c r="AE735" i="2"/>
  <c r="AJ735" i="2" s="1"/>
  <c r="AH735" i="2"/>
  <c r="AI735" i="2"/>
  <c r="L736" i="2"/>
  <c r="R736" i="2" s="1"/>
  <c r="N736" i="2"/>
  <c r="P736" i="2"/>
  <c r="Q736" i="2"/>
  <c r="AE736" i="2"/>
  <c r="AH736" i="2"/>
  <c r="AI736" i="2"/>
  <c r="L737" i="2"/>
  <c r="R737" i="2" s="1"/>
  <c r="N737" i="2"/>
  <c r="P737" i="2"/>
  <c r="Q737" i="2"/>
  <c r="AE737" i="2"/>
  <c r="AJ737" i="2" s="1"/>
  <c r="AH737" i="2"/>
  <c r="AI737" i="2"/>
  <c r="L738" i="2"/>
  <c r="N738" i="2"/>
  <c r="P738" i="2"/>
  <c r="Q738" i="2"/>
  <c r="AE738" i="2"/>
  <c r="AJ738" i="2" s="1"/>
  <c r="AH738" i="2"/>
  <c r="AI738" i="2"/>
  <c r="L739" i="2"/>
  <c r="R739" i="2" s="1"/>
  <c r="N739" i="2"/>
  <c r="P739" i="2"/>
  <c r="Q739" i="2"/>
  <c r="AE739" i="2"/>
  <c r="AH739" i="2"/>
  <c r="AI739" i="2"/>
  <c r="L740" i="2"/>
  <c r="R740" i="2" s="1"/>
  <c r="N740" i="2"/>
  <c r="P740" i="2"/>
  <c r="S740" i="2" s="1"/>
  <c r="Q740" i="2"/>
  <c r="AE740" i="2"/>
  <c r="AJ740" i="2" s="1"/>
  <c r="AH740" i="2"/>
  <c r="AI740" i="2"/>
  <c r="L741" i="2"/>
  <c r="N741" i="2"/>
  <c r="P741" i="2"/>
  <c r="Q741" i="2"/>
  <c r="AE741" i="2"/>
  <c r="AH741" i="2"/>
  <c r="AI741" i="2"/>
  <c r="L742" i="2"/>
  <c r="N742" i="2"/>
  <c r="P742" i="2"/>
  <c r="Q742" i="2"/>
  <c r="AE742" i="2"/>
  <c r="AJ742" i="2" s="1"/>
  <c r="AH742" i="2"/>
  <c r="AI742" i="2"/>
  <c r="L743" i="2"/>
  <c r="R743" i="2" s="1"/>
  <c r="N743" i="2"/>
  <c r="P743" i="2"/>
  <c r="Q743" i="2"/>
  <c r="AE743" i="2"/>
  <c r="AH743" i="2"/>
  <c r="AI743" i="2"/>
  <c r="L744" i="2"/>
  <c r="R744" i="2" s="1"/>
  <c r="N744" i="2"/>
  <c r="P744" i="2"/>
  <c r="Q744" i="2"/>
  <c r="AE744" i="2"/>
  <c r="AH744" i="2"/>
  <c r="AI744" i="2"/>
  <c r="L745" i="2"/>
  <c r="R745" i="2" s="1"/>
  <c r="N745" i="2"/>
  <c r="P745" i="2"/>
  <c r="Q745" i="2"/>
  <c r="AE745" i="2"/>
  <c r="AH745" i="2"/>
  <c r="AI745" i="2"/>
  <c r="L746" i="2"/>
  <c r="N746" i="2"/>
  <c r="P746" i="2"/>
  <c r="S746" i="2" s="1"/>
  <c r="Q746" i="2"/>
  <c r="AE746" i="2"/>
  <c r="AJ746" i="2" s="1"/>
  <c r="AH746" i="2"/>
  <c r="AI746" i="2"/>
  <c r="L747" i="2"/>
  <c r="R747" i="2" s="1"/>
  <c r="N747" i="2"/>
  <c r="P747" i="2"/>
  <c r="Q747" i="2"/>
  <c r="AE747" i="2"/>
  <c r="AJ747" i="2" s="1"/>
  <c r="AH747" i="2"/>
  <c r="AI747" i="2"/>
  <c r="L748" i="2"/>
  <c r="R748" i="2" s="1"/>
  <c r="N748" i="2"/>
  <c r="P748" i="2"/>
  <c r="Q748" i="2"/>
  <c r="AE748" i="2"/>
  <c r="AJ748" i="2" s="1"/>
  <c r="AH748" i="2"/>
  <c r="AI748" i="2"/>
  <c r="L749" i="2"/>
  <c r="R749" i="2" s="1"/>
  <c r="N749" i="2"/>
  <c r="P749" i="2"/>
  <c r="Q749" i="2"/>
  <c r="AE749" i="2"/>
  <c r="AH749" i="2"/>
  <c r="AI749" i="2"/>
  <c r="L750" i="2"/>
  <c r="N750" i="2"/>
  <c r="P750" i="2"/>
  <c r="Q750" i="2"/>
  <c r="AE750" i="2"/>
  <c r="AJ750" i="2" s="1"/>
  <c r="AH750" i="2"/>
  <c r="AI750" i="2"/>
  <c r="L751" i="2"/>
  <c r="R751" i="2" s="1"/>
  <c r="N751" i="2"/>
  <c r="P751" i="2"/>
  <c r="Q751" i="2"/>
  <c r="AE751" i="2"/>
  <c r="AJ751" i="2" s="1"/>
  <c r="AH751" i="2"/>
  <c r="AI751" i="2"/>
  <c r="L752" i="2"/>
  <c r="R752" i="2" s="1"/>
  <c r="N752" i="2"/>
  <c r="P752" i="2"/>
  <c r="S752" i="2" s="1"/>
  <c r="Q752" i="2"/>
  <c r="AE752" i="2"/>
  <c r="AJ752" i="2" s="1"/>
  <c r="AH752" i="2"/>
  <c r="AI752" i="2"/>
  <c r="L753" i="2"/>
  <c r="R753" i="2" s="1"/>
  <c r="N753" i="2"/>
  <c r="P753" i="2"/>
  <c r="Q753" i="2"/>
  <c r="AE753" i="2"/>
  <c r="AH753" i="2"/>
  <c r="AI753" i="2"/>
  <c r="L754" i="2"/>
  <c r="R754" i="2" s="1"/>
  <c r="N754" i="2"/>
  <c r="P754" i="2"/>
  <c r="Q754" i="2"/>
  <c r="AE754" i="2"/>
  <c r="AJ754" i="2" s="1"/>
  <c r="AH754" i="2"/>
  <c r="AI754" i="2"/>
  <c r="L755" i="2"/>
  <c r="R755" i="2" s="1"/>
  <c r="N755" i="2"/>
  <c r="P755" i="2"/>
  <c r="Q755" i="2"/>
  <c r="AE755" i="2"/>
  <c r="AH755" i="2"/>
  <c r="AI755" i="2"/>
  <c r="L756" i="2"/>
  <c r="N756" i="2"/>
  <c r="P756" i="2"/>
  <c r="Q756" i="2"/>
  <c r="AE756" i="2"/>
  <c r="AJ756" i="2" s="1"/>
  <c r="AH756" i="2"/>
  <c r="AI756" i="2"/>
  <c r="L757" i="2"/>
  <c r="R757" i="2" s="1"/>
  <c r="N757" i="2"/>
  <c r="P757" i="2"/>
  <c r="Q757" i="2"/>
  <c r="AE757" i="2"/>
  <c r="AH757" i="2"/>
  <c r="AI757" i="2"/>
  <c r="L758" i="2"/>
  <c r="R758" i="2" s="1"/>
  <c r="N758" i="2"/>
  <c r="P758" i="2"/>
  <c r="S758" i="2" s="1"/>
  <c r="Q758" i="2"/>
  <c r="AE758" i="2"/>
  <c r="AJ758" i="2" s="1"/>
  <c r="AH758" i="2"/>
  <c r="AI758" i="2"/>
  <c r="L759" i="2"/>
  <c r="R759" i="2" s="1"/>
  <c r="N759" i="2"/>
  <c r="P759" i="2"/>
  <c r="Q759" i="2"/>
  <c r="AE759" i="2"/>
  <c r="AJ759" i="2" s="1"/>
  <c r="AH759" i="2"/>
  <c r="AI759" i="2"/>
  <c r="L760" i="2"/>
  <c r="R760" i="2" s="1"/>
  <c r="N760" i="2"/>
  <c r="P760" i="2"/>
  <c r="Q760" i="2"/>
  <c r="AE760" i="2"/>
  <c r="AJ760" i="2" s="1"/>
  <c r="AH760" i="2"/>
  <c r="AI760" i="2"/>
  <c r="L761" i="2"/>
  <c r="R761" i="2" s="1"/>
  <c r="N761" i="2"/>
  <c r="P761" i="2"/>
  <c r="Q761" i="2"/>
  <c r="AE761" i="2"/>
  <c r="AH761" i="2"/>
  <c r="AI761" i="2"/>
  <c r="L762" i="2"/>
  <c r="R762" i="2" s="1"/>
  <c r="N762" i="2"/>
  <c r="P762" i="2"/>
  <c r="Q762" i="2"/>
  <c r="AE762" i="2"/>
  <c r="AJ762" i="2" s="1"/>
  <c r="AH762" i="2"/>
  <c r="AI762" i="2"/>
  <c r="L763" i="2"/>
  <c r="R763" i="2" s="1"/>
  <c r="N763" i="2"/>
  <c r="P763" i="2"/>
  <c r="Q763" i="2"/>
  <c r="AE763" i="2"/>
  <c r="AJ763" i="2" s="1"/>
  <c r="AH763" i="2"/>
  <c r="AI763" i="2"/>
  <c r="L764" i="2"/>
  <c r="R764" i="2" s="1"/>
  <c r="N764" i="2"/>
  <c r="P764" i="2"/>
  <c r="T764" i="2" s="1"/>
  <c r="Q764" i="2"/>
  <c r="AE764" i="2"/>
  <c r="AJ764" i="2" s="1"/>
  <c r="AH764" i="2"/>
  <c r="AI764" i="2"/>
  <c r="L765" i="2"/>
  <c r="R765" i="2" s="1"/>
  <c r="N765" i="2"/>
  <c r="P765" i="2"/>
  <c r="Q765" i="2"/>
  <c r="AE765" i="2"/>
  <c r="AJ765" i="2" s="1"/>
  <c r="AH765" i="2"/>
  <c r="AI765" i="2"/>
  <c r="L766" i="2"/>
  <c r="N766" i="2"/>
  <c r="P766" i="2"/>
  <c r="Q766" i="2"/>
  <c r="AE766" i="2"/>
  <c r="AJ766" i="2" s="1"/>
  <c r="AH766" i="2"/>
  <c r="AI766" i="2"/>
  <c r="L767" i="2"/>
  <c r="R767" i="2" s="1"/>
  <c r="N767" i="2"/>
  <c r="P767" i="2"/>
  <c r="Q767" i="2"/>
  <c r="AE767" i="2"/>
  <c r="AH767" i="2"/>
  <c r="AI767" i="2"/>
  <c r="L768" i="2"/>
  <c r="R768" i="2" s="1"/>
  <c r="N768" i="2"/>
  <c r="P768" i="2"/>
  <c r="Q768" i="2"/>
  <c r="AE768" i="2"/>
  <c r="AJ768" i="2" s="1"/>
  <c r="AH768" i="2"/>
  <c r="AI768" i="2"/>
  <c r="L769" i="2"/>
  <c r="R769" i="2" s="1"/>
  <c r="N769" i="2"/>
  <c r="P769" i="2"/>
  <c r="Q769" i="2"/>
  <c r="AE769" i="2"/>
  <c r="AJ769" i="2" s="1"/>
  <c r="AH769" i="2"/>
  <c r="AI769" i="2"/>
  <c r="L770" i="2"/>
  <c r="N770" i="2"/>
  <c r="P770" i="2"/>
  <c r="S770" i="2" s="1"/>
  <c r="Q770" i="2"/>
  <c r="AE770" i="2"/>
  <c r="AJ770" i="2" s="1"/>
  <c r="AH770" i="2"/>
  <c r="AI770" i="2"/>
  <c r="L771" i="2"/>
  <c r="R771" i="2" s="1"/>
  <c r="N771" i="2"/>
  <c r="P771" i="2"/>
  <c r="Q771" i="2"/>
  <c r="AE771" i="2"/>
  <c r="AJ771" i="2" s="1"/>
  <c r="AH771" i="2"/>
  <c r="AI771" i="2"/>
  <c r="L772" i="2"/>
  <c r="N772" i="2"/>
  <c r="P772" i="2"/>
  <c r="Q772" i="2"/>
  <c r="AE772" i="2"/>
  <c r="AJ772" i="2" s="1"/>
  <c r="AH772" i="2"/>
  <c r="AI772" i="2"/>
  <c r="L773" i="2"/>
  <c r="R773" i="2" s="1"/>
  <c r="N773" i="2"/>
  <c r="P773" i="2"/>
  <c r="Q773" i="2"/>
  <c r="AE773" i="2"/>
  <c r="AH773" i="2"/>
  <c r="AI773" i="2"/>
  <c r="L774" i="2"/>
  <c r="R774" i="2" s="1"/>
  <c r="N774" i="2"/>
  <c r="P774" i="2"/>
  <c r="Q774" i="2"/>
  <c r="AE774" i="2"/>
  <c r="AJ774" i="2" s="1"/>
  <c r="AH774" i="2"/>
  <c r="AI774" i="2"/>
  <c r="L775" i="2"/>
  <c r="R775" i="2" s="1"/>
  <c r="N775" i="2"/>
  <c r="P775" i="2"/>
  <c r="Q775" i="2"/>
  <c r="AE775" i="2"/>
  <c r="AJ775" i="2" s="1"/>
  <c r="AH775" i="2"/>
  <c r="AI775" i="2"/>
  <c r="L776" i="2"/>
  <c r="N776" i="2"/>
  <c r="P776" i="2"/>
  <c r="S776" i="2" s="1"/>
  <c r="Q776" i="2"/>
  <c r="AE776" i="2"/>
  <c r="AJ776" i="2" s="1"/>
  <c r="AH776" i="2"/>
  <c r="AI776" i="2"/>
  <c r="L777" i="2"/>
  <c r="R777" i="2" s="1"/>
  <c r="N777" i="2"/>
  <c r="P777" i="2"/>
  <c r="Q777" i="2"/>
  <c r="AE777" i="2"/>
  <c r="AH777" i="2"/>
  <c r="AI777" i="2"/>
  <c r="L778" i="2"/>
  <c r="R778" i="2" s="1"/>
  <c r="N778" i="2"/>
  <c r="P778" i="2"/>
  <c r="Q778" i="2"/>
  <c r="AE778" i="2"/>
  <c r="AJ778" i="2" s="1"/>
  <c r="AH778" i="2"/>
  <c r="AI778" i="2"/>
  <c r="L779" i="2"/>
  <c r="R779" i="2" s="1"/>
  <c r="N779" i="2"/>
  <c r="P779" i="2"/>
  <c r="Q779" i="2"/>
  <c r="AE779" i="2"/>
  <c r="AH779" i="2"/>
  <c r="AI779" i="2"/>
  <c r="L780" i="2"/>
  <c r="N780" i="2"/>
  <c r="P780" i="2"/>
  <c r="Q780" i="2"/>
  <c r="AE780" i="2"/>
  <c r="AJ780" i="2" s="1"/>
  <c r="AH780" i="2"/>
  <c r="AI780" i="2"/>
  <c r="L781" i="2"/>
  <c r="R781" i="2" s="1"/>
  <c r="N781" i="2"/>
  <c r="P781" i="2"/>
  <c r="Q781" i="2"/>
  <c r="AE781" i="2"/>
  <c r="AJ781" i="2" s="1"/>
  <c r="AH781" i="2"/>
  <c r="AI781" i="2"/>
  <c r="L782" i="2"/>
  <c r="N782" i="2"/>
  <c r="P782" i="2"/>
  <c r="S782" i="2" s="1"/>
  <c r="Q782" i="2"/>
  <c r="AE782" i="2"/>
  <c r="AJ782" i="2" s="1"/>
  <c r="AH782" i="2"/>
  <c r="AI782" i="2"/>
  <c r="L783" i="2"/>
  <c r="R783" i="2" s="1"/>
  <c r="N783" i="2"/>
  <c r="P783" i="2"/>
  <c r="Q783" i="2"/>
  <c r="AE783" i="2"/>
  <c r="AJ783" i="2" s="1"/>
  <c r="AH783" i="2"/>
  <c r="AI783" i="2"/>
  <c r="L784" i="2"/>
  <c r="R784" i="2" s="1"/>
  <c r="N784" i="2"/>
  <c r="P784" i="2"/>
  <c r="Q784" i="2"/>
  <c r="AE784" i="2"/>
  <c r="AJ784" i="2" s="1"/>
  <c r="AH784" i="2"/>
  <c r="AI784" i="2"/>
  <c r="L785" i="2"/>
  <c r="R785" i="2" s="1"/>
  <c r="N785" i="2"/>
  <c r="P785" i="2"/>
  <c r="Q785" i="2"/>
  <c r="AE785" i="2"/>
  <c r="AH785" i="2"/>
  <c r="AI785" i="2"/>
  <c r="L786" i="2"/>
  <c r="R786" i="2" s="1"/>
  <c r="N786" i="2"/>
  <c r="P786" i="2"/>
  <c r="Q786" i="2"/>
  <c r="AE786" i="2"/>
  <c r="AJ786" i="2" s="1"/>
  <c r="AH786" i="2"/>
  <c r="AI786" i="2"/>
  <c r="L787" i="2"/>
  <c r="R787" i="2" s="1"/>
  <c r="N787" i="2"/>
  <c r="P787" i="2"/>
  <c r="Q787" i="2"/>
  <c r="AE787" i="2"/>
  <c r="AJ787" i="2" s="1"/>
  <c r="AH787" i="2"/>
  <c r="AI787" i="2"/>
  <c r="L788" i="2"/>
  <c r="R788" i="2" s="1"/>
  <c r="N788" i="2"/>
  <c r="P788" i="2"/>
  <c r="S788" i="2" s="1"/>
  <c r="Q788" i="2"/>
  <c r="AE788" i="2"/>
  <c r="AJ788" i="2" s="1"/>
  <c r="AH788" i="2"/>
  <c r="AI788" i="2"/>
  <c r="L789" i="2"/>
  <c r="R789" i="2" s="1"/>
  <c r="N789" i="2"/>
  <c r="P789" i="2"/>
  <c r="Q789" i="2"/>
  <c r="AE789" i="2"/>
  <c r="AH789" i="2"/>
  <c r="AI789" i="2"/>
  <c r="L790" i="2"/>
  <c r="N790" i="2"/>
  <c r="P790" i="2"/>
  <c r="Q790" i="2"/>
  <c r="AE790" i="2"/>
  <c r="AJ790" i="2" s="1"/>
  <c r="AH790" i="2"/>
  <c r="AI790" i="2"/>
  <c r="L791" i="2"/>
  <c r="R791" i="2" s="1"/>
  <c r="N791" i="2"/>
  <c r="P791" i="2"/>
  <c r="Q791" i="2"/>
  <c r="AE791" i="2"/>
  <c r="AJ791" i="2" s="1"/>
  <c r="AH791" i="2"/>
  <c r="AI791" i="2"/>
  <c r="L792" i="2"/>
  <c r="N792" i="2"/>
  <c r="P792" i="2"/>
  <c r="Q792" i="2"/>
  <c r="AE792" i="2"/>
  <c r="AH792" i="2"/>
  <c r="AI792" i="2"/>
  <c r="L793" i="2"/>
  <c r="R793" i="2" s="1"/>
  <c r="N793" i="2"/>
  <c r="P793" i="2"/>
  <c r="Q793" i="2"/>
  <c r="AE793" i="2"/>
  <c r="AJ793" i="2" s="1"/>
  <c r="AH793" i="2"/>
  <c r="AI793" i="2"/>
  <c r="L794" i="2"/>
  <c r="R794" i="2" s="1"/>
  <c r="N794" i="2"/>
  <c r="P794" i="2"/>
  <c r="S794" i="2" s="1"/>
  <c r="Q794" i="2"/>
  <c r="AE794" i="2"/>
  <c r="AJ794" i="2" s="1"/>
  <c r="AH794" i="2"/>
  <c r="AI794" i="2"/>
  <c r="L795" i="2"/>
  <c r="R795" i="2" s="1"/>
  <c r="N795" i="2"/>
  <c r="P795" i="2"/>
  <c r="Q795" i="2"/>
  <c r="AE795" i="2"/>
  <c r="AH795" i="2"/>
  <c r="AI795" i="2"/>
  <c r="L796" i="2"/>
  <c r="N796" i="2"/>
  <c r="P796" i="2"/>
  <c r="Q796" i="2"/>
  <c r="AE796" i="2"/>
  <c r="AJ796" i="2" s="1"/>
  <c r="AH796" i="2"/>
  <c r="AI796" i="2"/>
  <c r="L797" i="2"/>
  <c r="R797" i="2" s="1"/>
  <c r="N797" i="2"/>
  <c r="P797" i="2"/>
  <c r="Q797" i="2"/>
  <c r="AE797" i="2"/>
  <c r="AH797" i="2"/>
  <c r="AI797" i="2"/>
  <c r="L798" i="2"/>
  <c r="N798" i="2"/>
  <c r="P798" i="2"/>
  <c r="Q798" i="2"/>
  <c r="AE798" i="2"/>
  <c r="AH798" i="2"/>
  <c r="AI798" i="2"/>
  <c r="L799" i="2"/>
  <c r="N799" i="2"/>
  <c r="P799" i="2"/>
  <c r="Q799" i="2"/>
  <c r="AE799" i="2"/>
  <c r="AH799" i="2"/>
  <c r="AI799" i="2"/>
  <c r="L800" i="2"/>
  <c r="R800" i="2" s="1"/>
  <c r="N800" i="2"/>
  <c r="P800" i="2"/>
  <c r="T800" i="2" s="1"/>
  <c r="Q800" i="2"/>
  <c r="AE800" i="2"/>
  <c r="AJ800" i="2" s="1"/>
  <c r="AH800" i="2"/>
  <c r="AI800" i="2"/>
  <c r="L801" i="2"/>
  <c r="N801" i="2"/>
  <c r="P801" i="2"/>
  <c r="Q801" i="2"/>
  <c r="AE801" i="2"/>
  <c r="AH801" i="2"/>
  <c r="AI801" i="2"/>
  <c r="L802" i="2"/>
  <c r="N802" i="2"/>
  <c r="P802" i="2"/>
  <c r="Q802" i="2"/>
  <c r="AE802" i="2"/>
  <c r="AH802" i="2"/>
  <c r="AI802" i="2"/>
  <c r="L803" i="2"/>
  <c r="R803" i="2" s="1"/>
  <c r="N803" i="2"/>
  <c r="P803" i="2"/>
  <c r="Q803" i="2"/>
  <c r="AE803" i="2"/>
  <c r="AJ803" i="2" s="1"/>
  <c r="AH803" i="2"/>
  <c r="AI803" i="2"/>
  <c r="L804" i="2"/>
  <c r="N804" i="2"/>
  <c r="P804" i="2"/>
  <c r="Q804" i="2"/>
  <c r="AE804" i="2"/>
  <c r="AJ804" i="2" s="1"/>
  <c r="AH804" i="2"/>
  <c r="AI804" i="2"/>
  <c r="L805" i="2"/>
  <c r="R805" i="2" s="1"/>
  <c r="N805" i="2"/>
  <c r="P805" i="2"/>
  <c r="Q805" i="2"/>
  <c r="AE805" i="2"/>
  <c r="AH805" i="2"/>
  <c r="AI805" i="2"/>
  <c r="L806" i="2"/>
  <c r="R806" i="2" s="1"/>
  <c r="N806" i="2"/>
  <c r="P806" i="2"/>
  <c r="S806" i="2" s="1"/>
  <c r="Q806" i="2"/>
  <c r="AE806" i="2"/>
  <c r="AJ806" i="2" s="1"/>
  <c r="AH806" i="2"/>
  <c r="AI806" i="2"/>
  <c r="L807" i="2"/>
  <c r="R807" i="2" s="1"/>
  <c r="N807" i="2"/>
  <c r="P807" i="2"/>
  <c r="Q807" i="2"/>
  <c r="AE807" i="2"/>
  <c r="AH807" i="2"/>
  <c r="AI807" i="2"/>
  <c r="L808" i="2"/>
  <c r="R808" i="2" s="1"/>
  <c r="N808" i="2"/>
  <c r="P808" i="2"/>
  <c r="Q808" i="2"/>
  <c r="AE808" i="2"/>
  <c r="AJ808" i="2" s="1"/>
  <c r="AH808" i="2"/>
  <c r="AI808" i="2"/>
  <c r="L809" i="2"/>
  <c r="R809" i="2" s="1"/>
  <c r="N809" i="2"/>
  <c r="P809" i="2"/>
  <c r="Q809" i="2"/>
  <c r="AE809" i="2"/>
  <c r="AH809" i="2"/>
  <c r="AI809" i="2"/>
  <c r="L810" i="2"/>
  <c r="N810" i="2"/>
  <c r="P810" i="2"/>
  <c r="Q810" i="2"/>
  <c r="AE810" i="2"/>
  <c r="AH810" i="2"/>
  <c r="AI810" i="2"/>
  <c r="L811" i="2"/>
  <c r="N811" i="2"/>
  <c r="P811" i="2"/>
  <c r="Q811" i="2"/>
  <c r="AE811" i="2"/>
  <c r="AH811" i="2"/>
  <c r="AI811" i="2"/>
  <c r="L812" i="2"/>
  <c r="R812" i="2" s="1"/>
  <c r="N812" i="2"/>
  <c r="P812" i="2"/>
  <c r="S812" i="2" s="1"/>
  <c r="Q812" i="2"/>
  <c r="AE812" i="2"/>
  <c r="AJ812" i="2" s="1"/>
  <c r="AH812" i="2"/>
  <c r="AI812" i="2"/>
  <c r="L813" i="2"/>
  <c r="N813" i="2"/>
  <c r="P813" i="2"/>
  <c r="Q813" i="2"/>
  <c r="AE813" i="2"/>
  <c r="AH813" i="2"/>
  <c r="AI813" i="2"/>
  <c r="L814" i="2"/>
  <c r="R814" i="2" s="1"/>
  <c r="N814" i="2"/>
  <c r="P814" i="2"/>
  <c r="Q814" i="2"/>
  <c r="AE814" i="2"/>
  <c r="AH814" i="2"/>
  <c r="AI814" i="2"/>
  <c r="L815" i="2"/>
  <c r="R815" i="2" s="1"/>
  <c r="N815" i="2"/>
  <c r="P815" i="2"/>
  <c r="Q815" i="2"/>
  <c r="AE815" i="2"/>
  <c r="AJ815" i="2" s="1"/>
  <c r="AH815" i="2"/>
  <c r="AI815" i="2"/>
  <c r="L816" i="2"/>
  <c r="R816" i="2" s="1"/>
  <c r="N816" i="2"/>
  <c r="P816" i="2"/>
  <c r="Q816" i="2"/>
  <c r="AE816" i="2"/>
  <c r="AJ816" i="2" s="1"/>
  <c r="AH816" i="2"/>
  <c r="AI816" i="2"/>
  <c r="L817" i="2"/>
  <c r="R817" i="2" s="1"/>
  <c r="N817" i="2"/>
  <c r="P817" i="2"/>
  <c r="Q817" i="2"/>
  <c r="AE817" i="2"/>
  <c r="AJ817" i="2" s="1"/>
  <c r="AH817" i="2"/>
  <c r="AI817" i="2"/>
  <c r="L818" i="2"/>
  <c r="N818" i="2"/>
  <c r="P818" i="2"/>
  <c r="S818" i="2" s="1"/>
  <c r="Q818" i="2"/>
  <c r="AE818" i="2"/>
  <c r="AJ818" i="2" s="1"/>
  <c r="AH818" i="2"/>
  <c r="AI818" i="2"/>
  <c r="L819" i="2"/>
  <c r="R819" i="2" s="1"/>
  <c r="N819" i="2"/>
  <c r="P819" i="2"/>
  <c r="Q819" i="2"/>
  <c r="AE819" i="2"/>
  <c r="AH819" i="2"/>
  <c r="AI819" i="2"/>
  <c r="L820" i="2"/>
  <c r="R820" i="2" s="1"/>
  <c r="N820" i="2"/>
  <c r="P820" i="2"/>
  <c r="Q820" i="2"/>
  <c r="AE820" i="2"/>
  <c r="AJ820" i="2" s="1"/>
  <c r="AH820" i="2"/>
  <c r="AI820" i="2"/>
  <c r="L821" i="2"/>
  <c r="R821" i="2" s="1"/>
  <c r="N821" i="2"/>
  <c r="P821" i="2"/>
  <c r="Q821" i="2"/>
  <c r="AE821" i="2"/>
  <c r="AH821" i="2"/>
  <c r="AI821" i="2"/>
  <c r="L822" i="2"/>
  <c r="R822" i="2" s="1"/>
  <c r="N822" i="2"/>
  <c r="P822" i="2"/>
  <c r="Q822" i="2"/>
  <c r="AE822" i="2"/>
  <c r="AH822" i="2"/>
  <c r="AI822" i="2"/>
  <c r="L823" i="2"/>
  <c r="N823" i="2"/>
  <c r="P823" i="2"/>
  <c r="Q823" i="2"/>
  <c r="AE823" i="2"/>
  <c r="AH823" i="2"/>
  <c r="AI823" i="2"/>
  <c r="L824" i="2"/>
  <c r="R824" i="2" s="1"/>
  <c r="N824" i="2"/>
  <c r="P824" i="2"/>
  <c r="S824" i="2" s="1"/>
  <c r="Q824" i="2"/>
  <c r="AE824" i="2"/>
  <c r="AJ824" i="2" s="1"/>
  <c r="AH824" i="2"/>
  <c r="AI824" i="2"/>
  <c r="L825" i="2"/>
  <c r="N825" i="2"/>
  <c r="P825" i="2"/>
  <c r="Q825" i="2"/>
  <c r="AE825" i="2"/>
  <c r="AH825" i="2"/>
  <c r="AI825" i="2"/>
  <c r="L826" i="2"/>
  <c r="R826" i="2" s="1"/>
  <c r="N826" i="2"/>
  <c r="P826" i="2"/>
  <c r="Q826" i="2"/>
  <c r="AE826" i="2"/>
  <c r="AH826" i="2"/>
  <c r="AI826" i="2"/>
  <c r="L827" i="2"/>
  <c r="N827" i="2"/>
  <c r="P827" i="2"/>
  <c r="Q827" i="2"/>
  <c r="AE827" i="2"/>
  <c r="AJ827" i="2" s="1"/>
  <c r="AH827" i="2"/>
  <c r="AI827" i="2"/>
  <c r="L828" i="2"/>
  <c r="N828" i="2"/>
  <c r="P828" i="2"/>
  <c r="Q828" i="2"/>
  <c r="AE828" i="2"/>
  <c r="AJ828" i="2" s="1"/>
  <c r="AH828" i="2"/>
  <c r="AI828" i="2"/>
  <c r="L829" i="2"/>
  <c r="R829" i="2" s="1"/>
  <c r="N829" i="2"/>
  <c r="P829" i="2"/>
  <c r="Q829" i="2"/>
  <c r="AE829" i="2"/>
  <c r="AJ829" i="2" s="1"/>
  <c r="AH829" i="2"/>
  <c r="AI829" i="2"/>
  <c r="L830" i="2"/>
  <c r="R830" i="2" s="1"/>
  <c r="N830" i="2"/>
  <c r="P830" i="2"/>
  <c r="S830" i="2" s="1"/>
  <c r="Q830" i="2"/>
  <c r="AE830" i="2"/>
  <c r="AJ830" i="2" s="1"/>
  <c r="AH830" i="2"/>
  <c r="AI830" i="2"/>
  <c r="L831" i="2"/>
  <c r="R831" i="2" s="1"/>
  <c r="N831" i="2"/>
  <c r="P831" i="2"/>
  <c r="Q831" i="2"/>
  <c r="AE831" i="2"/>
  <c r="AH831" i="2"/>
  <c r="AI831" i="2"/>
  <c r="L832" i="2"/>
  <c r="R832" i="2" s="1"/>
  <c r="N832" i="2"/>
  <c r="P832" i="2"/>
  <c r="Q832" i="2"/>
  <c r="AE832" i="2"/>
  <c r="AJ832" i="2" s="1"/>
  <c r="AH832" i="2"/>
  <c r="AI832" i="2"/>
  <c r="L833" i="2"/>
  <c r="R833" i="2" s="1"/>
  <c r="N833" i="2"/>
  <c r="P833" i="2"/>
  <c r="Q833" i="2"/>
  <c r="AE833" i="2"/>
  <c r="AJ833" i="2" s="1"/>
  <c r="AH833" i="2"/>
  <c r="AI833" i="2"/>
  <c r="L834" i="2"/>
  <c r="N834" i="2"/>
  <c r="P834" i="2"/>
  <c r="Q834" i="2"/>
  <c r="AE834" i="2"/>
  <c r="AH834" i="2"/>
  <c r="AI834" i="2"/>
  <c r="L835" i="2"/>
  <c r="N835" i="2"/>
  <c r="P835" i="2"/>
  <c r="Q835" i="2"/>
  <c r="AE835" i="2"/>
  <c r="AH835" i="2"/>
  <c r="AI835" i="2"/>
  <c r="L836" i="2"/>
  <c r="R836" i="2" s="1"/>
  <c r="N836" i="2"/>
  <c r="P836" i="2"/>
  <c r="T836" i="2" s="1"/>
  <c r="Q836" i="2"/>
  <c r="AE836" i="2"/>
  <c r="AJ836" i="2" s="1"/>
  <c r="AH836" i="2"/>
  <c r="AI836" i="2"/>
  <c r="L837" i="2"/>
  <c r="R837" i="2" s="1"/>
  <c r="N837" i="2"/>
  <c r="P837" i="2"/>
  <c r="Q837" i="2"/>
  <c r="AE837" i="2"/>
  <c r="AJ837" i="2" s="1"/>
  <c r="AH837" i="2"/>
  <c r="AI837" i="2"/>
  <c r="L838" i="2"/>
  <c r="N838" i="2"/>
  <c r="P838" i="2"/>
  <c r="Q838" i="2"/>
  <c r="AE838" i="2"/>
  <c r="AH838" i="2"/>
  <c r="AI838" i="2"/>
  <c r="L839" i="2"/>
  <c r="R839" i="2" s="1"/>
  <c r="N839" i="2"/>
  <c r="P839" i="2"/>
  <c r="Q839" i="2"/>
  <c r="AE839" i="2"/>
  <c r="AJ839" i="2" s="1"/>
  <c r="AH839" i="2"/>
  <c r="AI839" i="2"/>
  <c r="L840" i="2"/>
  <c r="R840" i="2" s="1"/>
  <c r="N840" i="2"/>
  <c r="P840" i="2"/>
  <c r="Q840" i="2"/>
  <c r="AE840" i="2"/>
  <c r="AJ840" i="2" s="1"/>
  <c r="AH840" i="2"/>
  <c r="AI840" i="2"/>
  <c r="L841" i="2"/>
  <c r="R841" i="2" s="1"/>
  <c r="N841" i="2"/>
  <c r="P841" i="2"/>
  <c r="Q841" i="2"/>
  <c r="AE841" i="2"/>
  <c r="AH841" i="2"/>
  <c r="AI841" i="2"/>
  <c r="L842" i="2"/>
  <c r="R842" i="2" s="1"/>
  <c r="N842" i="2"/>
  <c r="P842" i="2"/>
  <c r="S842" i="2" s="1"/>
  <c r="Q842" i="2"/>
  <c r="AE842" i="2"/>
  <c r="AJ842" i="2" s="1"/>
  <c r="AH842" i="2"/>
  <c r="AI842" i="2"/>
  <c r="L843" i="2"/>
  <c r="R843" i="2" s="1"/>
  <c r="N843" i="2"/>
  <c r="P843" i="2"/>
  <c r="Q843" i="2"/>
  <c r="AE843" i="2"/>
  <c r="AJ843" i="2" s="1"/>
  <c r="AH843" i="2"/>
  <c r="AI843" i="2"/>
  <c r="L844" i="2"/>
  <c r="N844" i="2"/>
  <c r="P844" i="2"/>
  <c r="Q844" i="2"/>
  <c r="AE844" i="2"/>
  <c r="AH844" i="2"/>
  <c r="AI844" i="2"/>
  <c r="L845" i="2"/>
  <c r="R845" i="2" s="1"/>
  <c r="N845" i="2"/>
  <c r="P845" i="2"/>
  <c r="Q845" i="2"/>
  <c r="AE845" i="2"/>
  <c r="AH845" i="2"/>
  <c r="AI845" i="2"/>
  <c r="L846" i="2"/>
  <c r="N846" i="2"/>
  <c r="P846" i="2"/>
  <c r="Q846" i="2"/>
  <c r="AE846" i="2"/>
  <c r="AH846" i="2"/>
  <c r="AI846" i="2"/>
  <c r="L847" i="2"/>
  <c r="R847" i="2" s="1"/>
  <c r="N847" i="2"/>
  <c r="P847" i="2"/>
  <c r="Q847" i="2"/>
  <c r="AE847" i="2"/>
  <c r="AJ847" i="2" s="1"/>
  <c r="AH847" i="2"/>
  <c r="AI847" i="2"/>
  <c r="L848" i="2"/>
  <c r="R848" i="2" s="1"/>
  <c r="N848" i="2"/>
  <c r="P848" i="2"/>
  <c r="S848" i="2" s="1"/>
  <c r="Q848" i="2"/>
  <c r="AE848" i="2"/>
  <c r="AJ848" i="2" s="1"/>
  <c r="AH848" i="2"/>
  <c r="AI848" i="2"/>
  <c r="L849" i="2"/>
  <c r="R849" i="2" s="1"/>
  <c r="N849" i="2"/>
  <c r="P849" i="2"/>
  <c r="Q849" i="2"/>
  <c r="AE849" i="2"/>
  <c r="AH849" i="2"/>
  <c r="AI849" i="2"/>
  <c r="L850" i="2"/>
  <c r="N850" i="2"/>
  <c r="P850" i="2"/>
  <c r="Q850" i="2"/>
  <c r="AE850" i="2"/>
  <c r="AH850" i="2"/>
  <c r="AI850" i="2"/>
  <c r="L851" i="2"/>
  <c r="N851" i="2"/>
  <c r="P851" i="2"/>
  <c r="Q851" i="2"/>
  <c r="AE851" i="2"/>
  <c r="AJ851" i="2" s="1"/>
  <c r="AH851" i="2"/>
  <c r="AI851" i="2"/>
  <c r="L852" i="2"/>
  <c r="N852" i="2"/>
  <c r="P852" i="2"/>
  <c r="Q852" i="2"/>
  <c r="AE852" i="2"/>
  <c r="AJ852" i="2" s="1"/>
  <c r="AH852" i="2"/>
  <c r="AI852" i="2"/>
  <c r="L853" i="2"/>
  <c r="R853" i="2" s="1"/>
  <c r="N853" i="2"/>
  <c r="P853" i="2"/>
  <c r="Q853" i="2"/>
  <c r="AE853" i="2"/>
  <c r="AJ853" i="2" s="1"/>
  <c r="AH853" i="2"/>
  <c r="AI853" i="2"/>
  <c r="L854" i="2"/>
  <c r="N854" i="2"/>
  <c r="P854" i="2"/>
  <c r="S854" i="2" s="1"/>
  <c r="Q854" i="2"/>
  <c r="AE854" i="2"/>
  <c r="AJ854" i="2" s="1"/>
  <c r="AH854" i="2"/>
  <c r="AI854" i="2"/>
  <c r="L855" i="2"/>
  <c r="R855" i="2" s="1"/>
  <c r="N855" i="2"/>
  <c r="P855" i="2"/>
  <c r="Q855" i="2"/>
  <c r="AE855" i="2"/>
  <c r="AJ855" i="2" s="1"/>
  <c r="AH855" i="2"/>
  <c r="AI855" i="2"/>
  <c r="L856" i="2"/>
  <c r="R856" i="2" s="1"/>
  <c r="N856" i="2"/>
  <c r="P856" i="2"/>
  <c r="Q856" i="2"/>
  <c r="AE856" i="2"/>
  <c r="AJ856" i="2" s="1"/>
  <c r="AH856" i="2"/>
  <c r="AI856" i="2"/>
  <c r="L857" i="2"/>
  <c r="R857" i="2" s="1"/>
  <c r="N857" i="2"/>
  <c r="P857" i="2"/>
  <c r="Q857" i="2"/>
  <c r="AE857" i="2"/>
  <c r="AJ857" i="2" s="1"/>
  <c r="AH857" i="2"/>
  <c r="AI857" i="2"/>
  <c r="L858" i="2"/>
  <c r="R858" i="2" s="1"/>
  <c r="N858" i="2"/>
  <c r="P858" i="2"/>
  <c r="Q858" i="2"/>
  <c r="AE858" i="2"/>
  <c r="AJ858" i="2" s="1"/>
  <c r="AH858" i="2"/>
  <c r="AI858" i="2"/>
  <c r="L859" i="2"/>
  <c r="R859" i="2" s="1"/>
  <c r="N859" i="2"/>
  <c r="P859" i="2"/>
  <c r="Q859" i="2"/>
  <c r="AE859" i="2"/>
  <c r="AJ859" i="2" s="1"/>
  <c r="AH859" i="2"/>
  <c r="AI859" i="2"/>
  <c r="L860" i="2"/>
  <c r="R860" i="2" s="1"/>
  <c r="N860" i="2"/>
  <c r="P860" i="2"/>
  <c r="S860" i="2" s="1"/>
  <c r="Q860" i="2"/>
  <c r="AE860" i="2"/>
  <c r="AJ860" i="2" s="1"/>
  <c r="AH860" i="2"/>
  <c r="AI860" i="2"/>
  <c r="L861" i="2"/>
  <c r="R861" i="2" s="1"/>
  <c r="N861" i="2"/>
  <c r="P861" i="2"/>
  <c r="Q861" i="2"/>
  <c r="AE861" i="2"/>
  <c r="AJ861" i="2" s="1"/>
  <c r="AH861" i="2"/>
  <c r="AI861" i="2"/>
  <c r="L862" i="2"/>
  <c r="N862" i="2"/>
  <c r="P862" i="2"/>
  <c r="Q862" i="2"/>
  <c r="AE862" i="2"/>
  <c r="AH862" i="2"/>
  <c r="AI862" i="2"/>
  <c r="L863" i="2"/>
  <c r="R863" i="2" s="1"/>
  <c r="N863" i="2"/>
  <c r="P863" i="2"/>
  <c r="Q863" i="2"/>
  <c r="AE863" i="2"/>
  <c r="AJ863" i="2" s="1"/>
  <c r="AH863" i="2"/>
  <c r="AI863" i="2"/>
  <c r="L864" i="2"/>
  <c r="N864" i="2"/>
  <c r="P864" i="2"/>
  <c r="Q864" i="2"/>
  <c r="AE864" i="2"/>
  <c r="AJ864" i="2" s="1"/>
  <c r="AH864" i="2"/>
  <c r="AI864" i="2"/>
  <c r="L865" i="2"/>
  <c r="R865" i="2" s="1"/>
  <c r="N865" i="2"/>
  <c r="P865" i="2"/>
  <c r="Q865" i="2"/>
  <c r="AE865" i="2"/>
  <c r="AH865" i="2"/>
  <c r="AI865" i="2"/>
  <c r="L866" i="2"/>
  <c r="N866" i="2"/>
  <c r="P866" i="2"/>
  <c r="S866" i="2" s="1"/>
  <c r="Q866" i="2"/>
  <c r="AE866" i="2"/>
  <c r="AJ866" i="2" s="1"/>
  <c r="AH866" i="2"/>
  <c r="AI866" i="2"/>
  <c r="L867" i="2"/>
  <c r="R867" i="2" s="1"/>
  <c r="N867" i="2"/>
  <c r="P867" i="2"/>
  <c r="Q867" i="2"/>
  <c r="AE867" i="2"/>
  <c r="AJ867" i="2" s="1"/>
  <c r="AH867" i="2"/>
  <c r="AI867" i="2"/>
  <c r="L868" i="2"/>
  <c r="R868" i="2" s="1"/>
  <c r="N868" i="2"/>
  <c r="P868" i="2"/>
  <c r="Q868" i="2"/>
  <c r="AE868" i="2"/>
  <c r="AJ868" i="2" s="1"/>
  <c r="AH868" i="2"/>
  <c r="AI868" i="2"/>
  <c r="L869" i="2"/>
  <c r="R869" i="2" s="1"/>
  <c r="N869" i="2"/>
  <c r="P869" i="2"/>
  <c r="Q869" i="2"/>
  <c r="AE869" i="2"/>
  <c r="AJ869" i="2" s="1"/>
  <c r="AH869" i="2"/>
  <c r="AI869" i="2"/>
  <c r="L870" i="2"/>
  <c r="R870" i="2" s="1"/>
  <c r="N870" i="2"/>
  <c r="P870" i="2"/>
  <c r="Q870" i="2"/>
  <c r="AE870" i="2"/>
  <c r="AJ870" i="2" s="1"/>
  <c r="AH870" i="2"/>
  <c r="AI870" i="2"/>
  <c r="L871" i="2"/>
  <c r="R871" i="2" s="1"/>
  <c r="N871" i="2"/>
  <c r="P871" i="2"/>
  <c r="Q871" i="2"/>
  <c r="AE871" i="2"/>
  <c r="AJ871" i="2" s="1"/>
  <c r="AH871" i="2"/>
  <c r="AI871" i="2"/>
  <c r="L872" i="2"/>
  <c r="R872" i="2" s="1"/>
  <c r="N872" i="2"/>
  <c r="P872" i="2"/>
  <c r="T872" i="2" s="1"/>
  <c r="Q872" i="2"/>
  <c r="AE872" i="2"/>
  <c r="AJ872" i="2" s="1"/>
  <c r="AH872" i="2"/>
  <c r="AI872" i="2"/>
  <c r="L873" i="2"/>
  <c r="N873" i="2"/>
  <c r="P873" i="2"/>
  <c r="Q873" i="2"/>
  <c r="AE873" i="2"/>
  <c r="AJ873" i="2" s="1"/>
  <c r="AH873" i="2"/>
  <c r="AI873" i="2"/>
  <c r="L874" i="2"/>
  <c r="R874" i="2" s="1"/>
  <c r="N874" i="2"/>
  <c r="P874" i="2"/>
  <c r="Q874" i="2"/>
  <c r="AE874" i="2"/>
  <c r="AH874" i="2"/>
  <c r="AI874" i="2"/>
  <c r="L875" i="2"/>
  <c r="N875" i="2"/>
  <c r="P875" i="2"/>
  <c r="Q875" i="2"/>
  <c r="AE875" i="2"/>
  <c r="AH875" i="2"/>
  <c r="AI875" i="2"/>
  <c r="L876" i="2"/>
  <c r="R876" i="2" s="1"/>
  <c r="N876" i="2"/>
  <c r="P876" i="2"/>
  <c r="Q876" i="2"/>
  <c r="AE876" i="2"/>
  <c r="AJ876" i="2" s="1"/>
  <c r="AH876" i="2"/>
  <c r="AI876" i="2"/>
  <c r="L877" i="2"/>
  <c r="N877" i="2"/>
  <c r="P877" i="2"/>
  <c r="Q877" i="2"/>
  <c r="AE877" i="2"/>
  <c r="AJ877" i="2" s="1"/>
  <c r="AH877" i="2"/>
  <c r="AI877" i="2"/>
  <c r="L878" i="2"/>
  <c r="R878" i="2" s="1"/>
  <c r="N878" i="2"/>
  <c r="P878" i="2"/>
  <c r="S878" i="2" s="1"/>
  <c r="Q878" i="2"/>
  <c r="AE878" i="2"/>
  <c r="AJ878" i="2" s="1"/>
  <c r="AH878" i="2"/>
  <c r="AI878" i="2"/>
  <c r="L879" i="2"/>
  <c r="N879" i="2"/>
  <c r="P879" i="2"/>
  <c r="Q879" i="2"/>
  <c r="AE879" i="2"/>
  <c r="AJ879" i="2" s="1"/>
  <c r="AH879" i="2"/>
  <c r="AI879" i="2"/>
  <c r="L880" i="2"/>
  <c r="R880" i="2" s="1"/>
  <c r="N880" i="2"/>
  <c r="P880" i="2"/>
  <c r="Q880" i="2"/>
  <c r="AE880" i="2"/>
  <c r="AH880" i="2"/>
  <c r="AI880" i="2"/>
  <c r="L881" i="2"/>
  <c r="N881" i="2"/>
  <c r="P881" i="2"/>
  <c r="Q881" i="2"/>
  <c r="AE881" i="2"/>
  <c r="AH881" i="2"/>
  <c r="AI881" i="2"/>
  <c r="L882" i="2"/>
  <c r="R882" i="2" s="1"/>
  <c r="N882" i="2"/>
  <c r="P882" i="2"/>
  <c r="Q882" i="2"/>
  <c r="AE882" i="2"/>
  <c r="AJ882" i="2" s="1"/>
  <c r="AH882" i="2"/>
  <c r="AI882" i="2"/>
  <c r="L883" i="2"/>
  <c r="N883" i="2"/>
  <c r="P883" i="2"/>
  <c r="Q883" i="2"/>
  <c r="AE883" i="2"/>
  <c r="AJ883" i="2" s="1"/>
  <c r="AH883" i="2"/>
  <c r="AI883" i="2"/>
  <c r="L884" i="2"/>
  <c r="R884" i="2" s="1"/>
  <c r="N884" i="2"/>
  <c r="P884" i="2"/>
  <c r="S884" i="2" s="1"/>
  <c r="Q884" i="2"/>
  <c r="AE884" i="2"/>
  <c r="AJ884" i="2" s="1"/>
  <c r="AH884" i="2"/>
  <c r="AI884" i="2"/>
  <c r="L885" i="2"/>
  <c r="N885" i="2"/>
  <c r="P885" i="2"/>
  <c r="Q885" i="2"/>
  <c r="AE885" i="2"/>
  <c r="AJ885" i="2" s="1"/>
  <c r="AH885" i="2"/>
  <c r="AI885" i="2"/>
  <c r="L886" i="2"/>
  <c r="R886" i="2" s="1"/>
  <c r="N886" i="2"/>
  <c r="P886" i="2"/>
  <c r="Q886" i="2"/>
  <c r="AE886" i="2"/>
  <c r="AH886" i="2"/>
  <c r="AI886" i="2"/>
  <c r="L887" i="2"/>
  <c r="N887" i="2"/>
  <c r="P887" i="2"/>
  <c r="Q887" i="2"/>
  <c r="AE887" i="2"/>
  <c r="AH887" i="2"/>
  <c r="AI887" i="2"/>
  <c r="L888" i="2"/>
  <c r="R888" i="2" s="1"/>
  <c r="N888" i="2"/>
  <c r="P888" i="2"/>
  <c r="Q888" i="2"/>
  <c r="AE888" i="2"/>
  <c r="AJ888" i="2" s="1"/>
  <c r="AH888" i="2"/>
  <c r="AI888" i="2"/>
  <c r="L889" i="2"/>
  <c r="N889" i="2"/>
  <c r="P889" i="2"/>
  <c r="Q889" i="2"/>
  <c r="AE889" i="2"/>
  <c r="AJ889" i="2" s="1"/>
  <c r="AH889" i="2"/>
  <c r="AI889" i="2"/>
  <c r="L890" i="2"/>
  <c r="R890" i="2" s="1"/>
  <c r="N890" i="2"/>
  <c r="P890" i="2"/>
  <c r="S890" i="2" s="1"/>
  <c r="Q890" i="2"/>
  <c r="AE890" i="2"/>
  <c r="AJ890" i="2" s="1"/>
  <c r="AH890" i="2"/>
  <c r="AI890" i="2"/>
  <c r="L891" i="2"/>
  <c r="R891" i="2" s="1"/>
  <c r="N891" i="2"/>
  <c r="P891" i="2"/>
  <c r="Q891" i="2"/>
  <c r="AE891" i="2"/>
  <c r="AJ891" i="2" s="1"/>
  <c r="AH891" i="2"/>
  <c r="AI891" i="2"/>
  <c r="L892" i="2"/>
  <c r="R892" i="2" s="1"/>
  <c r="N892" i="2"/>
  <c r="P892" i="2"/>
  <c r="Q892" i="2"/>
  <c r="AE892" i="2"/>
  <c r="AJ892" i="2" s="1"/>
  <c r="AH892" i="2"/>
  <c r="AI892" i="2"/>
  <c r="L893" i="2"/>
  <c r="R893" i="2" s="1"/>
  <c r="N893" i="2"/>
  <c r="P893" i="2"/>
  <c r="Q893" i="2"/>
  <c r="AE893" i="2"/>
  <c r="AH893" i="2"/>
  <c r="AI893" i="2"/>
  <c r="L894" i="2"/>
  <c r="R894" i="2" s="1"/>
  <c r="N894" i="2"/>
  <c r="P894" i="2"/>
  <c r="Q894" i="2"/>
  <c r="AE894" i="2"/>
  <c r="AJ894" i="2" s="1"/>
  <c r="AH894" i="2"/>
  <c r="AI894" i="2"/>
  <c r="L895" i="2"/>
  <c r="R895" i="2" s="1"/>
  <c r="N895" i="2"/>
  <c r="P895" i="2"/>
  <c r="Q895" i="2"/>
  <c r="AE895" i="2"/>
  <c r="AJ895" i="2" s="1"/>
  <c r="AH895" i="2"/>
  <c r="AI895" i="2"/>
  <c r="L896" i="2"/>
  <c r="R896" i="2" s="1"/>
  <c r="N896" i="2"/>
  <c r="P896" i="2"/>
  <c r="S896" i="2" s="1"/>
  <c r="Q896" i="2"/>
  <c r="AE896" i="2"/>
  <c r="AJ896" i="2" s="1"/>
  <c r="AH896" i="2"/>
  <c r="AI896" i="2"/>
  <c r="L897" i="2"/>
  <c r="N897" i="2"/>
  <c r="P897" i="2"/>
  <c r="Q897" i="2"/>
  <c r="AE897" i="2"/>
  <c r="AJ897" i="2" s="1"/>
  <c r="AH897" i="2"/>
  <c r="AI897" i="2"/>
  <c r="L898" i="2"/>
  <c r="R898" i="2" s="1"/>
  <c r="N898" i="2"/>
  <c r="P898" i="2"/>
  <c r="S898" i="2" s="1"/>
  <c r="Q898" i="2"/>
  <c r="AE898" i="2"/>
  <c r="AH898" i="2"/>
  <c r="AI898" i="2"/>
  <c r="L899" i="2"/>
  <c r="N899" i="2"/>
  <c r="P899" i="2"/>
  <c r="Q899" i="2"/>
  <c r="AE899" i="2"/>
  <c r="AH899" i="2"/>
  <c r="AI899" i="2"/>
  <c r="L900" i="2"/>
  <c r="R900" i="2" s="1"/>
  <c r="N900" i="2"/>
  <c r="P900" i="2"/>
  <c r="Q900" i="2"/>
  <c r="AE900" i="2"/>
  <c r="AJ900" i="2" s="1"/>
  <c r="AH900" i="2"/>
  <c r="AI900" i="2"/>
  <c r="L901" i="2"/>
  <c r="N901" i="2"/>
  <c r="P901" i="2"/>
  <c r="Q901" i="2"/>
  <c r="AE901" i="2"/>
  <c r="AJ901" i="2" s="1"/>
  <c r="AH901" i="2"/>
  <c r="AI901" i="2"/>
  <c r="L902" i="2"/>
  <c r="R902" i="2" s="1"/>
  <c r="N902" i="2"/>
  <c r="P902" i="2"/>
  <c r="S902" i="2" s="1"/>
  <c r="Q902" i="2"/>
  <c r="AE902" i="2"/>
  <c r="AJ902" i="2" s="1"/>
  <c r="AH902" i="2"/>
  <c r="AI902" i="2"/>
  <c r="L903" i="2"/>
  <c r="R903" i="2" s="1"/>
  <c r="N903" i="2"/>
  <c r="P903" i="2"/>
  <c r="Q903" i="2"/>
  <c r="AE903" i="2"/>
  <c r="AJ903" i="2" s="1"/>
  <c r="AH903" i="2"/>
  <c r="AI903" i="2"/>
  <c r="L904" i="2"/>
  <c r="R904" i="2" s="1"/>
  <c r="N904" i="2"/>
  <c r="P904" i="2"/>
  <c r="S904" i="2" s="1"/>
  <c r="Q904" i="2"/>
  <c r="AE904" i="2"/>
  <c r="AJ904" i="2" s="1"/>
  <c r="AH904" i="2"/>
  <c r="AI904" i="2"/>
  <c r="L905" i="2"/>
  <c r="R905" i="2" s="1"/>
  <c r="N905" i="2"/>
  <c r="P905" i="2"/>
  <c r="Q905" i="2"/>
  <c r="AE905" i="2"/>
  <c r="AH905" i="2"/>
  <c r="AI905" i="2"/>
  <c r="L906" i="2"/>
  <c r="R906" i="2" s="1"/>
  <c r="N906" i="2"/>
  <c r="P906" i="2"/>
  <c r="Q906" i="2"/>
  <c r="AE906" i="2"/>
  <c r="AJ906" i="2" s="1"/>
  <c r="AH906" i="2"/>
  <c r="AI906" i="2"/>
  <c r="L907" i="2"/>
  <c r="R907" i="2" s="1"/>
  <c r="N907" i="2"/>
  <c r="P907" i="2"/>
  <c r="Q907" i="2"/>
  <c r="AE907" i="2"/>
  <c r="AJ907" i="2" s="1"/>
  <c r="AH907" i="2"/>
  <c r="AI907" i="2"/>
  <c r="L908" i="2"/>
  <c r="R908" i="2" s="1"/>
  <c r="N908" i="2"/>
  <c r="P908" i="2"/>
  <c r="S908" i="2" s="1"/>
  <c r="Q908" i="2"/>
  <c r="AE908" i="2"/>
  <c r="AJ908" i="2" s="1"/>
  <c r="AH908" i="2"/>
  <c r="AI908" i="2"/>
  <c r="L909" i="2"/>
  <c r="N909" i="2"/>
  <c r="P909" i="2"/>
  <c r="Q909" i="2"/>
  <c r="AE909" i="2"/>
  <c r="AJ909" i="2" s="1"/>
  <c r="AH909" i="2"/>
  <c r="AI909" i="2"/>
  <c r="L910" i="2"/>
  <c r="R910" i="2" s="1"/>
  <c r="N910" i="2"/>
  <c r="P910" i="2"/>
  <c r="S910" i="2" s="1"/>
  <c r="Q910" i="2"/>
  <c r="AE910" i="2"/>
  <c r="AH910" i="2"/>
  <c r="AI910" i="2"/>
  <c r="L911" i="2"/>
  <c r="N911" i="2"/>
  <c r="P911" i="2"/>
  <c r="Q911" i="2"/>
  <c r="AE911" i="2"/>
  <c r="AJ911" i="2" s="1"/>
  <c r="AH911" i="2"/>
  <c r="AI911" i="2"/>
  <c r="L912" i="2"/>
  <c r="R912" i="2" s="1"/>
  <c r="N912" i="2"/>
  <c r="P912" i="2"/>
  <c r="Q912" i="2"/>
  <c r="AE912" i="2"/>
  <c r="AH912" i="2"/>
  <c r="AI912" i="2"/>
  <c r="L913" i="2"/>
  <c r="N913" i="2"/>
  <c r="P913" i="2"/>
  <c r="Q913" i="2"/>
  <c r="AE913" i="2"/>
  <c r="AJ913" i="2" s="1"/>
  <c r="AH913" i="2"/>
  <c r="AI913" i="2"/>
  <c r="L914" i="2"/>
  <c r="R914" i="2" s="1"/>
  <c r="N914" i="2"/>
  <c r="P914" i="2"/>
  <c r="S914" i="2" s="1"/>
  <c r="Q914" i="2"/>
  <c r="AE914" i="2"/>
  <c r="AJ914" i="2" s="1"/>
  <c r="AH914" i="2"/>
  <c r="AI914" i="2"/>
  <c r="L915" i="2"/>
  <c r="N915" i="2"/>
  <c r="P915" i="2"/>
  <c r="Q915" i="2"/>
  <c r="AE915" i="2"/>
  <c r="AJ915" i="2" s="1"/>
  <c r="AH915" i="2"/>
  <c r="AI915" i="2"/>
  <c r="L916" i="2"/>
  <c r="R916" i="2" s="1"/>
  <c r="N916" i="2"/>
  <c r="P916" i="2"/>
  <c r="S916" i="2" s="1"/>
  <c r="Q916" i="2"/>
  <c r="AE916" i="2"/>
  <c r="AJ916" i="2" s="1"/>
  <c r="AH916" i="2"/>
  <c r="AI916" i="2"/>
  <c r="L917" i="2"/>
  <c r="N917" i="2"/>
  <c r="P917" i="2"/>
  <c r="Q917" i="2"/>
  <c r="AE917" i="2"/>
  <c r="AH917" i="2"/>
  <c r="AI917" i="2"/>
  <c r="L918" i="2"/>
  <c r="R918" i="2" s="1"/>
  <c r="N918" i="2"/>
  <c r="P918" i="2"/>
  <c r="Q918" i="2"/>
  <c r="AE918" i="2"/>
  <c r="AJ918" i="2" s="1"/>
  <c r="AH918" i="2"/>
  <c r="AI918" i="2"/>
  <c r="L919" i="2"/>
  <c r="R919" i="2" s="1"/>
  <c r="N919" i="2"/>
  <c r="P919" i="2"/>
  <c r="Q919" i="2"/>
  <c r="AE919" i="2"/>
  <c r="AJ919" i="2" s="1"/>
  <c r="AH919" i="2"/>
  <c r="AI919" i="2"/>
  <c r="L920" i="2"/>
  <c r="R920" i="2" s="1"/>
  <c r="N920" i="2"/>
  <c r="P920" i="2"/>
  <c r="S920" i="2" s="1"/>
  <c r="Q920" i="2"/>
  <c r="AE920" i="2"/>
  <c r="AJ920" i="2" s="1"/>
  <c r="AH920" i="2"/>
  <c r="AI920" i="2"/>
  <c r="L921" i="2"/>
  <c r="R921" i="2" s="1"/>
  <c r="N921" i="2"/>
  <c r="P921" i="2"/>
  <c r="Q921" i="2"/>
  <c r="AE921" i="2"/>
  <c r="AJ921" i="2" s="1"/>
  <c r="AH921" i="2"/>
  <c r="AI921" i="2"/>
  <c r="L922" i="2"/>
  <c r="R922" i="2" s="1"/>
  <c r="N922" i="2"/>
  <c r="P922" i="2"/>
  <c r="S922" i="2" s="1"/>
  <c r="Q922" i="2"/>
  <c r="AE922" i="2"/>
  <c r="AJ922" i="2" s="1"/>
  <c r="AH922" i="2"/>
  <c r="AI922" i="2"/>
  <c r="L923" i="2"/>
  <c r="R923" i="2" s="1"/>
  <c r="N923" i="2"/>
  <c r="P923" i="2"/>
  <c r="Q923" i="2"/>
  <c r="AE923" i="2"/>
  <c r="AH923" i="2"/>
  <c r="AI923" i="2"/>
  <c r="L924" i="2"/>
  <c r="R924" i="2" s="1"/>
  <c r="N924" i="2"/>
  <c r="P924" i="2"/>
  <c r="Q924" i="2"/>
  <c r="AE924" i="2"/>
  <c r="AJ924" i="2" s="1"/>
  <c r="AH924" i="2"/>
  <c r="AI924" i="2"/>
  <c r="L925" i="2"/>
  <c r="R925" i="2" s="1"/>
  <c r="N925" i="2"/>
  <c r="P925" i="2"/>
  <c r="Q925" i="2"/>
  <c r="AE925" i="2"/>
  <c r="AJ925" i="2" s="1"/>
  <c r="AH925" i="2"/>
  <c r="AI925" i="2"/>
  <c r="L926" i="2"/>
  <c r="R926" i="2" s="1"/>
  <c r="N926" i="2"/>
  <c r="P926" i="2"/>
  <c r="S926" i="2" s="1"/>
  <c r="Q926" i="2"/>
  <c r="AE926" i="2"/>
  <c r="AJ926" i="2" s="1"/>
  <c r="AH926" i="2"/>
  <c r="AI926" i="2"/>
  <c r="L927" i="2"/>
  <c r="R927" i="2" s="1"/>
  <c r="N927" i="2"/>
  <c r="P927" i="2"/>
  <c r="Q927" i="2"/>
  <c r="AE927" i="2"/>
  <c r="AJ927" i="2" s="1"/>
  <c r="AH927" i="2"/>
  <c r="AI927" i="2"/>
  <c r="L928" i="2"/>
  <c r="N928" i="2"/>
  <c r="P928" i="2"/>
  <c r="S928" i="2" s="1"/>
  <c r="Q928" i="2"/>
  <c r="AE928" i="2"/>
  <c r="AH928" i="2"/>
  <c r="AI928" i="2"/>
  <c r="L929" i="2"/>
  <c r="N929" i="2"/>
  <c r="P929" i="2"/>
  <c r="Q929" i="2"/>
  <c r="AE929" i="2"/>
  <c r="AJ929" i="2" s="1"/>
  <c r="AH929" i="2"/>
  <c r="AI929" i="2"/>
  <c r="L930" i="2"/>
  <c r="R930" i="2" s="1"/>
  <c r="N930" i="2"/>
  <c r="P930" i="2"/>
  <c r="Q930" i="2"/>
  <c r="AE930" i="2"/>
  <c r="AJ930" i="2" s="1"/>
  <c r="AH930" i="2"/>
  <c r="AI930" i="2"/>
  <c r="L931" i="2"/>
  <c r="R931" i="2" s="1"/>
  <c r="N931" i="2"/>
  <c r="P931" i="2"/>
  <c r="Q931" i="2"/>
  <c r="AE931" i="2"/>
  <c r="AJ931" i="2" s="1"/>
  <c r="AH931" i="2"/>
  <c r="AI931" i="2"/>
  <c r="L932" i="2"/>
  <c r="R932" i="2" s="1"/>
  <c r="N932" i="2"/>
  <c r="P932" i="2"/>
  <c r="S932" i="2" s="1"/>
  <c r="Q932" i="2"/>
  <c r="AE932" i="2"/>
  <c r="AH932" i="2"/>
  <c r="AI932" i="2"/>
  <c r="L933" i="2"/>
  <c r="N933" i="2"/>
  <c r="P933" i="2"/>
  <c r="Q933" i="2"/>
  <c r="AE933" i="2"/>
  <c r="AJ933" i="2" s="1"/>
  <c r="AH933" i="2"/>
  <c r="AI933" i="2"/>
  <c r="L934" i="2"/>
  <c r="R934" i="2" s="1"/>
  <c r="N934" i="2"/>
  <c r="P934" i="2"/>
  <c r="S934" i="2" s="1"/>
  <c r="Q934" i="2"/>
  <c r="AE934" i="2"/>
  <c r="AH934" i="2"/>
  <c r="AI934" i="2"/>
  <c r="L935" i="2"/>
  <c r="N935" i="2"/>
  <c r="P935" i="2"/>
  <c r="Q935" i="2"/>
  <c r="AE935" i="2"/>
  <c r="AH935" i="2"/>
  <c r="AI935" i="2"/>
  <c r="L936" i="2"/>
  <c r="R936" i="2" s="1"/>
  <c r="N936" i="2"/>
  <c r="P936" i="2"/>
  <c r="Q936" i="2"/>
  <c r="AE936" i="2"/>
  <c r="AH936" i="2"/>
  <c r="AI936" i="2"/>
  <c r="L937" i="2"/>
  <c r="N937" i="2"/>
  <c r="P937" i="2"/>
  <c r="Q937" i="2"/>
  <c r="AE937" i="2"/>
  <c r="AJ937" i="2" s="1"/>
  <c r="AH937" i="2"/>
  <c r="AI937" i="2"/>
  <c r="L938" i="2"/>
  <c r="R938" i="2" s="1"/>
  <c r="N938" i="2"/>
  <c r="P938" i="2"/>
  <c r="S938" i="2" s="1"/>
  <c r="Q938" i="2"/>
  <c r="AE938" i="2"/>
  <c r="AJ938" i="2" s="1"/>
  <c r="AH938" i="2"/>
  <c r="AI938" i="2"/>
  <c r="L939" i="2"/>
  <c r="R939" i="2" s="1"/>
  <c r="N939" i="2"/>
  <c r="P939" i="2"/>
  <c r="Q939" i="2"/>
  <c r="AE939" i="2"/>
  <c r="AH939" i="2"/>
  <c r="AI939" i="2"/>
  <c r="L940" i="2"/>
  <c r="N940" i="2"/>
  <c r="P940" i="2"/>
  <c r="S940" i="2" s="1"/>
  <c r="Q940" i="2"/>
  <c r="AE940" i="2"/>
  <c r="AH940" i="2"/>
  <c r="AI940" i="2"/>
  <c r="L941" i="2"/>
  <c r="R941" i="2" s="1"/>
  <c r="N941" i="2"/>
  <c r="P941" i="2"/>
  <c r="Q941" i="2"/>
  <c r="AE941" i="2"/>
  <c r="AJ941" i="2" s="1"/>
  <c r="AH941" i="2"/>
  <c r="AI941" i="2"/>
  <c r="S826" i="2" l="1"/>
  <c r="T826" i="2"/>
  <c r="S766" i="2"/>
  <c r="T766" i="2"/>
  <c r="S586" i="2"/>
  <c r="T586" i="2"/>
  <c r="C588" i="10" s="1"/>
  <c r="S394" i="2"/>
  <c r="T394" i="2"/>
  <c r="S382" i="2"/>
  <c r="T382" i="2"/>
  <c r="C384" i="10" s="1"/>
  <c r="S370" i="2"/>
  <c r="T370" i="2"/>
  <c r="C372" i="10" s="1"/>
  <c r="S358" i="2"/>
  <c r="T358" i="2"/>
  <c r="S346" i="2"/>
  <c r="T346" i="2"/>
  <c r="S322" i="2"/>
  <c r="T322" i="2"/>
  <c r="C324" i="10" s="1"/>
  <c r="S310" i="2"/>
  <c r="T310" i="2"/>
  <c r="S298" i="2"/>
  <c r="T298" i="2"/>
  <c r="C300" i="10" s="1"/>
  <c r="S286" i="2"/>
  <c r="T286" i="2"/>
  <c r="C288" i="10" s="1"/>
  <c r="S274" i="2"/>
  <c r="T274" i="2"/>
  <c r="S262" i="2"/>
  <c r="T262" i="2"/>
  <c r="S250" i="2"/>
  <c r="T250" i="2"/>
  <c r="C252" i="10" s="1"/>
  <c r="S238" i="2"/>
  <c r="T238" i="2"/>
  <c r="S226" i="2"/>
  <c r="T226" i="2"/>
  <c r="C228" i="10" s="1"/>
  <c r="S214" i="2"/>
  <c r="T214" i="2"/>
  <c r="C216" i="10" s="1"/>
  <c r="S202" i="2"/>
  <c r="T202" i="2"/>
  <c r="S190" i="2"/>
  <c r="T190" i="2"/>
  <c r="S178" i="2"/>
  <c r="T178" i="2"/>
  <c r="C180" i="10" s="1"/>
  <c r="S166" i="2"/>
  <c r="T166" i="2"/>
  <c r="S154" i="2"/>
  <c r="T154" i="2"/>
  <c r="C156" i="10" s="1"/>
  <c r="S142" i="2"/>
  <c r="T142" i="2"/>
  <c r="C144" i="10" s="1"/>
  <c r="S130" i="2"/>
  <c r="T130" i="2"/>
  <c r="S118" i="2"/>
  <c r="T118" i="2"/>
  <c r="S106" i="2"/>
  <c r="T106" i="2"/>
  <c r="C108" i="10" s="1"/>
  <c r="S94" i="2"/>
  <c r="T94" i="2"/>
  <c r="S82" i="2"/>
  <c r="T82" i="2"/>
  <c r="C84" i="10" s="1"/>
  <c r="S70" i="2"/>
  <c r="T70" i="2"/>
  <c r="C72" i="10" s="1"/>
  <c r="S58" i="2"/>
  <c r="T58" i="2"/>
  <c r="S46" i="2"/>
  <c r="T46" i="2"/>
  <c r="S34" i="2"/>
  <c r="T34" i="2"/>
  <c r="C36" i="10" s="1"/>
  <c r="S22" i="2"/>
  <c r="T22" i="2"/>
  <c r="T926" i="2"/>
  <c r="C928" i="10" s="1"/>
  <c r="T902" i="2"/>
  <c r="C904" i="10" s="1"/>
  <c r="S872" i="2"/>
  <c r="S836" i="2"/>
  <c r="S800" i="2"/>
  <c r="S764" i="2"/>
  <c r="S728" i="2"/>
  <c r="S692" i="2"/>
  <c r="S694" i="2"/>
  <c r="T694" i="2"/>
  <c r="S646" i="2"/>
  <c r="T646" i="2"/>
  <c r="C648" i="10" s="1"/>
  <c r="S502" i="2"/>
  <c r="T502" i="2"/>
  <c r="C504" i="10" s="1"/>
  <c r="S418" i="2"/>
  <c r="T418" i="2"/>
  <c r="S819" i="2"/>
  <c r="T819" i="2"/>
  <c r="S723" i="2"/>
  <c r="T723" i="2"/>
  <c r="C725" i="10" s="1"/>
  <c r="S699" i="2"/>
  <c r="T699" i="2"/>
  <c r="S687" i="2"/>
  <c r="T687" i="2"/>
  <c r="C689" i="10" s="1"/>
  <c r="S675" i="2"/>
  <c r="T675" i="2"/>
  <c r="C677" i="10" s="1"/>
  <c r="S663" i="2"/>
  <c r="T663" i="2"/>
  <c r="S651" i="2"/>
  <c r="T651" i="2"/>
  <c r="S639" i="2"/>
  <c r="T639" i="2"/>
  <c r="C641" i="10" s="1"/>
  <c r="S627" i="2"/>
  <c r="T627" i="2"/>
  <c r="S615" i="2"/>
  <c r="T615" i="2"/>
  <c r="C617" i="10" s="1"/>
  <c r="S603" i="2"/>
  <c r="T603" i="2"/>
  <c r="C605" i="10" s="1"/>
  <c r="S591" i="2"/>
  <c r="T591" i="2"/>
  <c r="S579" i="2"/>
  <c r="T579" i="2"/>
  <c r="S567" i="2"/>
  <c r="T567" i="2"/>
  <c r="C569" i="10" s="1"/>
  <c r="S555" i="2"/>
  <c r="T555" i="2"/>
  <c r="S543" i="2"/>
  <c r="T543" i="2"/>
  <c r="C545" i="10" s="1"/>
  <c r="S531" i="2"/>
  <c r="T531" i="2"/>
  <c r="C533" i="10" s="1"/>
  <c r="S519" i="2"/>
  <c r="T519" i="2"/>
  <c r="C521" i="10" s="1"/>
  <c r="T507" i="2"/>
  <c r="S507" i="2"/>
  <c r="T495" i="2"/>
  <c r="S495" i="2"/>
  <c r="T483" i="2"/>
  <c r="C485" i="10" s="1"/>
  <c r="S483" i="2"/>
  <c r="T471" i="2"/>
  <c r="S471" i="2"/>
  <c r="T459" i="2"/>
  <c r="C461" i="10" s="1"/>
  <c r="S459" i="2"/>
  <c r="T447" i="2"/>
  <c r="S447" i="2"/>
  <c r="T435" i="2"/>
  <c r="S435" i="2"/>
  <c r="T423" i="2"/>
  <c r="S423" i="2"/>
  <c r="T411" i="2"/>
  <c r="C413" i="10" s="1"/>
  <c r="S411" i="2"/>
  <c r="T399" i="2"/>
  <c r="S399" i="2"/>
  <c r="T387" i="2"/>
  <c r="C389" i="10" s="1"/>
  <c r="S387" i="2"/>
  <c r="T375" i="2"/>
  <c r="S375" i="2"/>
  <c r="T363" i="2"/>
  <c r="S363" i="2"/>
  <c r="T351" i="2"/>
  <c r="C353" i="10" s="1"/>
  <c r="S351" i="2"/>
  <c r="T339" i="2"/>
  <c r="C341" i="10" s="1"/>
  <c r="S339" i="2"/>
  <c r="T327" i="2"/>
  <c r="S327" i="2"/>
  <c r="T315" i="2"/>
  <c r="C317" i="10" s="1"/>
  <c r="S315" i="2"/>
  <c r="T303" i="2"/>
  <c r="S303" i="2"/>
  <c r="T291" i="2"/>
  <c r="S291" i="2"/>
  <c r="T279" i="2"/>
  <c r="C281" i="10" s="1"/>
  <c r="S279" i="2"/>
  <c r="T267" i="2"/>
  <c r="C269" i="10" s="1"/>
  <c r="S267" i="2"/>
  <c r="T255" i="2"/>
  <c r="S255" i="2"/>
  <c r="T243" i="2"/>
  <c r="C245" i="10" s="1"/>
  <c r="S243" i="2"/>
  <c r="T231" i="2"/>
  <c r="S231" i="2"/>
  <c r="T219" i="2"/>
  <c r="S219" i="2"/>
  <c r="T207" i="2"/>
  <c r="S207" i="2"/>
  <c r="T195" i="2"/>
  <c r="C197" i="10" s="1"/>
  <c r="S195" i="2"/>
  <c r="T183" i="2"/>
  <c r="S183" i="2"/>
  <c r="T171" i="2"/>
  <c r="C173" i="10" s="1"/>
  <c r="S171" i="2"/>
  <c r="T159" i="2"/>
  <c r="S159" i="2"/>
  <c r="T147" i="2"/>
  <c r="S147" i="2"/>
  <c r="T135" i="2"/>
  <c r="S135" i="2"/>
  <c r="T123" i="2"/>
  <c r="C125" i="10" s="1"/>
  <c r="S123" i="2"/>
  <c r="T111" i="2"/>
  <c r="S111" i="2"/>
  <c r="T99" i="2"/>
  <c r="C101" i="10" s="1"/>
  <c r="S99" i="2"/>
  <c r="T87" i="2"/>
  <c r="S87" i="2"/>
  <c r="T75" i="2"/>
  <c r="S75" i="2"/>
  <c r="T63" i="2"/>
  <c r="C65" i="10" s="1"/>
  <c r="S63" i="2"/>
  <c r="T51" i="2"/>
  <c r="C53" i="10" s="1"/>
  <c r="S51" i="2"/>
  <c r="T39" i="2"/>
  <c r="S39" i="2"/>
  <c r="T27" i="2"/>
  <c r="C29" i="10" s="1"/>
  <c r="S27" i="2"/>
  <c r="T866" i="2"/>
  <c r="T830" i="2"/>
  <c r="T794" i="2"/>
  <c r="T758" i="2"/>
  <c r="T722" i="2"/>
  <c r="C724" i="10" s="1"/>
  <c r="T686" i="2"/>
  <c r="C688" i="10" s="1"/>
  <c r="T650" i="2"/>
  <c r="C652" i="10" s="1"/>
  <c r="T614" i="2"/>
  <c r="T578" i="2"/>
  <c r="T542" i="2"/>
  <c r="C544" i="10" s="1"/>
  <c r="T450" i="2"/>
  <c r="C452" i="10" s="1"/>
  <c r="S814" i="2"/>
  <c r="T814" i="2"/>
  <c r="S622" i="2"/>
  <c r="T622" i="2"/>
  <c r="S442" i="2"/>
  <c r="T442" i="2"/>
  <c r="S903" i="2"/>
  <c r="T903" i="2"/>
  <c r="C905" i="10" s="1"/>
  <c r="S783" i="2"/>
  <c r="T783" i="2"/>
  <c r="S759" i="2"/>
  <c r="T759" i="2"/>
  <c r="C761" i="10" s="1"/>
  <c r="S735" i="2"/>
  <c r="T735" i="2"/>
  <c r="S512" i="2"/>
  <c r="T512" i="2"/>
  <c r="S500" i="2"/>
  <c r="T500" i="2"/>
  <c r="C502" i="10" s="1"/>
  <c r="S488" i="2"/>
  <c r="T488" i="2"/>
  <c r="C490" i="10" s="1"/>
  <c r="S476" i="2"/>
  <c r="T476" i="2"/>
  <c r="S464" i="2"/>
  <c r="T464" i="2"/>
  <c r="C466" i="10" s="1"/>
  <c r="S452" i="2"/>
  <c r="T452" i="2"/>
  <c r="S440" i="2"/>
  <c r="T440" i="2"/>
  <c r="S428" i="2"/>
  <c r="T428" i="2"/>
  <c r="S416" i="2"/>
  <c r="T416" i="2"/>
  <c r="C418" i="10" s="1"/>
  <c r="S404" i="2"/>
  <c r="T404" i="2"/>
  <c r="S392" i="2"/>
  <c r="T392" i="2"/>
  <c r="C394" i="10" s="1"/>
  <c r="S380" i="2"/>
  <c r="T380" i="2"/>
  <c r="S368" i="2"/>
  <c r="T368" i="2"/>
  <c r="S356" i="2"/>
  <c r="T356" i="2"/>
  <c r="S344" i="2"/>
  <c r="T344" i="2"/>
  <c r="C346" i="10" s="1"/>
  <c r="S332" i="2"/>
  <c r="T332" i="2"/>
  <c r="S320" i="2"/>
  <c r="T320" i="2"/>
  <c r="C322" i="10" s="1"/>
  <c r="S308" i="2"/>
  <c r="T308" i="2"/>
  <c r="S296" i="2"/>
  <c r="T296" i="2"/>
  <c r="S284" i="2"/>
  <c r="T284" i="2"/>
  <c r="C286" i="10" s="1"/>
  <c r="S272" i="2"/>
  <c r="T272" i="2"/>
  <c r="C274" i="10" s="1"/>
  <c r="S260" i="2"/>
  <c r="T260" i="2"/>
  <c r="S248" i="2"/>
  <c r="T248" i="2"/>
  <c r="C250" i="10" s="1"/>
  <c r="S236" i="2"/>
  <c r="T236" i="2"/>
  <c r="S224" i="2"/>
  <c r="T224" i="2"/>
  <c r="S212" i="2"/>
  <c r="T212" i="2"/>
  <c r="C214" i="10" s="1"/>
  <c r="S200" i="2"/>
  <c r="T200" i="2"/>
  <c r="C202" i="10" s="1"/>
  <c r="S188" i="2"/>
  <c r="T188" i="2"/>
  <c r="S176" i="2"/>
  <c r="T176" i="2"/>
  <c r="C178" i="10" s="1"/>
  <c r="S164" i="2"/>
  <c r="T164" i="2"/>
  <c r="S152" i="2"/>
  <c r="T152" i="2"/>
  <c r="S140" i="2"/>
  <c r="T140" i="2"/>
  <c r="C142" i="10" s="1"/>
  <c r="S128" i="2"/>
  <c r="T128" i="2"/>
  <c r="C130" i="10" s="1"/>
  <c r="S116" i="2"/>
  <c r="T116" i="2"/>
  <c r="S104" i="2"/>
  <c r="T104" i="2"/>
  <c r="C106" i="10" s="1"/>
  <c r="S92" i="2"/>
  <c r="T92" i="2"/>
  <c r="S80" i="2"/>
  <c r="T80" i="2"/>
  <c r="S68" i="2"/>
  <c r="T68" i="2"/>
  <c r="S56" i="2"/>
  <c r="T56" i="2"/>
  <c r="C58" i="10" s="1"/>
  <c r="S44" i="2"/>
  <c r="T44" i="2"/>
  <c r="S32" i="2"/>
  <c r="T32" i="2"/>
  <c r="C34" i="10" s="1"/>
  <c r="S20" i="2"/>
  <c r="T20" i="2"/>
  <c r="T922" i="2"/>
  <c r="C924" i="10" s="1"/>
  <c r="T898" i="2"/>
  <c r="S862" i="2"/>
  <c r="T862" i="2"/>
  <c r="S742" i="2"/>
  <c r="T742" i="2"/>
  <c r="C744" i="10" s="1"/>
  <c r="S634" i="2"/>
  <c r="T634" i="2"/>
  <c r="S598" i="2"/>
  <c r="T598" i="2"/>
  <c r="C600" i="10" s="1"/>
  <c r="S430" i="2"/>
  <c r="T430" i="2"/>
  <c r="S879" i="2"/>
  <c r="T879" i="2"/>
  <c r="S867" i="2"/>
  <c r="T867" i="2"/>
  <c r="C869" i="10" s="1"/>
  <c r="S807" i="2"/>
  <c r="T807" i="2"/>
  <c r="C809" i="10" s="1"/>
  <c r="S711" i="2"/>
  <c r="T711" i="2"/>
  <c r="C713" i="10" s="1"/>
  <c r="S925" i="2"/>
  <c r="T925" i="2"/>
  <c r="C927" i="10" s="1"/>
  <c r="S901" i="2"/>
  <c r="T901" i="2"/>
  <c r="S889" i="2"/>
  <c r="T889" i="2"/>
  <c r="S877" i="2"/>
  <c r="T877" i="2"/>
  <c r="S865" i="2"/>
  <c r="T865" i="2"/>
  <c r="C867" i="10" s="1"/>
  <c r="S853" i="2"/>
  <c r="T853" i="2"/>
  <c r="S841" i="2"/>
  <c r="T841" i="2"/>
  <c r="C843" i="10" s="1"/>
  <c r="S829" i="2"/>
  <c r="T829" i="2"/>
  <c r="S817" i="2"/>
  <c r="T817" i="2"/>
  <c r="S805" i="2"/>
  <c r="T805" i="2"/>
  <c r="S793" i="2"/>
  <c r="T793" i="2"/>
  <c r="C795" i="10" s="1"/>
  <c r="S781" i="2"/>
  <c r="T781" i="2"/>
  <c r="S769" i="2"/>
  <c r="T769" i="2"/>
  <c r="C771" i="10" s="1"/>
  <c r="S757" i="2"/>
  <c r="T757" i="2"/>
  <c r="S745" i="2"/>
  <c r="T745" i="2"/>
  <c r="S733" i="2"/>
  <c r="T733" i="2"/>
  <c r="C735" i="10" s="1"/>
  <c r="S721" i="2"/>
  <c r="T721" i="2"/>
  <c r="C723" i="10" s="1"/>
  <c r="S709" i="2"/>
  <c r="T709" i="2"/>
  <c r="S697" i="2"/>
  <c r="T697" i="2"/>
  <c r="C699" i="10" s="1"/>
  <c r="S685" i="2"/>
  <c r="T685" i="2"/>
  <c r="S673" i="2"/>
  <c r="T673" i="2"/>
  <c r="S661" i="2"/>
  <c r="T661" i="2"/>
  <c r="S649" i="2"/>
  <c r="T649" i="2"/>
  <c r="C651" i="10" s="1"/>
  <c r="S637" i="2"/>
  <c r="T637" i="2"/>
  <c r="S625" i="2"/>
  <c r="T625" i="2"/>
  <c r="C627" i="10" s="1"/>
  <c r="S613" i="2"/>
  <c r="T613" i="2"/>
  <c r="S601" i="2"/>
  <c r="T601" i="2"/>
  <c r="S589" i="2"/>
  <c r="T589" i="2"/>
  <c r="S577" i="2"/>
  <c r="T577" i="2"/>
  <c r="C579" i="10" s="1"/>
  <c r="S565" i="2"/>
  <c r="T565" i="2"/>
  <c r="S553" i="2"/>
  <c r="T553" i="2"/>
  <c r="C555" i="10" s="1"/>
  <c r="S541" i="2"/>
  <c r="T541" i="2"/>
  <c r="S529" i="2"/>
  <c r="T529" i="2"/>
  <c r="S517" i="2"/>
  <c r="T517" i="2"/>
  <c r="C519" i="10" s="1"/>
  <c r="S505" i="2"/>
  <c r="T505" i="2"/>
  <c r="C507" i="10" s="1"/>
  <c r="S493" i="2"/>
  <c r="T493" i="2"/>
  <c r="S481" i="2"/>
  <c r="T481" i="2"/>
  <c r="C483" i="10" s="1"/>
  <c r="S469" i="2"/>
  <c r="T469" i="2"/>
  <c r="S457" i="2"/>
  <c r="T457" i="2"/>
  <c r="S445" i="2"/>
  <c r="T445" i="2"/>
  <c r="S433" i="2"/>
  <c r="T433" i="2"/>
  <c r="C435" i="10" s="1"/>
  <c r="S421" i="2"/>
  <c r="T421" i="2"/>
  <c r="S409" i="2"/>
  <c r="T409" i="2"/>
  <c r="C411" i="10" s="1"/>
  <c r="S397" i="2"/>
  <c r="T397" i="2"/>
  <c r="S385" i="2"/>
  <c r="T385" i="2"/>
  <c r="S373" i="2"/>
  <c r="T373" i="2"/>
  <c r="S361" i="2"/>
  <c r="T361" i="2"/>
  <c r="C363" i="10" s="1"/>
  <c r="S349" i="2"/>
  <c r="T349" i="2"/>
  <c r="S337" i="2"/>
  <c r="T337" i="2"/>
  <c r="C339" i="10" s="1"/>
  <c r="S325" i="2"/>
  <c r="T325" i="2"/>
  <c r="S313" i="2"/>
  <c r="T313" i="2"/>
  <c r="S301" i="2"/>
  <c r="T301" i="2"/>
  <c r="C303" i="10" s="1"/>
  <c r="S289" i="2"/>
  <c r="T289" i="2"/>
  <c r="C291" i="10" s="1"/>
  <c r="S277" i="2"/>
  <c r="T277" i="2"/>
  <c r="S265" i="2"/>
  <c r="T265" i="2"/>
  <c r="C267" i="10" s="1"/>
  <c r="S253" i="2"/>
  <c r="T253" i="2"/>
  <c r="S241" i="2"/>
  <c r="T241" i="2"/>
  <c r="S229" i="2"/>
  <c r="T229" i="2"/>
  <c r="S217" i="2"/>
  <c r="T217" i="2"/>
  <c r="C219" i="10" s="1"/>
  <c r="S205" i="2"/>
  <c r="T205" i="2"/>
  <c r="S193" i="2"/>
  <c r="T193" i="2"/>
  <c r="C195" i="10" s="1"/>
  <c r="S181" i="2"/>
  <c r="T181" i="2"/>
  <c r="S169" i="2"/>
  <c r="T169" i="2"/>
  <c r="S157" i="2"/>
  <c r="T157" i="2"/>
  <c r="C159" i="10" s="1"/>
  <c r="S145" i="2"/>
  <c r="T145" i="2"/>
  <c r="C147" i="10" s="1"/>
  <c r="S133" i="2"/>
  <c r="T133" i="2"/>
  <c r="S121" i="2"/>
  <c r="T121" i="2"/>
  <c r="C123" i="10" s="1"/>
  <c r="S109" i="2"/>
  <c r="T109" i="2"/>
  <c r="S97" i="2"/>
  <c r="T97" i="2"/>
  <c r="S85" i="2"/>
  <c r="T85" i="2"/>
  <c r="C87" i="10" s="1"/>
  <c r="S73" i="2"/>
  <c r="T73" i="2"/>
  <c r="C75" i="10" s="1"/>
  <c r="S61" i="2"/>
  <c r="T61" i="2"/>
  <c r="S49" i="2"/>
  <c r="T49" i="2"/>
  <c r="C51" i="10" s="1"/>
  <c r="S37" i="2"/>
  <c r="T37" i="2"/>
  <c r="T920" i="2"/>
  <c r="T896" i="2"/>
  <c r="C898" i="10" s="1"/>
  <c r="T860" i="2"/>
  <c r="T824" i="2"/>
  <c r="C826" i="10" s="1"/>
  <c r="T788" i="2"/>
  <c r="C790" i="10" s="1"/>
  <c r="T752" i="2"/>
  <c r="C754" i="10" s="1"/>
  <c r="T716" i="2"/>
  <c r="T680" i="2"/>
  <c r="T644" i="2"/>
  <c r="C646" i="10" s="1"/>
  <c r="T608" i="2"/>
  <c r="C610" i="10" s="1"/>
  <c r="T572" i="2"/>
  <c r="C574" i="10" s="1"/>
  <c r="T536" i="2"/>
  <c r="T414" i="2"/>
  <c r="T198" i="2"/>
  <c r="S790" i="2"/>
  <c r="T790" i="2"/>
  <c r="C792" i="10" s="1"/>
  <c r="S730" i="2"/>
  <c r="T730" i="2"/>
  <c r="C732" i="10" s="1"/>
  <c r="S658" i="2"/>
  <c r="T658" i="2"/>
  <c r="C660" i="10" s="1"/>
  <c r="S466" i="2"/>
  <c r="T466" i="2"/>
  <c r="C468" i="10" s="1"/>
  <c r="S891" i="2"/>
  <c r="T891" i="2"/>
  <c r="S831" i="2"/>
  <c r="T831" i="2"/>
  <c r="S795" i="2"/>
  <c r="T795" i="2"/>
  <c r="C797" i="10" s="1"/>
  <c r="S747" i="2"/>
  <c r="T747" i="2"/>
  <c r="C749" i="10" s="1"/>
  <c r="S937" i="2"/>
  <c r="T937" i="2"/>
  <c r="S913" i="2"/>
  <c r="T913" i="2"/>
  <c r="C915" i="10" s="1"/>
  <c r="S930" i="2"/>
  <c r="T930" i="2"/>
  <c r="S918" i="2"/>
  <c r="T918" i="2"/>
  <c r="S906" i="2"/>
  <c r="T906" i="2"/>
  <c r="C908" i="10" s="1"/>
  <c r="S894" i="2"/>
  <c r="T894" i="2"/>
  <c r="C896" i="10" s="1"/>
  <c r="S882" i="2"/>
  <c r="T882" i="2"/>
  <c r="S870" i="2"/>
  <c r="T870" i="2"/>
  <c r="C872" i="10" s="1"/>
  <c r="S858" i="2"/>
  <c r="T858" i="2"/>
  <c r="S846" i="2"/>
  <c r="T846" i="2"/>
  <c r="S834" i="2"/>
  <c r="T834" i="2"/>
  <c r="C836" i="10" s="1"/>
  <c r="S822" i="2"/>
  <c r="T822" i="2"/>
  <c r="C824" i="10" s="1"/>
  <c r="S810" i="2"/>
  <c r="T810" i="2"/>
  <c r="S798" i="2"/>
  <c r="T798" i="2"/>
  <c r="C800" i="10" s="1"/>
  <c r="S786" i="2"/>
  <c r="T786" i="2"/>
  <c r="S774" i="2"/>
  <c r="T774" i="2"/>
  <c r="S762" i="2"/>
  <c r="T762" i="2"/>
  <c r="C764" i="10" s="1"/>
  <c r="S750" i="2"/>
  <c r="T750" i="2"/>
  <c r="C752" i="10" s="1"/>
  <c r="S738" i="2"/>
  <c r="T738" i="2"/>
  <c r="S726" i="2"/>
  <c r="T726" i="2"/>
  <c r="C728" i="10" s="1"/>
  <c r="S714" i="2"/>
  <c r="T714" i="2"/>
  <c r="S702" i="2"/>
  <c r="T702" i="2"/>
  <c r="S690" i="2"/>
  <c r="T690" i="2"/>
  <c r="C692" i="10" s="1"/>
  <c r="S678" i="2"/>
  <c r="T678" i="2"/>
  <c r="C680" i="10" s="1"/>
  <c r="S666" i="2"/>
  <c r="T666" i="2"/>
  <c r="S654" i="2"/>
  <c r="T654" i="2"/>
  <c r="C656" i="10" s="1"/>
  <c r="S642" i="2"/>
  <c r="T642" i="2"/>
  <c r="S630" i="2"/>
  <c r="T630" i="2"/>
  <c r="S618" i="2"/>
  <c r="T618" i="2"/>
  <c r="C620" i="10" s="1"/>
  <c r="S606" i="2"/>
  <c r="T606" i="2"/>
  <c r="C608" i="10" s="1"/>
  <c r="S594" i="2"/>
  <c r="T594" i="2"/>
  <c r="S582" i="2"/>
  <c r="T582" i="2"/>
  <c r="C584" i="10" s="1"/>
  <c r="S570" i="2"/>
  <c r="T570" i="2"/>
  <c r="S558" i="2"/>
  <c r="T558" i="2"/>
  <c r="S546" i="2"/>
  <c r="T546" i="2"/>
  <c r="C548" i="10" s="1"/>
  <c r="S534" i="2"/>
  <c r="T534" i="2"/>
  <c r="C536" i="10" s="1"/>
  <c r="S522" i="2"/>
  <c r="T522" i="2"/>
  <c r="S510" i="2"/>
  <c r="T510" i="2"/>
  <c r="C512" i="10" s="1"/>
  <c r="S498" i="2"/>
  <c r="T498" i="2"/>
  <c r="S474" i="2"/>
  <c r="T474" i="2"/>
  <c r="S462" i="2"/>
  <c r="T462" i="2"/>
  <c r="C464" i="10" s="1"/>
  <c r="S438" i="2"/>
  <c r="T438" i="2"/>
  <c r="C440" i="10" s="1"/>
  <c r="S426" i="2"/>
  <c r="T426" i="2"/>
  <c r="S402" i="2"/>
  <c r="T402" i="2"/>
  <c r="C404" i="10" s="1"/>
  <c r="S390" i="2"/>
  <c r="T390" i="2"/>
  <c r="S366" i="2"/>
  <c r="T366" i="2"/>
  <c r="S354" i="2"/>
  <c r="T354" i="2"/>
  <c r="C356" i="10" s="1"/>
  <c r="S330" i="2"/>
  <c r="T330" i="2"/>
  <c r="C332" i="10" s="1"/>
  <c r="S318" i="2"/>
  <c r="T318" i="2"/>
  <c r="S294" i="2"/>
  <c r="T294" i="2"/>
  <c r="C296" i="10" s="1"/>
  <c r="S282" i="2"/>
  <c r="T282" i="2"/>
  <c r="S258" i="2"/>
  <c r="T258" i="2"/>
  <c r="S246" i="2"/>
  <c r="T246" i="2"/>
  <c r="C248" i="10" s="1"/>
  <c r="S222" i="2"/>
  <c r="T222" i="2"/>
  <c r="C224" i="10" s="1"/>
  <c r="S210" i="2"/>
  <c r="T210" i="2"/>
  <c r="S186" i="2"/>
  <c r="T186" i="2"/>
  <c r="C188" i="10" s="1"/>
  <c r="S174" i="2"/>
  <c r="T174" i="2"/>
  <c r="S150" i="2"/>
  <c r="T150" i="2"/>
  <c r="S138" i="2"/>
  <c r="T138" i="2"/>
  <c r="C140" i="10" s="1"/>
  <c r="S114" i="2"/>
  <c r="T114" i="2"/>
  <c r="C116" i="10" s="1"/>
  <c r="S102" i="2"/>
  <c r="T102" i="2"/>
  <c r="S78" i="2"/>
  <c r="T78" i="2"/>
  <c r="C80" i="10" s="1"/>
  <c r="S66" i="2"/>
  <c r="T66" i="2"/>
  <c r="S42" i="2"/>
  <c r="T42" i="2"/>
  <c r="S30" i="2"/>
  <c r="T30" i="2"/>
  <c r="C32" i="10" s="1"/>
  <c r="S778" i="2"/>
  <c r="T778" i="2"/>
  <c r="C780" i="10" s="1"/>
  <c r="S682" i="2"/>
  <c r="T682" i="2"/>
  <c r="S550" i="2"/>
  <c r="T550" i="2"/>
  <c r="C552" i="10" s="1"/>
  <c r="S514" i="2"/>
  <c r="T514" i="2"/>
  <c r="S406" i="2"/>
  <c r="T406" i="2"/>
  <c r="S334" i="2"/>
  <c r="T334" i="2"/>
  <c r="C336" i="10" s="1"/>
  <c r="S855" i="2"/>
  <c r="T855" i="2"/>
  <c r="C857" i="10" s="1"/>
  <c r="S771" i="2"/>
  <c r="T771" i="2"/>
  <c r="S935" i="2"/>
  <c r="T935" i="2"/>
  <c r="C937" i="10" s="1"/>
  <c r="S923" i="2"/>
  <c r="T923" i="2"/>
  <c r="S911" i="2"/>
  <c r="T911" i="2"/>
  <c r="C913" i="10" s="1"/>
  <c r="S899" i="2"/>
  <c r="T899" i="2"/>
  <c r="C901" i="10" s="1"/>
  <c r="S887" i="2"/>
  <c r="T887" i="2"/>
  <c r="C889" i="10" s="1"/>
  <c r="S875" i="2"/>
  <c r="T875" i="2"/>
  <c r="C877" i="10" s="1"/>
  <c r="S863" i="2"/>
  <c r="T863" i="2"/>
  <c r="C865" i="10" s="1"/>
  <c r="S851" i="2"/>
  <c r="T851" i="2"/>
  <c r="S839" i="2"/>
  <c r="T839" i="2"/>
  <c r="S827" i="2"/>
  <c r="T827" i="2"/>
  <c r="C829" i="10" s="1"/>
  <c r="S815" i="2"/>
  <c r="T815" i="2"/>
  <c r="C817" i="10" s="1"/>
  <c r="S803" i="2"/>
  <c r="T803" i="2"/>
  <c r="S791" i="2"/>
  <c r="T791" i="2"/>
  <c r="C793" i="10" s="1"/>
  <c r="S779" i="2"/>
  <c r="T779" i="2"/>
  <c r="S767" i="2"/>
  <c r="T767" i="2"/>
  <c r="S755" i="2"/>
  <c r="T755" i="2"/>
  <c r="C757" i="10" s="1"/>
  <c r="S743" i="2"/>
  <c r="T743" i="2"/>
  <c r="C745" i="10" s="1"/>
  <c r="S731" i="2"/>
  <c r="T731" i="2"/>
  <c r="S719" i="2"/>
  <c r="T719" i="2"/>
  <c r="C721" i="10" s="1"/>
  <c r="S707" i="2"/>
  <c r="T707" i="2"/>
  <c r="S695" i="2"/>
  <c r="T695" i="2"/>
  <c r="S683" i="2"/>
  <c r="T683" i="2"/>
  <c r="C685" i="10" s="1"/>
  <c r="S671" i="2"/>
  <c r="T671" i="2"/>
  <c r="C673" i="10" s="1"/>
  <c r="S659" i="2"/>
  <c r="T659" i="2"/>
  <c r="C661" i="10" s="1"/>
  <c r="S647" i="2"/>
  <c r="T647" i="2"/>
  <c r="C649" i="10" s="1"/>
  <c r="S635" i="2"/>
  <c r="T635" i="2"/>
  <c r="S623" i="2"/>
  <c r="T623" i="2"/>
  <c r="S611" i="2"/>
  <c r="T611" i="2"/>
  <c r="C613" i="10" s="1"/>
  <c r="S599" i="2"/>
  <c r="T599" i="2"/>
  <c r="C601" i="10" s="1"/>
  <c r="S587" i="2"/>
  <c r="T587" i="2"/>
  <c r="S575" i="2"/>
  <c r="T575" i="2"/>
  <c r="C577" i="10" s="1"/>
  <c r="S563" i="2"/>
  <c r="T563" i="2"/>
  <c r="S551" i="2"/>
  <c r="T551" i="2"/>
  <c r="S539" i="2"/>
  <c r="T539" i="2"/>
  <c r="C541" i="10" s="1"/>
  <c r="S527" i="2"/>
  <c r="T527" i="2"/>
  <c r="C529" i="10" s="1"/>
  <c r="S515" i="2"/>
  <c r="T515" i="2"/>
  <c r="S503" i="2"/>
  <c r="T503" i="2"/>
  <c r="C505" i="10" s="1"/>
  <c r="S491" i="2"/>
  <c r="T491" i="2"/>
  <c r="S479" i="2"/>
  <c r="T479" i="2"/>
  <c r="S467" i="2"/>
  <c r="T467" i="2"/>
  <c r="C469" i="10" s="1"/>
  <c r="S455" i="2"/>
  <c r="T455" i="2"/>
  <c r="C457" i="10" s="1"/>
  <c r="S443" i="2"/>
  <c r="T443" i="2"/>
  <c r="S431" i="2"/>
  <c r="T431" i="2"/>
  <c r="C433" i="10" s="1"/>
  <c r="S419" i="2"/>
  <c r="T419" i="2"/>
  <c r="S407" i="2"/>
  <c r="T407" i="2"/>
  <c r="C409" i="10" s="1"/>
  <c r="S395" i="2"/>
  <c r="T395" i="2"/>
  <c r="C397" i="10" s="1"/>
  <c r="S383" i="2"/>
  <c r="T383" i="2"/>
  <c r="C385" i="10" s="1"/>
  <c r="S371" i="2"/>
  <c r="T371" i="2"/>
  <c r="C373" i="10" s="1"/>
  <c r="S359" i="2"/>
  <c r="T359" i="2"/>
  <c r="C361" i="10" s="1"/>
  <c r="S347" i="2"/>
  <c r="T347" i="2"/>
  <c r="S335" i="2"/>
  <c r="T335" i="2"/>
  <c r="S323" i="2"/>
  <c r="T323" i="2"/>
  <c r="C325" i="10" s="1"/>
  <c r="S311" i="2"/>
  <c r="T311" i="2"/>
  <c r="C313" i="10" s="1"/>
  <c r="S299" i="2"/>
  <c r="T299" i="2"/>
  <c r="S287" i="2"/>
  <c r="T287" i="2"/>
  <c r="C289" i="10" s="1"/>
  <c r="S275" i="2"/>
  <c r="T275" i="2"/>
  <c r="S263" i="2"/>
  <c r="T263" i="2"/>
  <c r="S251" i="2"/>
  <c r="T251" i="2"/>
  <c r="C253" i="10" s="1"/>
  <c r="S239" i="2"/>
  <c r="T239" i="2"/>
  <c r="C241" i="10" s="1"/>
  <c r="S227" i="2"/>
  <c r="T227" i="2"/>
  <c r="S215" i="2"/>
  <c r="T215" i="2"/>
  <c r="C217" i="10" s="1"/>
  <c r="S203" i="2"/>
  <c r="T203" i="2"/>
  <c r="S191" i="2"/>
  <c r="T191" i="2"/>
  <c r="S179" i="2"/>
  <c r="T179" i="2"/>
  <c r="C181" i="10" s="1"/>
  <c r="S167" i="2"/>
  <c r="T167" i="2"/>
  <c r="C169" i="10" s="1"/>
  <c r="S155" i="2"/>
  <c r="T155" i="2"/>
  <c r="S143" i="2"/>
  <c r="T143" i="2"/>
  <c r="C145" i="10" s="1"/>
  <c r="S131" i="2"/>
  <c r="T131" i="2"/>
  <c r="S119" i="2"/>
  <c r="T119" i="2"/>
  <c r="C121" i="10" s="1"/>
  <c r="S107" i="2"/>
  <c r="T107" i="2"/>
  <c r="C109" i="10" s="1"/>
  <c r="S95" i="2"/>
  <c r="T95" i="2"/>
  <c r="C97" i="10" s="1"/>
  <c r="S83" i="2"/>
  <c r="T83" i="2"/>
  <c r="S71" i="2"/>
  <c r="T71" i="2"/>
  <c r="C73" i="10" s="1"/>
  <c r="S59" i="2"/>
  <c r="T59" i="2"/>
  <c r="S47" i="2"/>
  <c r="T47" i="2"/>
  <c r="S35" i="2"/>
  <c r="T35" i="2"/>
  <c r="C37" i="10" s="1"/>
  <c r="S23" i="2"/>
  <c r="T23" i="2"/>
  <c r="C25" i="10" s="1"/>
  <c r="T940" i="2"/>
  <c r="C942" i="10" s="1"/>
  <c r="T916" i="2"/>
  <c r="C918" i="10" s="1"/>
  <c r="T890" i="2"/>
  <c r="C892" i="10" s="1"/>
  <c r="T854" i="2"/>
  <c r="C856" i="10" s="1"/>
  <c r="T818" i="2"/>
  <c r="T782" i="2"/>
  <c r="T746" i="2"/>
  <c r="T710" i="2"/>
  <c r="C712" i="10" s="1"/>
  <c r="T674" i="2"/>
  <c r="C676" i="10" s="1"/>
  <c r="T638" i="2"/>
  <c r="C640" i="10" s="1"/>
  <c r="T602" i="2"/>
  <c r="C604" i="10" s="1"/>
  <c r="T566" i="2"/>
  <c r="C568" i="10" s="1"/>
  <c r="T530" i="2"/>
  <c r="C532" i="10" s="1"/>
  <c r="T378" i="2"/>
  <c r="C380" i="10" s="1"/>
  <c r="T162" i="2"/>
  <c r="C164" i="10" s="1"/>
  <c r="S850" i="2"/>
  <c r="T850" i="2"/>
  <c r="S490" i="2"/>
  <c r="T490" i="2"/>
  <c r="C492" i="10" s="1"/>
  <c r="S843" i="2"/>
  <c r="T843" i="2"/>
  <c r="C845" i="10" s="1"/>
  <c r="S892" i="2"/>
  <c r="T892" i="2"/>
  <c r="S880" i="2"/>
  <c r="T880" i="2"/>
  <c r="C882" i="10" s="1"/>
  <c r="S868" i="2"/>
  <c r="T868" i="2"/>
  <c r="C870" i="10" s="1"/>
  <c r="S856" i="2"/>
  <c r="T856" i="2"/>
  <c r="S844" i="2"/>
  <c r="T844" i="2"/>
  <c r="C846" i="10" s="1"/>
  <c r="S832" i="2"/>
  <c r="T832" i="2"/>
  <c r="C834" i="10" s="1"/>
  <c r="S820" i="2"/>
  <c r="T820" i="2"/>
  <c r="S808" i="2"/>
  <c r="T808" i="2"/>
  <c r="C810" i="10" s="1"/>
  <c r="S796" i="2"/>
  <c r="T796" i="2"/>
  <c r="C798" i="10" s="1"/>
  <c r="S784" i="2"/>
  <c r="T784" i="2"/>
  <c r="C786" i="10" s="1"/>
  <c r="S772" i="2"/>
  <c r="T772" i="2"/>
  <c r="C774" i="10" s="1"/>
  <c r="S760" i="2"/>
  <c r="T760" i="2"/>
  <c r="C762" i="10" s="1"/>
  <c r="S748" i="2"/>
  <c r="T748" i="2"/>
  <c r="S736" i="2"/>
  <c r="T736" i="2"/>
  <c r="C738" i="10" s="1"/>
  <c r="S724" i="2"/>
  <c r="T724" i="2"/>
  <c r="C726" i="10" s="1"/>
  <c r="S712" i="2"/>
  <c r="T712" i="2"/>
  <c r="S700" i="2"/>
  <c r="T700" i="2"/>
  <c r="C702" i="10" s="1"/>
  <c r="S688" i="2"/>
  <c r="T688" i="2"/>
  <c r="C690" i="10" s="1"/>
  <c r="S676" i="2"/>
  <c r="T676" i="2"/>
  <c r="S664" i="2"/>
  <c r="T664" i="2"/>
  <c r="C666" i="10" s="1"/>
  <c r="S652" i="2"/>
  <c r="T652" i="2"/>
  <c r="C654" i="10" s="1"/>
  <c r="S640" i="2"/>
  <c r="T640" i="2"/>
  <c r="S628" i="2"/>
  <c r="T628" i="2"/>
  <c r="C630" i="10" s="1"/>
  <c r="S616" i="2"/>
  <c r="T616" i="2"/>
  <c r="C618" i="10" s="1"/>
  <c r="S604" i="2"/>
  <c r="T604" i="2"/>
  <c r="S592" i="2"/>
  <c r="T592" i="2"/>
  <c r="C594" i="10" s="1"/>
  <c r="S580" i="2"/>
  <c r="T580" i="2"/>
  <c r="C582" i="10" s="1"/>
  <c r="S568" i="2"/>
  <c r="T568" i="2"/>
  <c r="S556" i="2"/>
  <c r="T556" i="2"/>
  <c r="C558" i="10" s="1"/>
  <c r="S544" i="2"/>
  <c r="T544" i="2"/>
  <c r="C546" i="10" s="1"/>
  <c r="S532" i="2"/>
  <c r="T532" i="2"/>
  <c r="S520" i="2"/>
  <c r="T520" i="2"/>
  <c r="C522" i="10" s="1"/>
  <c r="S508" i="2"/>
  <c r="T508" i="2"/>
  <c r="C510" i="10" s="1"/>
  <c r="S496" i="2"/>
  <c r="T496" i="2"/>
  <c r="S484" i="2"/>
  <c r="T484" i="2"/>
  <c r="C486" i="10" s="1"/>
  <c r="S472" i="2"/>
  <c r="T472" i="2"/>
  <c r="C474" i="10" s="1"/>
  <c r="S460" i="2"/>
  <c r="T460" i="2"/>
  <c r="S448" i="2"/>
  <c r="T448" i="2"/>
  <c r="C450" i="10" s="1"/>
  <c r="S436" i="2"/>
  <c r="T436" i="2"/>
  <c r="C438" i="10" s="1"/>
  <c r="S424" i="2"/>
  <c r="T424" i="2"/>
  <c r="S412" i="2"/>
  <c r="T412" i="2"/>
  <c r="C414" i="10" s="1"/>
  <c r="S400" i="2"/>
  <c r="T400" i="2"/>
  <c r="C402" i="10" s="1"/>
  <c r="S388" i="2"/>
  <c r="T388" i="2"/>
  <c r="S376" i="2"/>
  <c r="T376" i="2"/>
  <c r="C378" i="10" s="1"/>
  <c r="S364" i="2"/>
  <c r="T364" i="2"/>
  <c r="C366" i="10" s="1"/>
  <c r="S352" i="2"/>
  <c r="T352" i="2"/>
  <c r="S340" i="2"/>
  <c r="T340" i="2"/>
  <c r="S328" i="2"/>
  <c r="T328" i="2"/>
  <c r="C330" i="10" s="1"/>
  <c r="S316" i="2"/>
  <c r="T316" i="2"/>
  <c r="S304" i="2"/>
  <c r="T304" i="2"/>
  <c r="C306" i="10" s="1"/>
  <c r="S292" i="2"/>
  <c r="T292" i="2"/>
  <c r="C294" i="10" s="1"/>
  <c r="S280" i="2"/>
  <c r="T280" i="2"/>
  <c r="S268" i="2"/>
  <c r="T268" i="2"/>
  <c r="C270" i="10" s="1"/>
  <c r="S256" i="2"/>
  <c r="T256" i="2"/>
  <c r="C258" i="10" s="1"/>
  <c r="S244" i="2"/>
  <c r="T244" i="2"/>
  <c r="S232" i="2"/>
  <c r="T232" i="2"/>
  <c r="C234" i="10" s="1"/>
  <c r="S220" i="2"/>
  <c r="T220" i="2"/>
  <c r="C222" i="10" s="1"/>
  <c r="S208" i="2"/>
  <c r="T208" i="2"/>
  <c r="S196" i="2"/>
  <c r="T196" i="2"/>
  <c r="C198" i="10" s="1"/>
  <c r="S184" i="2"/>
  <c r="T184" i="2"/>
  <c r="C186" i="10" s="1"/>
  <c r="S172" i="2"/>
  <c r="T172" i="2"/>
  <c r="S160" i="2"/>
  <c r="T160" i="2"/>
  <c r="C162" i="10" s="1"/>
  <c r="S148" i="2"/>
  <c r="T148" i="2"/>
  <c r="C150" i="10" s="1"/>
  <c r="S136" i="2"/>
  <c r="T136" i="2"/>
  <c r="S124" i="2"/>
  <c r="T124" i="2"/>
  <c r="C126" i="10" s="1"/>
  <c r="S112" i="2"/>
  <c r="T112" i="2"/>
  <c r="C114" i="10" s="1"/>
  <c r="S100" i="2"/>
  <c r="T100" i="2"/>
  <c r="S88" i="2"/>
  <c r="T88" i="2"/>
  <c r="C90" i="10" s="1"/>
  <c r="S76" i="2"/>
  <c r="T76" i="2"/>
  <c r="C78" i="10" s="1"/>
  <c r="S64" i="2"/>
  <c r="T64" i="2"/>
  <c r="S52" i="2"/>
  <c r="T52" i="2"/>
  <c r="C54" i="10" s="1"/>
  <c r="S40" i="2"/>
  <c r="T40" i="2"/>
  <c r="C42" i="10" s="1"/>
  <c r="T938" i="2"/>
  <c r="C940" i="10" s="1"/>
  <c r="T914" i="2"/>
  <c r="S754" i="2"/>
  <c r="T754" i="2"/>
  <c r="C756" i="10" s="1"/>
  <c r="S706" i="2"/>
  <c r="T706" i="2"/>
  <c r="C708" i="10" s="1"/>
  <c r="S538" i="2"/>
  <c r="T538" i="2"/>
  <c r="C540" i="10" s="1"/>
  <c r="S933" i="2"/>
  <c r="T933" i="2"/>
  <c r="C935" i="10" s="1"/>
  <c r="S885" i="2"/>
  <c r="T885" i="2"/>
  <c r="C887" i="10" s="1"/>
  <c r="S873" i="2"/>
  <c r="T873" i="2"/>
  <c r="C875" i="10" s="1"/>
  <c r="S861" i="2"/>
  <c r="T861" i="2"/>
  <c r="C863" i="10" s="1"/>
  <c r="S849" i="2"/>
  <c r="T849" i="2"/>
  <c r="C851" i="10" s="1"/>
  <c r="S837" i="2"/>
  <c r="T837" i="2"/>
  <c r="C839" i="10" s="1"/>
  <c r="S825" i="2"/>
  <c r="T825" i="2"/>
  <c r="C827" i="10" s="1"/>
  <c r="S813" i="2"/>
  <c r="T813" i="2"/>
  <c r="C815" i="10" s="1"/>
  <c r="S801" i="2"/>
  <c r="T801" i="2"/>
  <c r="S789" i="2"/>
  <c r="T789" i="2"/>
  <c r="C791" i="10" s="1"/>
  <c r="S777" i="2"/>
  <c r="T777" i="2"/>
  <c r="C779" i="10" s="1"/>
  <c r="S765" i="2"/>
  <c r="T765" i="2"/>
  <c r="S753" i="2"/>
  <c r="T753" i="2"/>
  <c r="C755" i="10" s="1"/>
  <c r="S741" i="2"/>
  <c r="T741" i="2"/>
  <c r="C743" i="10" s="1"/>
  <c r="S729" i="2"/>
  <c r="T729" i="2"/>
  <c r="S717" i="2"/>
  <c r="T717" i="2"/>
  <c r="C719" i="10" s="1"/>
  <c r="S705" i="2"/>
  <c r="T705" i="2"/>
  <c r="C707" i="10" s="1"/>
  <c r="S693" i="2"/>
  <c r="T693" i="2"/>
  <c r="C695" i="10" s="1"/>
  <c r="S681" i="2"/>
  <c r="T681" i="2"/>
  <c r="C683" i="10" s="1"/>
  <c r="S669" i="2"/>
  <c r="T669" i="2"/>
  <c r="C671" i="10" s="1"/>
  <c r="S657" i="2"/>
  <c r="T657" i="2"/>
  <c r="S645" i="2"/>
  <c r="T645" i="2"/>
  <c r="C647" i="10" s="1"/>
  <c r="S633" i="2"/>
  <c r="T633" i="2"/>
  <c r="C635" i="10" s="1"/>
  <c r="S621" i="2"/>
  <c r="T621" i="2"/>
  <c r="C623" i="10" s="1"/>
  <c r="S609" i="2"/>
  <c r="T609" i="2"/>
  <c r="C611" i="10" s="1"/>
  <c r="S597" i="2"/>
  <c r="T597" i="2"/>
  <c r="C599" i="10" s="1"/>
  <c r="S585" i="2"/>
  <c r="T585" i="2"/>
  <c r="S573" i="2"/>
  <c r="T573" i="2"/>
  <c r="C575" i="10" s="1"/>
  <c r="S561" i="2"/>
  <c r="T561" i="2"/>
  <c r="C563" i="10" s="1"/>
  <c r="S549" i="2"/>
  <c r="T549" i="2"/>
  <c r="S537" i="2"/>
  <c r="T537" i="2"/>
  <c r="C539" i="10" s="1"/>
  <c r="S525" i="2"/>
  <c r="T525" i="2"/>
  <c r="C527" i="10" s="1"/>
  <c r="T513" i="2"/>
  <c r="C515" i="10" s="1"/>
  <c r="S513" i="2"/>
  <c r="T501" i="2"/>
  <c r="C503" i="10" s="1"/>
  <c r="S501" i="2"/>
  <c r="T489" i="2"/>
  <c r="C491" i="10" s="1"/>
  <c r="S489" i="2"/>
  <c r="T477" i="2"/>
  <c r="C479" i="10" s="1"/>
  <c r="S477" i="2"/>
  <c r="T465" i="2"/>
  <c r="S465" i="2"/>
  <c r="T453" i="2"/>
  <c r="C455" i="10" s="1"/>
  <c r="S453" i="2"/>
  <c r="T441" i="2"/>
  <c r="C443" i="10" s="1"/>
  <c r="S441" i="2"/>
  <c r="T429" i="2"/>
  <c r="C431" i="10" s="1"/>
  <c r="S429" i="2"/>
  <c r="T417" i="2"/>
  <c r="C419" i="10" s="1"/>
  <c r="S417" i="2"/>
  <c r="T405" i="2"/>
  <c r="C407" i="10" s="1"/>
  <c r="S405" i="2"/>
  <c r="T393" i="2"/>
  <c r="S393" i="2"/>
  <c r="T381" i="2"/>
  <c r="C383" i="10" s="1"/>
  <c r="S381" i="2"/>
  <c r="T369" i="2"/>
  <c r="C371" i="10" s="1"/>
  <c r="S369" i="2"/>
  <c r="T357" i="2"/>
  <c r="C359" i="10" s="1"/>
  <c r="S357" i="2"/>
  <c r="T345" i="2"/>
  <c r="C347" i="10" s="1"/>
  <c r="S345" i="2"/>
  <c r="T333" i="2"/>
  <c r="C335" i="10" s="1"/>
  <c r="S333" i="2"/>
  <c r="T321" i="2"/>
  <c r="C323" i="10" s="1"/>
  <c r="S321" i="2"/>
  <c r="T309" i="2"/>
  <c r="C311" i="10" s="1"/>
  <c r="S309" i="2"/>
  <c r="T297" i="2"/>
  <c r="C299" i="10" s="1"/>
  <c r="S297" i="2"/>
  <c r="T285" i="2"/>
  <c r="C287" i="10" s="1"/>
  <c r="S285" i="2"/>
  <c r="T273" i="2"/>
  <c r="C275" i="10" s="1"/>
  <c r="S273" i="2"/>
  <c r="T261" i="2"/>
  <c r="C263" i="10" s="1"/>
  <c r="S261" i="2"/>
  <c r="T249" i="2"/>
  <c r="S249" i="2"/>
  <c r="T237" i="2"/>
  <c r="C239" i="10" s="1"/>
  <c r="S237" i="2"/>
  <c r="T225" i="2"/>
  <c r="C227" i="10" s="1"/>
  <c r="S225" i="2"/>
  <c r="T213" i="2"/>
  <c r="C215" i="10" s="1"/>
  <c r="S213" i="2"/>
  <c r="T201" i="2"/>
  <c r="C203" i="10" s="1"/>
  <c r="S201" i="2"/>
  <c r="T189" i="2"/>
  <c r="C191" i="10" s="1"/>
  <c r="S189" i="2"/>
  <c r="T177" i="2"/>
  <c r="S177" i="2"/>
  <c r="T165" i="2"/>
  <c r="C167" i="10" s="1"/>
  <c r="S165" i="2"/>
  <c r="T153" i="2"/>
  <c r="C155" i="10" s="1"/>
  <c r="S153" i="2"/>
  <c r="T141" i="2"/>
  <c r="C143" i="10" s="1"/>
  <c r="S141" i="2"/>
  <c r="T129" i="2"/>
  <c r="C131" i="10" s="1"/>
  <c r="S129" i="2"/>
  <c r="T117" i="2"/>
  <c r="C119" i="10" s="1"/>
  <c r="S117" i="2"/>
  <c r="T105" i="2"/>
  <c r="C107" i="10" s="1"/>
  <c r="S105" i="2"/>
  <c r="T93" i="2"/>
  <c r="C95" i="10" s="1"/>
  <c r="S93" i="2"/>
  <c r="T81" i="2"/>
  <c r="C83" i="10" s="1"/>
  <c r="S81" i="2"/>
  <c r="T69" i="2"/>
  <c r="C71" i="10" s="1"/>
  <c r="S69" i="2"/>
  <c r="T57" i="2"/>
  <c r="C59" i="10" s="1"/>
  <c r="S57" i="2"/>
  <c r="T45" i="2"/>
  <c r="C47" i="10" s="1"/>
  <c r="S45" i="2"/>
  <c r="T33" i="2"/>
  <c r="C35" i="10" s="1"/>
  <c r="S33" i="2"/>
  <c r="T21" i="2"/>
  <c r="C23" i="10" s="1"/>
  <c r="S21" i="2"/>
  <c r="T884" i="2"/>
  <c r="C886" i="10" s="1"/>
  <c r="T848" i="2"/>
  <c r="C850" i="10" s="1"/>
  <c r="T812" i="2"/>
  <c r="C814" i="10" s="1"/>
  <c r="T776" i="2"/>
  <c r="C778" i="10" s="1"/>
  <c r="T740" i="2"/>
  <c r="C742" i="10" s="1"/>
  <c r="T704" i="2"/>
  <c r="C706" i="10" s="1"/>
  <c r="T668" i="2"/>
  <c r="C670" i="10" s="1"/>
  <c r="T632" i="2"/>
  <c r="C634" i="10" s="1"/>
  <c r="T596" i="2"/>
  <c r="C598" i="10" s="1"/>
  <c r="T560" i="2"/>
  <c r="C562" i="10" s="1"/>
  <c r="T524" i="2"/>
  <c r="C526" i="10" s="1"/>
  <c r="T342" i="2"/>
  <c r="C344" i="10" s="1"/>
  <c r="T126" i="2"/>
  <c r="C128" i="10" s="1"/>
  <c r="S874" i="2"/>
  <c r="T874" i="2"/>
  <c r="C876" i="10" s="1"/>
  <c r="S802" i="2"/>
  <c r="T802" i="2"/>
  <c r="S574" i="2"/>
  <c r="T574" i="2"/>
  <c r="C576" i="10" s="1"/>
  <c r="S927" i="2"/>
  <c r="T927" i="2"/>
  <c r="C929" i="10" s="1"/>
  <c r="S921" i="2"/>
  <c r="T921" i="2"/>
  <c r="C923" i="10" s="1"/>
  <c r="S909" i="2"/>
  <c r="T909" i="2"/>
  <c r="C911" i="10" s="1"/>
  <c r="S897" i="2"/>
  <c r="T897" i="2"/>
  <c r="C899" i="10" s="1"/>
  <c r="S506" i="2"/>
  <c r="T506" i="2"/>
  <c r="S494" i="2"/>
  <c r="T494" i="2"/>
  <c r="C496" i="10" s="1"/>
  <c r="S482" i="2"/>
  <c r="T482" i="2"/>
  <c r="C484" i="10" s="1"/>
  <c r="S470" i="2"/>
  <c r="T470" i="2"/>
  <c r="C472" i="10" s="1"/>
  <c r="S458" i="2"/>
  <c r="T458" i="2"/>
  <c r="C460" i="10" s="1"/>
  <c r="S446" i="2"/>
  <c r="T446" i="2"/>
  <c r="C448" i="10" s="1"/>
  <c r="S434" i="2"/>
  <c r="T434" i="2"/>
  <c r="C436" i="10" s="1"/>
  <c r="S422" i="2"/>
  <c r="T422" i="2"/>
  <c r="C424" i="10" s="1"/>
  <c r="S410" i="2"/>
  <c r="T410" i="2"/>
  <c r="C412" i="10" s="1"/>
  <c r="S398" i="2"/>
  <c r="T398" i="2"/>
  <c r="C400" i="10" s="1"/>
  <c r="S386" i="2"/>
  <c r="T386" i="2"/>
  <c r="C388" i="10" s="1"/>
  <c r="S374" i="2"/>
  <c r="T374" i="2"/>
  <c r="C376" i="10" s="1"/>
  <c r="S362" i="2"/>
  <c r="T362" i="2"/>
  <c r="C364" i="10" s="1"/>
  <c r="S350" i="2"/>
  <c r="T350" i="2"/>
  <c r="C352" i="10" s="1"/>
  <c r="S338" i="2"/>
  <c r="T338" i="2"/>
  <c r="C340" i="10" s="1"/>
  <c r="S326" i="2"/>
  <c r="T326" i="2"/>
  <c r="C328" i="10" s="1"/>
  <c r="S314" i="2"/>
  <c r="T314" i="2"/>
  <c r="C316" i="10" s="1"/>
  <c r="S302" i="2"/>
  <c r="T302" i="2"/>
  <c r="C304" i="10" s="1"/>
  <c r="S290" i="2"/>
  <c r="T290" i="2"/>
  <c r="S278" i="2"/>
  <c r="T278" i="2"/>
  <c r="C280" i="10" s="1"/>
  <c r="S266" i="2"/>
  <c r="T266" i="2"/>
  <c r="C268" i="10" s="1"/>
  <c r="S254" i="2"/>
  <c r="T254" i="2"/>
  <c r="C256" i="10" s="1"/>
  <c r="S242" i="2"/>
  <c r="T242" i="2"/>
  <c r="C244" i="10" s="1"/>
  <c r="S230" i="2"/>
  <c r="T230" i="2"/>
  <c r="C232" i="10" s="1"/>
  <c r="S218" i="2"/>
  <c r="T218" i="2"/>
  <c r="S206" i="2"/>
  <c r="T206" i="2"/>
  <c r="C208" i="10" s="1"/>
  <c r="S194" i="2"/>
  <c r="T194" i="2"/>
  <c r="C196" i="10" s="1"/>
  <c r="S182" i="2"/>
  <c r="T182" i="2"/>
  <c r="C184" i="10" s="1"/>
  <c r="S170" i="2"/>
  <c r="T170" i="2"/>
  <c r="C172" i="10" s="1"/>
  <c r="S158" i="2"/>
  <c r="T158" i="2"/>
  <c r="C160" i="10" s="1"/>
  <c r="S146" i="2"/>
  <c r="T146" i="2"/>
  <c r="S134" i="2"/>
  <c r="T134" i="2"/>
  <c r="C136" i="10" s="1"/>
  <c r="S122" i="2"/>
  <c r="T122" i="2"/>
  <c r="C124" i="10" s="1"/>
  <c r="S110" i="2"/>
  <c r="T110" i="2"/>
  <c r="C112" i="10" s="1"/>
  <c r="S98" i="2"/>
  <c r="T98" i="2"/>
  <c r="C100" i="10" s="1"/>
  <c r="S86" i="2"/>
  <c r="T86" i="2"/>
  <c r="C88" i="10" s="1"/>
  <c r="S74" i="2"/>
  <c r="T74" i="2"/>
  <c r="S62" i="2"/>
  <c r="T62" i="2"/>
  <c r="C64" i="10" s="1"/>
  <c r="S50" i="2"/>
  <c r="T50" i="2"/>
  <c r="C52" i="10" s="1"/>
  <c r="S38" i="2"/>
  <c r="T38" i="2"/>
  <c r="C40" i="10" s="1"/>
  <c r="S26" i="2"/>
  <c r="T26" i="2"/>
  <c r="C28" i="10" s="1"/>
  <c r="T934" i="2"/>
  <c r="C936" i="10" s="1"/>
  <c r="T910" i="2"/>
  <c r="C912" i="10" s="1"/>
  <c r="S838" i="2"/>
  <c r="T838" i="2"/>
  <c r="C840" i="10" s="1"/>
  <c r="S718" i="2"/>
  <c r="T718" i="2"/>
  <c r="C720" i="10" s="1"/>
  <c r="S454" i="2"/>
  <c r="T454" i="2"/>
  <c r="C456" i="10" s="1"/>
  <c r="S939" i="2"/>
  <c r="T939" i="2"/>
  <c r="C941" i="10" s="1"/>
  <c r="S919" i="2"/>
  <c r="T919" i="2"/>
  <c r="C921" i="10" s="1"/>
  <c r="S907" i="2"/>
  <c r="T907" i="2"/>
  <c r="C909" i="10" s="1"/>
  <c r="S895" i="2"/>
  <c r="T895" i="2"/>
  <c r="C897" i="10" s="1"/>
  <c r="S883" i="2"/>
  <c r="T883" i="2"/>
  <c r="C885" i="10" s="1"/>
  <c r="S871" i="2"/>
  <c r="T871" i="2"/>
  <c r="C873" i="10" s="1"/>
  <c r="S859" i="2"/>
  <c r="T859" i="2"/>
  <c r="C861" i="10" s="1"/>
  <c r="S847" i="2"/>
  <c r="T847" i="2"/>
  <c r="C849" i="10" s="1"/>
  <c r="S835" i="2"/>
  <c r="T835" i="2"/>
  <c r="C837" i="10" s="1"/>
  <c r="S823" i="2"/>
  <c r="T823" i="2"/>
  <c r="C825" i="10" s="1"/>
  <c r="S811" i="2"/>
  <c r="T811" i="2"/>
  <c r="C813" i="10" s="1"/>
  <c r="S799" i="2"/>
  <c r="T799" i="2"/>
  <c r="C801" i="10" s="1"/>
  <c r="S787" i="2"/>
  <c r="T787" i="2"/>
  <c r="C789" i="10" s="1"/>
  <c r="S775" i="2"/>
  <c r="T775" i="2"/>
  <c r="C777" i="10" s="1"/>
  <c r="S763" i="2"/>
  <c r="T763" i="2"/>
  <c r="C765" i="10" s="1"/>
  <c r="S751" i="2"/>
  <c r="T751" i="2"/>
  <c r="C753" i="10" s="1"/>
  <c r="S739" i="2"/>
  <c r="T739" i="2"/>
  <c r="C741" i="10" s="1"/>
  <c r="S727" i="2"/>
  <c r="T727" i="2"/>
  <c r="C729" i="10" s="1"/>
  <c r="S715" i="2"/>
  <c r="T715" i="2"/>
  <c r="C717" i="10" s="1"/>
  <c r="S703" i="2"/>
  <c r="T703" i="2"/>
  <c r="C705" i="10" s="1"/>
  <c r="S691" i="2"/>
  <c r="T691" i="2"/>
  <c r="C693" i="10" s="1"/>
  <c r="S679" i="2"/>
  <c r="T679" i="2"/>
  <c r="C681" i="10" s="1"/>
  <c r="S667" i="2"/>
  <c r="T667" i="2"/>
  <c r="C669" i="10" s="1"/>
  <c r="S655" i="2"/>
  <c r="T655" i="2"/>
  <c r="C657" i="10" s="1"/>
  <c r="S643" i="2"/>
  <c r="T643" i="2"/>
  <c r="C645" i="10" s="1"/>
  <c r="S631" i="2"/>
  <c r="T631" i="2"/>
  <c r="C633" i="10" s="1"/>
  <c r="S619" i="2"/>
  <c r="T619" i="2"/>
  <c r="C621" i="10" s="1"/>
  <c r="S607" i="2"/>
  <c r="T607" i="2"/>
  <c r="C609" i="10" s="1"/>
  <c r="S595" i="2"/>
  <c r="T595" i="2"/>
  <c r="C597" i="10" s="1"/>
  <c r="S583" i="2"/>
  <c r="T583" i="2"/>
  <c r="C585" i="10" s="1"/>
  <c r="S571" i="2"/>
  <c r="T571" i="2"/>
  <c r="C573" i="10" s="1"/>
  <c r="S559" i="2"/>
  <c r="T559" i="2"/>
  <c r="C561" i="10" s="1"/>
  <c r="S547" i="2"/>
  <c r="T547" i="2"/>
  <c r="C549" i="10" s="1"/>
  <c r="S535" i="2"/>
  <c r="T535" i="2"/>
  <c r="C537" i="10" s="1"/>
  <c r="S523" i="2"/>
  <c r="T523" i="2"/>
  <c r="C525" i="10" s="1"/>
  <c r="S511" i="2"/>
  <c r="T511" i="2"/>
  <c r="C513" i="10" s="1"/>
  <c r="S499" i="2"/>
  <c r="T499" i="2"/>
  <c r="C501" i="10" s="1"/>
  <c r="S487" i="2"/>
  <c r="T487" i="2"/>
  <c r="C489" i="10" s="1"/>
  <c r="S475" i="2"/>
  <c r="T475" i="2"/>
  <c r="C477" i="10" s="1"/>
  <c r="S463" i="2"/>
  <c r="T463" i="2"/>
  <c r="C465" i="10" s="1"/>
  <c r="S451" i="2"/>
  <c r="T451" i="2"/>
  <c r="C453" i="10" s="1"/>
  <c r="S439" i="2"/>
  <c r="T439" i="2"/>
  <c r="C441" i="10" s="1"/>
  <c r="S427" i="2"/>
  <c r="T427" i="2"/>
  <c r="C429" i="10" s="1"/>
  <c r="S415" i="2"/>
  <c r="T415" i="2"/>
  <c r="C417" i="10" s="1"/>
  <c r="S403" i="2"/>
  <c r="T403" i="2"/>
  <c r="C405" i="10" s="1"/>
  <c r="S391" i="2"/>
  <c r="T391" i="2"/>
  <c r="C393" i="10" s="1"/>
  <c r="S379" i="2"/>
  <c r="T379" i="2"/>
  <c r="C381" i="10" s="1"/>
  <c r="S367" i="2"/>
  <c r="T367" i="2"/>
  <c r="C369" i="10" s="1"/>
  <c r="S355" i="2"/>
  <c r="T355" i="2"/>
  <c r="C357" i="10" s="1"/>
  <c r="S343" i="2"/>
  <c r="T343" i="2"/>
  <c r="C345" i="10" s="1"/>
  <c r="S331" i="2"/>
  <c r="T331" i="2"/>
  <c r="C333" i="10" s="1"/>
  <c r="S319" i="2"/>
  <c r="T319" i="2"/>
  <c r="C321" i="10" s="1"/>
  <c r="S307" i="2"/>
  <c r="T307" i="2"/>
  <c r="C309" i="10" s="1"/>
  <c r="S295" i="2"/>
  <c r="T295" i="2"/>
  <c r="C297" i="10" s="1"/>
  <c r="S283" i="2"/>
  <c r="T283" i="2"/>
  <c r="C285" i="10" s="1"/>
  <c r="S271" i="2"/>
  <c r="T271" i="2"/>
  <c r="C273" i="10" s="1"/>
  <c r="S259" i="2"/>
  <c r="T259" i="2"/>
  <c r="C261" i="10" s="1"/>
  <c r="S247" i="2"/>
  <c r="T247" i="2"/>
  <c r="S235" i="2"/>
  <c r="T235" i="2"/>
  <c r="C237" i="10" s="1"/>
  <c r="S223" i="2"/>
  <c r="T223" i="2"/>
  <c r="C225" i="10" s="1"/>
  <c r="S211" i="2"/>
  <c r="T211" i="2"/>
  <c r="C213" i="10" s="1"/>
  <c r="S199" i="2"/>
  <c r="T199" i="2"/>
  <c r="C201" i="10" s="1"/>
  <c r="S187" i="2"/>
  <c r="T187" i="2"/>
  <c r="C189" i="10" s="1"/>
  <c r="S175" i="2"/>
  <c r="T175" i="2"/>
  <c r="S163" i="2"/>
  <c r="T163" i="2"/>
  <c r="C165" i="10" s="1"/>
  <c r="S151" i="2"/>
  <c r="T151" i="2"/>
  <c r="C153" i="10" s="1"/>
  <c r="S139" i="2"/>
  <c r="T139" i="2"/>
  <c r="C141" i="10" s="1"/>
  <c r="S127" i="2"/>
  <c r="T127" i="2"/>
  <c r="C129" i="10" s="1"/>
  <c r="S115" i="2"/>
  <c r="T115" i="2"/>
  <c r="C117" i="10" s="1"/>
  <c r="S103" i="2"/>
  <c r="T103" i="2"/>
  <c r="C105" i="10" s="1"/>
  <c r="S91" i="2"/>
  <c r="T91" i="2"/>
  <c r="C93" i="10" s="1"/>
  <c r="S79" i="2"/>
  <c r="T79" i="2"/>
  <c r="C81" i="10" s="1"/>
  <c r="S67" i="2"/>
  <c r="T67" i="2"/>
  <c r="C69" i="10" s="1"/>
  <c r="S55" i="2"/>
  <c r="T55" i="2"/>
  <c r="C57" i="10" s="1"/>
  <c r="S43" i="2"/>
  <c r="T43" i="2"/>
  <c r="C45" i="10" s="1"/>
  <c r="S31" i="2"/>
  <c r="T31" i="2"/>
  <c r="C33" i="10" s="1"/>
  <c r="S19" i="2"/>
  <c r="T19" i="2"/>
  <c r="C21" i="10" s="1"/>
  <c r="T932" i="2"/>
  <c r="C934" i="10" s="1"/>
  <c r="T908" i="2"/>
  <c r="C910" i="10" s="1"/>
  <c r="T878" i="2"/>
  <c r="C880" i="10" s="1"/>
  <c r="T842" i="2"/>
  <c r="C844" i="10" s="1"/>
  <c r="T806" i="2"/>
  <c r="C808" i="10" s="1"/>
  <c r="T770" i="2"/>
  <c r="C772" i="10" s="1"/>
  <c r="T734" i="2"/>
  <c r="C736" i="10" s="1"/>
  <c r="T698" i="2"/>
  <c r="C700" i="10" s="1"/>
  <c r="T662" i="2"/>
  <c r="C664" i="10" s="1"/>
  <c r="T626" i="2"/>
  <c r="C628" i="10" s="1"/>
  <c r="T590" i="2"/>
  <c r="C592" i="10" s="1"/>
  <c r="T554" i="2"/>
  <c r="C556" i="10" s="1"/>
  <c r="T518" i="2"/>
  <c r="C520" i="10" s="1"/>
  <c r="T306" i="2"/>
  <c r="C308" i="10" s="1"/>
  <c r="T90" i="2"/>
  <c r="C92" i="10" s="1"/>
  <c r="S478" i="2"/>
  <c r="T478" i="2"/>
  <c r="C480" i="10" s="1"/>
  <c r="S931" i="2"/>
  <c r="T931" i="2"/>
  <c r="C933" i="10" s="1"/>
  <c r="S936" i="2"/>
  <c r="T936" i="2"/>
  <c r="C938" i="10" s="1"/>
  <c r="S912" i="2"/>
  <c r="T912" i="2"/>
  <c r="C914" i="10" s="1"/>
  <c r="S900" i="2"/>
  <c r="T900" i="2"/>
  <c r="C902" i="10" s="1"/>
  <c r="S888" i="2"/>
  <c r="T888" i="2"/>
  <c r="C890" i="10" s="1"/>
  <c r="S876" i="2"/>
  <c r="T876" i="2"/>
  <c r="C878" i="10" s="1"/>
  <c r="S864" i="2"/>
  <c r="T864" i="2"/>
  <c r="C866" i="10" s="1"/>
  <c r="S852" i="2"/>
  <c r="T852" i="2"/>
  <c r="C854" i="10" s="1"/>
  <c r="S840" i="2"/>
  <c r="T840" i="2"/>
  <c r="C842" i="10" s="1"/>
  <c r="S828" i="2"/>
  <c r="T828" i="2"/>
  <c r="C830" i="10" s="1"/>
  <c r="S816" i="2"/>
  <c r="T816" i="2"/>
  <c r="C818" i="10" s="1"/>
  <c r="S804" i="2"/>
  <c r="T804" i="2"/>
  <c r="C806" i="10" s="1"/>
  <c r="S792" i="2"/>
  <c r="T792" i="2"/>
  <c r="C794" i="10" s="1"/>
  <c r="S780" i="2"/>
  <c r="T780" i="2"/>
  <c r="C782" i="10" s="1"/>
  <c r="S768" i="2"/>
  <c r="T768" i="2"/>
  <c r="C770" i="10" s="1"/>
  <c r="S756" i="2"/>
  <c r="T756" i="2"/>
  <c r="C758" i="10" s="1"/>
  <c r="S744" i="2"/>
  <c r="T744" i="2"/>
  <c r="C746" i="10" s="1"/>
  <c r="S732" i="2"/>
  <c r="T732" i="2"/>
  <c r="C734" i="10" s="1"/>
  <c r="S720" i="2"/>
  <c r="T720" i="2"/>
  <c r="C722" i="10" s="1"/>
  <c r="S708" i="2"/>
  <c r="T708" i="2"/>
  <c r="C710" i="10" s="1"/>
  <c r="S696" i="2"/>
  <c r="T696" i="2"/>
  <c r="C698" i="10" s="1"/>
  <c r="S684" i="2"/>
  <c r="T684" i="2"/>
  <c r="C686" i="10" s="1"/>
  <c r="S672" i="2"/>
  <c r="T672" i="2"/>
  <c r="C674" i="10" s="1"/>
  <c r="S660" i="2"/>
  <c r="T660" i="2"/>
  <c r="C662" i="10" s="1"/>
  <c r="S648" i="2"/>
  <c r="T648" i="2"/>
  <c r="C650" i="10" s="1"/>
  <c r="S636" i="2"/>
  <c r="T636" i="2"/>
  <c r="C638" i="10" s="1"/>
  <c r="S624" i="2"/>
  <c r="T624" i="2"/>
  <c r="C626" i="10" s="1"/>
  <c r="S612" i="2"/>
  <c r="T612" i="2"/>
  <c r="C614" i="10" s="1"/>
  <c r="S600" i="2"/>
  <c r="T600" i="2"/>
  <c r="C602" i="10" s="1"/>
  <c r="S588" i="2"/>
  <c r="T588" i="2"/>
  <c r="C590" i="10" s="1"/>
  <c r="S576" i="2"/>
  <c r="T576" i="2"/>
  <c r="C578" i="10" s="1"/>
  <c r="S564" i="2"/>
  <c r="T564" i="2"/>
  <c r="S552" i="2"/>
  <c r="T552" i="2"/>
  <c r="C554" i="10" s="1"/>
  <c r="S540" i="2"/>
  <c r="T540" i="2"/>
  <c r="C542" i="10" s="1"/>
  <c r="S528" i="2"/>
  <c r="T528" i="2"/>
  <c r="C530" i="10" s="1"/>
  <c r="S516" i="2"/>
  <c r="T516" i="2"/>
  <c r="C518" i="10" s="1"/>
  <c r="S504" i="2"/>
  <c r="T504" i="2"/>
  <c r="C506" i="10" s="1"/>
  <c r="S492" i="2"/>
  <c r="T492" i="2"/>
  <c r="C494" i="10" s="1"/>
  <c r="S480" i="2"/>
  <c r="T480" i="2"/>
  <c r="C482" i="10" s="1"/>
  <c r="S468" i="2"/>
  <c r="T468" i="2"/>
  <c r="C470" i="10" s="1"/>
  <c r="S456" i="2"/>
  <c r="T456" i="2"/>
  <c r="C458" i="10" s="1"/>
  <c r="S444" i="2"/>
  <c r="T444" i="2"/>
  <c r="C446" i="10" s="1"/>
  <c r="S432" i="2"/>
  <c r="T432" i="2"/>
  <c r="C434" i="10" s="1"/>
  <c r="S420" i="2"/>
  <c r="T420" i="2"/>
  <c r="C422" i="10" s="1"/>
  <c r="S408" i="2"/>
  <c r="T408" i="2"/>
  <c r="C410" i="10" s="1"/>
  <c r="S396" i="2"/>
  <c r="T396" i="2"/>
  <c r="C398" i="10" s="1"/>
  <c r="S384" i="2"/>
  <c r="T384" i="2"/>
  <c r="C386" i="10" s="1"/>
  <c r="S372" i="2"/>
  <c r="T372" i="2"/>
  <c r="C374" i="10" s="1"/>
  <c r="S360" i="2"/>
  <c r="T360" i="2"/>
  <c r="C362" i="10" s="1"/>
  <c r="S348" i="2"/>
  <c r="T348" i="2"/>
  <c r="C350" i="10" s="1"/>
  <c r="S336" i="2"/>
  <c r="T336" i="2"/>
  <c r="C338" i="10" s="1"/>
  <c r="S324" i="2"/>
  <c r="T324" i="2"/>
  <c r="C326" i="10" s="1"/>
  <c r="S312" i="2"/>
  <c r="T312" i="2"/>
  <c r="C314" i="10" s="1"/>
  <c r="S300" i="2"/>
  <c r="T300" i="2"/>
  <c r="C302" i="10" s="1"/>
  <c r="S288" i="2"/>
  <c r="T288" i="2"/>
  <c r="C290" i="10" s="1"/>
  <c r="S276" i="2"/>
  <c r="T276" i="2"/>
  <c r="C278" i="10" s="1"/>
  <c r="S264" i="2"/>
  <c r="T264" i="2"/>
  <c r="C266" i="10" s="1"/>
  <c r="S252" i="2"/>
  <c r="T252" i="2"/>
  <c r="C254" i="10" s="1"/>
  <c r="S240" i="2"/>
  <c r="T240" i="2"/>
  <c r="C242" i="10" s="1"/>
  <c r="S228" i="2"/>
  <c r="T228" i="2"/>
  <c r="C230" i="10" s="1"/>
  <c r="S216" i="2"/>
  <c r="T216" i="2"/>
  <c r="C218" i="10" s="1"/>
  <c r="S204" i="2"/>
  <c r="T204" i="2"/>
  <c r="S192" i="2"/>
  <c r="T192" i="2"/>
  <c r="C194" i="10" s="1"/>
  <c r="S180" i="2"/>
  <c r="T180" i="2"/>
  <c r="C182" i="10" s="1"/>
  <c r="S168" i="2"/>
  <c r="T168" i="2"/>
  <c r="C170" i="10" s="1"/>
  <c r="S156" i="2"/>
  <c r="T156" i="2"/>
  <c r="C158" i="10" s="1"/>
  <c r="S144" i="2"/>
  <c r="T144" i="2"/>
  <c r="C146" i="10" s="1"/>
  <c r="S132" i="2"/>
  <c r="T132" i="2"/>
  <c r="C134" i="10" s="1"/>
  <c r="S120" i="2"/>
  <c r="T120" i="2"/>
  <c r="C122" i="10" s="1"/>
  <c r="S108" i="2"/>
  <c r="T108" i="2"/>
  <c r="C110" i="10" s="1"/>
  <c r="S96" i="2"/>
  <c r="T96" i="2"/>
  <c r="C98" i="10" s="1"/>
  <c r="S84" i="2"/>
  <c r="T84" i="2"/>
  <c r="C86" i="10" s="1"/>
  <c r="S72" i="2"/>
  <c r="T72" i="2"/>
  <c r="C74" i="10" s="1"/>
  <c r="S60" i="2"/>
  <c r="T60" i="2"/>
  <c r="C62" i="10" s="1"/>
  <c r="S48" i="2"/>
  <c r="T48" i="2"/>
  <c r="C50" i="10" s="1"/>
  <c r="S36" i="2"/>
  <c r="T36" i="2"/>
  <c r="C38" i="10" s="1"/>
  <c r="S886" i="2"/>
  <c r="T886" i="2"/>
  <c r="C888" i="10" s="1"/>
  <c r="S670" i="2"/>
  <c r="T670" i="2"/>
  <c r="C672" i="10" s="1"/>
  <c r="S610" i="2"/>
  <c r="T610" i="2"/>
  <c r="C612" i="10" s="1"/>
  <c r="S562" i="2"/>
  <c r="T562" i="2"/>
  <c r="C564" i="10" s="1"/>
  <c r="S526" i="2"/>
  <c r="T526" i="2"/>
  <c r="C528" i="10" s="1"/>
  <c r="S915" i="2"/>
  <c r="T915" i="2"/>
  <c r="C917" i="10" s="1"/>
  <c r="S924" i="2"/>
  <c r="T924" i="2"/>
  <c r="C926" i="10" s="1"/>
  <c r="S941" i="2"/>
  <c r="T941" i="2"/>
  <c r="C943" i="10" s="1"/>
  <c r="S929" i="2"/>
  <c r="T929" i="2"/>
  <c r="C931" i="10" s="1"/>
  <c r="S917" i="2"/>
  <c r="T917" i="2"/>
  <c r="C919" i="10" s="1"/>
  <c r="S905" i="2"/>
  <c r="T905" i="2"/>
  <c r="C907" i="10" s="1"/>
  <c r="S893" i="2"/>
  <c r="T893" i="2"/>
  <c r="C895" i="10" s="1"/>
  <c r="S881" i="2"/>
  <c r="T881" i="2"/>
  <c r="C883" i="10" s="1"/>
  <c r="S869" i="2"/>
  <c r="T869" i="2"/>
  <c r="C871" i="10" s="1"/>
  <c r="S857" i="2"/>
  <c r="T857" i="2"/>
  <c r="C859" i="10" s="1"/>
  <c r="S845" i="2"/>
  <c r="T845" i="2"/>
  <c r="C847" i="10" s="1"/>
  <c r="S833" i="2"/>
  <c r="T833" i="2"/>
  <c r="C835" i="10" s="1"/>
  <c r="S821" i="2"/>
  <c r="T821" i="2"/>
  <c r="C823" i="10" s="1"/>
  <c r="S809" i="2"/>
  <c r="T809" i="2"/>
  <c r="C811" i="10" s="1"/>
  <c r="S797" i="2"/>
  <c r="T797" i="2"/>
  <c r="C799" i="10" s="1"/>
  <c r="S785" i="2"/>
  <c r="T785" i="2"/>
  <c r="C787" i="10" s="1"/>
  <c r="S773" i="2"/>
  <c r="T773" i="2"/>
  <c r="C775" i="10" s="1"/>
  <c r="S761" i="2"/>
  <c r="T761" i="2"/>
  <c r="C763" i="10" s="1"/>
  <c r="S749" i="2"/>
  <c r="T749" i="2"/>
  <c r="C751" i="10" s="1"/>
  <c r="S737" i="2"/>
  <c r="T737" i="2"/>
  <c r="C739" i="10" s="1"/>
  <c r="S725" i="2"/>
  <c r="T725" i="2"/>
  <c r="C727" i="10" s="1"/>
  <c r="S713" i="2"/>
  <c r="T713" i="2"/>
  <c r="C715" i="10" s="1"/>
  <c r="S701" i="2"/>
  <c r="T701" i="2"/>
  <c r="C703" i="10" s="1"/>
  <c r="S689" i="2"/>
  <c r="T689" i="2"/>
  <c r="C691" i="10" s="1"/>
  <c r="S677" i="2"/>
  <c r="T677" i="2"/>
  <c r="C679" i="10" s="1"/>
  <c r="S665" i="2"/>
  <c r="T665" i="2"/>
  <c r="C667" i="10" s="1"/>
  <c r="S653" i="2"/>
  <c r="T653" i="2"/>
  <c r="C655" i="10" s="1"/>
  <c r="S641" i="2"/>
  <c r="T641" i="2"/>
  <c r="C643" i="10" s="1"/>
  <c r="S629" i="2"/>
  <c r="T629" i="2"/>
  <c r="C631" i="10" s="1"/>
  <c r="S617" i="2"/>
  <c r="T617" i="2"/>
  <c r="C619" i="10" s="1"/>
  <c r="S605" i="2"/>
  <c r="T605" i="2"/>
  <c r="C607" i="10" s="1"/>
  <c r="S593" i="2"/>
  <c r="T593" i="2"/>
  <c r="C595" i="10" s="1"/>
  <c r="S581" i="2"/>
  <c r="T581" i="2"/>
  <c r="C583" i="10" s="1"/>
  <c r="S569" i="2"/>
  <c r="T569" i="2"/>
  <c r="C571" i="10" s="1"/>
  <c r="S557" i="2"/>
  <c r="T557" i="2"/>
  <c r="C559" i="10" s="1"/>
  <c r="S545" i="2"/>
  <c r="T545" i="2"/>
  <c r="C547" i="10" s="1"/>
  <c r="S533" i="2"/>
  <c r="T533" i="2"/>
  <c r="C535" i="10" s="1"/>
  <c r="S521" i="2"/>
  <c r="T521" i="2"/>
  <c r="C523" i="10" s="1"/>
  <c r="S509" i="2"/>
  <c r="T509" i="2"/>
  <c r="C511" i="10" s="1"/>
  <c r="S497" i="2"/>
  <c r="T497" i="2"/>
  <c r="C499" i="10" s="1"/>
  <c r="S485" i="2"/>
  <c r="T485" i="2"/>
  <c r="C487" i="10" s="1"/>
  <c r="S473" i="2"/>
  <c r="T473" i="2"/>
  <c r="C475" i="10" s="1"/>
  <c r="S461" i="2"/>
  <c r="T461" i="2"/>
  <c r="C463" i="10" s="1"/>
  <c r="S449" i="2"/>
  <c r="T449" i="2"/>
  <c r="C451" i="10" s="1"/>
  <c r="S437" i="2"/>
  <c r="T437" i="2"/>
  <c r="C439" i="10" s="1"/>
  <c r="S425" i="2"/>
  <c r="T425" i="2"/>
  <c r="C427" i="10" s="1"/>
  <c r="S413" i="2"/>
  <c r="T413" i="2"/>
  <c r="C415" i="10" s="1"/>
  <c r="S401" i="2"/>
  <c r="T401" i="2"/>
  <c r="C403" i="10" s="1"/>
  <c r="S389" i="2"/>
  <c r="T389" i="2"/>
  <c r="C391" i="10" s="1"/>
  <c r="S377" i="2"/>
  <c r="T377" i="2"/>
  <c r="C379" i="10" s="1"/>
  <c r="S365" i="2"/>
  <c r="T365" i="2"/>
  <c r="C367" i="10" s="1"/>
  <c r="S353" i="2"/>
  <c r="T353" i="2"/>
  <c r="C355" i="10" s="1"/>
  <c r="S341" i="2"/>
  <c r="T341" i="2"/>
  <c r="C343" i="10" s="1"/>
  <c r="S329" i="2"/>
  <c r="T329" i="2"/>
  <c r="C331" i="10" s="1"/>
  <c r="S317" i="2"/>
  <c r="T317" i="2"/>
  <c r="C319" i="10" s="1"/>
  <c r="S305" i="2"/>
  <c r="T305" i="2"/>
  <c r="C307" i="10" s="1"/>
  <c r="S293" i="2"/>
  <c r="T293" i="2"/>
  <c r="C295" i="10" s="1"/>
  <c r="S281" i="2"/>
  <c r="T281" i="2"/>
  <c r="C283" i="10" s="1"/>
  <c r="S269" i="2"/>
  <c r="T269" i="2"/>
  <c r="C271" i="10" s="1"/>
  <c r="S257" i="2"/>
  <c r="T257" i="2"/>
  <c r="C259" i="10" s="1"/>
  <c r="S245" i="2"/>
  <c r="T245" i="2"/>
  <c r="C247" i="10" s="1"/>
  <c r="S233" i="2"/>
  <c r="T233" i="2"/>
  <c r="C235" i="10" s="1"/>
  <c r="S221" i="2"/>
  <c r="T221" i="2"/>
  <c r="C223" i="10" s="1"/>
  <c r="S209" i="2"/>
  <c r="T209" i="2"/>
  <c r="C211" i="10" s="1"/>
  <c r="S197" i="2"/>
  <c r="T197" i="2"/>
  <c r="C199" i="10" s="1"/>
  <c r="S185" i="2"/>
  <c r="T185" i="2"/>
  <c r="C187" i="10" s="1"/>
  <c r="S173" i="2"/>
  <c r="T173" i="2"/>
  <c r="C175" i="10" s="1"/>
  <c r="S161" i="2"/>
  <c r="T161" i="2"/>
  <c r="C163" i="10" s="1"/>
  <c r="S149" i="2"/>
  <c r="T149" i="2"/>
  <c r="C151" i="10" s="1"/>
  <c r="S137" i="2"/>
  <c r="T137" i="2"/>
  <c r="C139" i="10" s="1"/>
  <c r="S125" i="2"/>
  <c r="T125" i="2"/>
  <c r="C127" i="10" s="1"/>
  <c r="S113" i="2"/>
  <c r="T113" i="2"/>
  <c r="C115" i="10" s="1"/>
  <c r="S101" i="2"/>
  <c r="T101" i="2"/>
  <c r="C103" i="10" s="1"/>
  <c r="S89" i="2"/>
  <c r="T89" i="2"/>
  <c r="C91" i="10" s="1"/>
  <c r="S77" i="2"/>
  <c r="T77" i="2"/>
  <c r="C79" i="10" s="1"/>
  <c r="S65" i="2"/>
  <c r="T65" i="2"/>
  <c r="C67" i="10" s="1"/>
  <c r="S53" i="2"/>
  <c r="T53" i="2"/>
  <c r="C55" i="10" s="1"/>
  <c r="S41" i="2"/>
  <c r="T41" i="2"/>
  <c r="C43" i="10" s="1"/>
  <c r="S29" i="2"/>
  <c r="T29" i="2"/>
  <c r="C31" i="10" s="1"/>
  <c r="S17" i="2"/>
  <c r="T17" i="2"/>
  <c r="C19" i="10" s="1"/>
  <c r="T928" i="2"/>
  <c r="C930" i="10" s="1"/>
  <c r="T904" i="2"/>
  <c r="C906" i="10" s="1"/>
  <c r="S25" i="2"/>
  <c r="T25" i="2"/>
  <c r="C27" i="10" s="1"/>
  <c r="S28" i="2"/>
  <c r="T28" i="2"/>
  <c r="C30" i="10" s="1"/>
  <c r="S16" i="2"/>
  <c r="T16" i="2"/>
  <c r="C18" i="10" s="1"/>
  <c r="T24" i="2"/>
  <c r="C26" i="10" s="1"/>
  <c r="C925" i="10"/>
  <c r="C853" i="10"/>
  <c r="C841" i="10"/>
  <c r="C805" i="10"/>
  <c r="C781" i="10"/>
  <c r="C769" i="10"/>
  <c r="C733" i="10"/>
  <c r="C709" i="10"/>
  <c r="C697" i="10"/>
  <c r="C637" i="10"/>
  <c r="C625" i="10"/>
  <c r="C589" i="10"/>
  <c r="C565" i="10"/>
  <c r="C553" i="10"/>
  <c r="C517" i="10"/>
  <c r="C493" i="10"/>
  <c r="C481" i="10"/>
  <c r="C445" i="10"/>
  <c r="C421" i="10"/>
  <c r="C349" i="10"/>
  <c r="C337" i="10"/>
  <c r="C301" i="10"/>
  <c r="C277" i="10"/>
  <c r="C265" i="10"/>
  <c r="C229" i="10"/>
  <c r="C205" i="10"/>
  <c r="C193" i="10"/>
  <c r="C157" i="10"/>
  <c r="C133" i="10"/>
  <c r="C85" i="10"/>
  <c r="C61" i="10"/>
  <c r="C49" i="10"/>
  <c r="C900" i="10"/>
  <c r="C894" i="10"/>
  <c r="C864" i="10"/>
  <c r="C858" i="10"/>
  <c r="C852" i="10"/>
  <c r="C828" i="10"/>
  <c r="C822" i="10"/>
  <c r="C816" i="10"/>
  <c r="C804" i="10"/>
  <c r="C768" i="10"/>
  <c r="C750" i="10"/>
  <c r="C714" i="10"/>
  <c r="C696" i="10"/>
  <c r="C684" i="10"/>
  <c r="C678" i="10"/>
  <c r="C642" i="10"/>
  <c r="C636" i="10"/>
  <c r="C624" i="10"/>
  <c r="C606" i="10"/>
  <c r="C570" i="10"/>
  <c r="C534" i="10"/>
  <c r="C516" i="10"/>
  <c r="C498" i="10"/>
  <c r="C462" i="10"/>
  <c r="C444" i="10"/>
  <c r="C432" i="10"/>
  <c r="C426" i="10"/>
  <c r="C420" i="10"/>
  <c r="C408" i="10"/>
  <c r="C396" i="10"/>
  <c r="C390" i="10"/>
  <c r="C360" i="10"/>
  <c r="C354" i="10"/>
  <c r="C348" i="10"/>
  <c r="C342" i="10"/>
  <c r="C318" i="10"/>
  <c r="C312" i="10"/>
  <c r="C282" i="10"/>
  <c r="C276" i="10"/>
  <c r="C264" i="10"/>
  <c r="C246" i="10"/>
  <c r="C240" i="10"/>
  <c r="C210" i="10"/>
  <c r="C204" i="10"/>
  <c r="C192" i="10"/>
  <c r="C174" i="10"/>
  <c r="C168" i="10"/>
  <c r="C138" i="10"/>
  <c r="C132" i="10"/>
  <c r="C120" i="10"/>
  <c r="C102" i="10"/>
  <c r="C96" i="10"/>
  <c r="C66" i="10"/>
  <c r="C60" i="10"/>
  <c r="C48" i="10"/>
  <c r="C24" i="10"/>
  <c r="C893" i="10"/>
  <c r="C881" i="10"/>
  <c r="C833" i="10"/>
  <c r="C821" i="10"/>
  <c r="C803" i="10"/>
  <c r="C785" i="10"/>
  <c r="C773" i="10"/>
  <c r="C767" i="10"/>
  <c r="C737" i="10"/>
  <c r="C731" i="10"/>
  <c r="C701" i="10"/>
  <c r="C665" i="10"/>
  <c r="C659" i="10"/>
  <c r="C653" i="10"/>
  <c r="C629" i="10"/>
  <c r="C593" i="10"/>
  <c r="C587" i="10"/>
  <c r="C581" i="10"/>
  <c r="C557" i="10"/>
  <c r="C551" i="10"/>
  <c r="C509" i="10"/>
  <c r="C497" i="10"/>
  <c r="C473" i="10"/>
  <c r="C467" i="10"/>
  <c r="C449" i="10"/>
  <c r="C437" i="10"/>
  <c r="C425" i="10"/>
  <c r="C401" i="10"/>
  <c r="C395" i="10"/>
  <c r="C377" i="10"/>
  <c r="C365" i="10"/>
  <c r="C329" i="10"/>
  <c r="C305" i="10"/>
  <c r="C293" i="10"/>
  <c r="C257" i="10"/>
  <c r="C251" i="10"/>
  <c r="C233" i="10"/>
  <c r="C221" i="10"/>
  <c r="C209" i="10"/>
  <c r="C185" i="10"/>
  <c r="C179" i="10"/>
  <c r="C161" i="10"/>
  <c r="C149" i="10"/>
  <c r="C137" i="10"/>
  <c r="C113" i="10"/>
  <c r="C89" i="10"/>
  <c r="C77" i="10"/>
  <c r="C41" i="10"/>
  <c r="C922" i="10"/>
  <c r="C916" i="10"/>
  <c r="C874" i="10"/>
  <c r="C868" i="10"/>
  <c r="C862" i="10"/>
  <c r="C838" i="10"/>
  <c r="C832" i="10"/>
  <c r="C820" i="10"/>
  <c r="C802" i="10"/>
  <c r="C796" i="10"/>
  <c r="C784" i="10"/>
  <c r="C766" i="10"/>
  <c r="C760" i="10"/>
  <c r="C748" i="10"/>
  <c r="C730" i="10"/>
  <c r="C718" i="10"/>
  <c r="C694" i="10"/>
  <c r="C682" i="10"/>
  <c r="C658" i="10"/>
  <c r="C622" i="10"/>
  <c r="C616" i="10"/>
  <c r="C586" i="10"/>
  <c r="C580" i="10"/>
  <c r="C550" i="10"/>
  <c r="C538" i="10"/>
  <c r="C514" i="10"/>
  <c r="C508" i="10"/>
  <c r="C478" i="10"/>
  <c r="C454" i="10"/>
  <c r="C442" i="10"/>
  <c r="C430" i="10"/>
  <c r="C406" i="10"/>
  <c r="C382" i="10"/>
  <c r="C370" i="10"/>
  <c r="C358" i="10"/>
  <c r="C334" i="10"/>
  <c r="C310" i="10"/>
  <c r="C298" i="10"/>
  <c r="C292" i="10"/>
  <c r="C262" i="10"/>
  <c r="C238" i="10"/>
  <c r="C226" i="10"/>
  <c r="C220" i="10"/>
  <c r="C190" i="10"/>
  <c r="C166" i="10"/>
  <c r="C154" i="10"/>
  <c r="C148" i="10"/>
  <c r="C118" i="10"/>
  <c r="C94" i="10"/>
  <c r="C82" i="10"/>
  <c r="C76" i="10"/>
  <c r="C70" i="10"/>
  <c r="C46" i="10"/>
  <c r="C22" i="10"/>
  <c r="C939" i="10"/>
  <c r="C903" i="10"/>
  <c r="C891" i="10"/>
  <c r="C879" i="10"/>
  <c r="C855" i="10"/>
  <c r="C831" i="10"/>
  <c r="C819" i="10"/>
  <c r="C807" i="10"/>
  <c r="C783" i="10"/>
  <c r="C759" i="10"/>
  <c r="C747" i="10"/>
  <c r="C711" i="10"/>
  <c r="C687" i="10"/>
  <c r="C675" i="10"/>
  <c r="C663" i="10"/>
  <c r="C639" i="10"/>
  <c r="C615" i="10"/>
  <c r="C603" i="10"/>
  <c r="C591" i="10"/>
  <c r="C567" i="10"/>
  <c r="C543" i="10"/>
  <c r="C531" i="10"/>
  <c r="C495" i="10"/>
  <c r="C471" i="10"/>
  <c r="C459" i="10"/>
  <c r="C447" i="10"/>
  <c r="C423" i="10"/>
  <c r="C399" i="10"/>
  <c r="C387" i="10"/>
  <c r="C375" i="10"/>
  <c r="C351" i="10"/>
  <c r="C327" i="10"/>
  <c r="C315" i="10"/>
  <c r="C279" i="10"/>
  <c r="C255" i="10"/>
  <c r="C249" i="10"/>
  <c r="C243" i="10"/>
  <c r="C231" i="10"/>
  <c r="C207" i="10"/>
  <c r="C183" i="10"/>
  <c r="C177" i="10"/>
  <c r="C171" i="10"/>
  <c r="C135" i="10"/>
  <c r="C111" i="10"/>
  <c r="C99" i="10"/>
  <c r="C63" i="10"/>
  <c r="C39" i="10"/>
  <c r="C932" i="10"/>
  <c r="C920" i="10"/>
  <c r="C884" i="10"/>
  <c r="C860" i="10"/>
  <c r="C848" i="10"/>
  <c r="C812" i="10"/>
  <c r="C788" i="10"/>
  <c r="C776" i="10"/>
  <c r="C740" i="10"/>
  <c r="C716" i="10"/>
  <c r="C704" i="10"/>
  <c r="C668" i="10"/>
  <c r="C644" i="10"/>
  <c r="C632" i="10"/>
  <c r="C596" i="10"/>
  <c r="C572" i="10"/>
  <c r="C566" i="10"/>
  <c r="C560" i="10"/>
  <c r="C524" i="10"/>
  <c r="C500" i="10"/>
  <c r="C488" i="10"/>
  <c r="C476" i="10"/>
  <c r="C428" i="10"/>
  <c r="C416" i="10"/>
  <c r="C392" i="10"/>
  <c r="C368" i="10"/>
  <c r="C320" i="10"/>
  <c r="C284" i="10"/>
  <c r="C272" i="10"/>
  <c r="C260" i="10"/>
  <c r="C236" i="10"/>
  <c r="C212" i="10"/>
  <c r="C206" i="10"/>
  <c r="C200" i="10"/>
  <c r="C176" i="10"/>
  <c r="C152" i="10"/>
  <c r="C104" i="10"/>
  <c r="C68" i="10"/>
  <c r="C56" i="10"/>
  <c r="C44" i="10"/>
  <c r="C20" i="10"/>
  <c r="AF739" i="2"/>
  <c r="AJ739" i="2"/>
  <c r="AF703" i="2"/>
  <c r="AJ703" i="2"/>
  <c r="AF643" i="2"/>
  <c r="AJ643" i="2"/>
  <c r="AF535" i="2"/>
  <c r="AJ535" i="2"/>
  <c r="AF475" i="2"/>
  <c r="AJ475" i="2"/>
  <c r="AF115" i="2"/>
  <c r="AJ115" i="2"/>
  <c r="AF79" i="2"/>
  <c r="AJ79" i="2"/>
  <c r="AF55" i="2"/>
  <c r="AJ55" i="2"/>
  <c r="AF31" i="2"/>
  <c r="AJ31" i="2"/>
  <c r="AF19" i="2"/>
  <c r="AJ19" i="2"/>
  <c r="AF936" i="2"/>
  <c r="AJ936" i="2"/>
  <c r="AF792" i="2"/>
  <c r="AJ792" i="2"/>
  <c r="AF744" i="2"/>
  <c r="AJ744" i="2"/>
  <c r="AF708" i="2"/>
  <c r="AJ708" i="2"/>
  <c r="AF696" i="2"/>
  <c r="AJ696" i="2"/>
  <c r="AF672" i="2"/>
  <c r="AJ672" i="2"/>
  <c r="AF612" i="2"/>
  <c r="AJ612" i="2"/>
  <c r="AF600" i="2"/>
  <c r="AJ600" i="2"/>
  <c r="AF588" i="2"/>
  <c r="AJ588" i="2"/>
  <c r="AF564" i="2"/>
  <c r="AJ564" i="2"/>
  <c r="AF540" i="2"/>
  <c r="AJ540" i="2"/>
  <c r="AF444" i="2"/>
  <c r="AJ444" i="2"/>
  <c r="AF408" i="2"/>
  <c r="AJ408" i="2"/>
  <c r="AF384" i="2"/>
  <c r="AJ384" i="2"/>
  <c r="AF324" i="2"/>
  <c r="AJ324" i="2"/>
  <c r="AF288" i="2"/>
  <c r="AJ288" i="2"/>
  <c r="AF276" i="2"/>
  <c r="AJ276" i="2"/>
  <c r="AF216" i="2"/>
  <c r="AJ216" i="2"/>
  <c r="AF204" i="2"/>
  <c r="AJ204" i="2"/>
  <c r="AF192" i="2"/>
  <c r="AJ192" i="2"/>
  <c r="AF144" i="2"/>
  <c r="AJ144" i="2"/>
  <c r="AF132" i="2"/>
  <c r="AJ132" i="2"/>
  <c r="AF120" i="2"/>
  <c r="AJ120" i="2"/>
  <c r="AF108" i="2"/>
  <c r="AJ108" i="2"/>
  <c r="AF84" i="2"/>
  <c r="AJ84" i="2"/>
  <c r="AF72" i="2"/>
  <c r="AJ72" i="2"/>
  <c r="AF60" i="2"/>
  <c r="AJ60" i="2"/>
  <c r="AF48" i="2"/>
  <c r="AJ48" i="2"/>
  <c r="AF36" i="2"/>
  <c r="AJ36" i="2"/>
  <c r="AF823" i="2"/>
  <c r="AJ823" i="2"/>
  <c r="AF811" i="2"/>
  <c r="AJ811" i="2"/>
  <c r="AF691" i="2"/>
  <c r="AJ691" i="2"/>
  <c r="AF631" i="2"/>
  <c r="AJ631" i="2"/>
  <c r="AF523" i="2"/>
  <c r="AJ523" i="2"/>
  <c r="AF415" i="2"/>
  <c r="AJ415" i="2"/>
  <c r="AF355" i="2"/>
  <c r="AJ355" i="2"/>
  <c r="AF103" i="2"/>
  <c r="AJ103" i="2"/>
  <c r="AF43" i="2"/>
  <c r="AJ43" i="2"/>
  <c r="AF912" i="2"/>
  <c r="AJ912" i="2"/>
  <c r="AF917" i="2"/>
  <c r="AJ917" i="2"/>
  <c r="AF905" i="2"/>
  <c r="AJ905" i="2"/>
  <c r="AF893" i="2"/>
  <c r="AJ893" i="2"/>
  <c r="AF881" i="2"/>
  <c r="AJ881" i="2"/>
  <c r="AF845" i="2"/>
  <c r="AJ845" i="2"/>
  <c r="AF821" i="2"/>
  <c r="AJ821" i="2"/>
  <c r="AF809" i="2"/>
  <c r="AJ809" i="2"/>
  <c r="AF797" i="2"/>
  <c r="AJ797" i="2"/>
  <c r="AF785" i="2"/>
  <c r="AJ785" i="2"/>
  <c r="AF773" i="2"/>
  <c r="AJ773" i="2"/>
  <c r="AF761" i="2"/>
  <c r="AJ761" i="2"/>
  <c r="AF749" i="2"/>
  <c r="AJ749" i="2"/>
  <c r="AF593" i="2"/>
  <c r="AJ593" i="2"/>
  <c r="AF461" i="2"/>
  <c r="AJ461" i="2"/>
  <c r="AF449" i="2"/>
  <c r="AJ449" i="2"/>
  <c r="AF401" i="2"/>
  <c r="AJ401" i="2"/>
  <c r="AF329" i="2"/>
  <c r="AJ329" i="2"/>
  <c r="AF317" i="2"/>
  <c r="AJ317" i="2"/>
  <c r="AF305" i="2"/>
  <c r="AJ305" i="2"/>
  <c r="AF293" i="2"/>
  <c r="AJ293" i="2"/>
  <c r="AF281" i="2"/>
  <c r="AJ281" i="2"/>
  <c r="AF245" i="2"/>
  <c r="AJ245" i="2"/>
  <c r="AF233" i="2"/>
  <c r="AJ233" i="2"/>
  <c r="AF209" i="2"/>
  <c r="AJ209" i="2"/>
  <c r="AF197" i="2"/>
  <c r="AJ197" i="2"/>
  <c r="AF161" i="2"/>
  <c r="AJ161" i="2"/>
  <c r="AF137" i="2"/>
  <c r="AJ137" i="2"/>
  <c r="AF125" i="2"/>
  <c r="AJ125" i="2"/>
  <c r="AF113" i="2"/>
  <c r="AJ113" i="2"/>
  <c r="AF89" i="2"/>
  <c r="AJ89" i="2"/>
  <c r="AF41" i="2"/>
  <c r="AJ41" i="2"/>
  <c r="AF29" i="2"/>
  <c r="AJ29" i="2"/>
  <c r="AF17" i="2"/>
  <c r="AJ17" i="2"/>
  <c r="AF5" i="2"/>
  <c r="AJ5" i="2"/>
  <c r="AF430" i="2"/>
  <c r="AJ430" i="2"/>
  <c r="AF418" i="2"/>
  <c r="AJ418" i="2"/>
  <c r="AF406" i="2"/>
  <c r="AJ406" i="2"/>
  <c r="AF394" i="2"/>
  <c r="AJ394" i="2"/>
  <c r="AF370" i="2"/>
  <c r="AJ370" i="2"/>
  <c r="AF358" i="2"/>
  <c r="AJ358" i="2"/>
  <c r="AF334" i="2"/>
  <c r="AJ334" i="2"/>
  <c r="AF286" i="2"/>
  <c r="AJ286" i="2"/>
  <c r="AF274" i="2"/>
  <c r="AJ274" i="2"/>
  <c r="AF262" i="2"/>
  <c r="AJ262" i="2"/>
  <c r="AF250" i="2"/>
  <c r="AJ250" i="2"/>
  <c r="AF178" i="2"/>
  <c r="AJ178" i="2"/>
  <c r="AF166" i="2"/>
  <c r="AJ166" i="2"/>
  <c r="AF118" i="2"/>
  <c r="AJ118" i="2"/>
  <c r="AF106" i="2"/>
  <c r="AJ106" i="2"/>
  <c r="AF94" i="2"/>
  <c r="AJ94" i="2"/>
  <c r="AF70" i="2"/>
  <c r="AJ70" i="2"/>
  <c r="AF58" i="2"/>
  <c r="AJ58" i="2"/>
  <c r="AF46" i="2"/>
  <c r="AJ46" i="2"/>
  <c r="AF835" i="2"/>
  <c r="AJ835" i="2"/>
  <c r="AF391" i="2"/>
  <c r="AJ391" i="2"/>
  <c r="AF718" i="2"/>
  <c r="AJ718" i="2"/>
  <c r="AF939" i="2"/>
  <c r="AJ939" i="2"/>
  <c r="AF831" i="2"/>
  <c r="AJ831" i="2"/>
  <c r="AF819" i="2"/>
  <c r="AJ819" i="2"/>
  <c r="AF807" i="2"/>
  <c r="AJ807" i="2"/>
  <c r="AF795" i="2"/>
  <c r="AJ795" i="2"/>
  <c r="AF639" i="2"/>
  <c r="AJ639" i="2"/>
  <c r="AF627" i="2"/>
  <c r="AJ627" i="2"/>
  <c r="AF615" i="2"/>
  <c r="AJ615" i="2"/>
  <c r="AF603" i="2"/>
  <c r="AJ603" i="2"/>
  <c r="AF591" i="2"/>
  <c r="AJ591" i="2"/>
  <c r="AF579" i="2"/>
  <c r="AJ579" i="2"/>
  <c r="AF567" i="2"/>
  <c r="AJ567" i="2"/>
  <c r="AF555" i="2"/>
  <c r="AJ555" i="2"/>
  <c r="AF543" i="2"/>
  <c r="AJ543" i="2"/>
  <c r="AF531" i="2"/>
  <c r="AJ531" i="2"/>
  <c r="AF495" i="2"/>
  <c r="AJ495" i="2"/>
  <c r="AF471" i="2"/>
  <c r="AJ471" i="2"/>
  <c r="AF351" i="2"/>
  <c r="AJ351" i="2"/>
  <c r="AF291" i="2"/>
  <c r="AJ291" i="2"/>
  <c r="AF231" i="2"/>
  <c r="AJ231" i="2"/>
  <c r="AF171" i="2"/>
  <c r="AJ171" i="2"/>
  <c r="AF159" i="2"/>
  <c r="AJ159" i="2"/>
  <c r="AF147" i="2"/>
  <c r="AJ147" i="2"/>
  <c r="AF111" i="2"/>
  <c r="AJ111" i="2"/>
  <c r="AF99" i="2"/>
  <c r="AJ99" i="2"/>
  <c r="AF343" i="2"/>
  <c r="AJ343" i="2"/>
  <c r="AF622" i="2"/>
  <c r="AJ622" i="2"/>
  <c r="AF610" i="2"/>
  <c r="AJ610" i="2"/>
  <c r="AF932" i="2"/>
  <c r="AJ932" i="2"/>
  <c r="AF728" i="2"/>
  <c r="AJ728" i="2"/>
  <c r="AF716" i="2"/>
  <c r="AJ716" i="2"/>
  <c r="AF692" i="2"/>
  <c r="AJ692" i="2"/>
  <c r="AF680" i="2"/>
  <c r="AJ680" i="2"/>
  <c r="AF668" i="2"/>
  <c r="AJ668" i="2"/>
  <c r="AF656" i="2"/>
  <c r="AJ656" i="2"/>
  <c r="AF644" i="2"/>
  <c r="AJ644" i="2"/>
  <c r="AF632" i="2"/>
  <c r="AJ632" i="2"/>
  <c r="AF596" i="2"/>
  <c r="AJ596" i="2"/>
  <c r="AF572" i="2"/>
  <c r="AJ572" i="2"/>
  <c r="AF560" i="2"/>
  <c r="AJ560" i="2"/>
  <c r="AF524" i="2"/>
  <c r="AJ524" i="2"/>
  <c r="AF500" i="2"/>
  <c r="AJ500" i="2"/>
  <c r="AF476" i="2"/>
  <c r="AJ476" i="2"/>
  <c r="AF452" i="2"/>
  <c r="AJ452" i="2"/>
  <c r="AF380" i="2"/>
  <c r="AJ380" i="2"/>
  <c r="AF356" i="2"/>
  <c r="AJ356" i="2"/>
  <c r="AF344" i="2"/>
  <c r="AJ344" i="2"/>
  <c r="AF320" i="2"/>
  <c r="AJ320" i="2"/>
  <c r="AF308" i="2"/>
  <c r="AJ308" i="2"/>
  <c r="AF296" i="2"/>
  <c r="AJ296" i="2"/>
  <c r="AF284" i="2"/>
  <c r="AJ284" i="2"/>
  <c r="AF272" i="2"/>
  <c r="AJ272" i="2"/>
  <c r="AF260" i="2"/>
  <c r="AJ260" i="2"/>
  <c r="AF248" i="2"/>
  <c r="AJ248" i="2"/>
  <c r="AF236" i="2"/>
  <c r="AJ236" i="2"/>
  <c r="AF224" i="2"/>
  <c r="AJ224" i="2"/>
  <c r="AF200" i="2"/>
  <c r="AJ200" i="2"/>
  <c r="AF188" i="2"/>
  <c r="AJ188" i="2"/>
  <c r="AF152" i="2"/>
  <c r="AJ152" i="2"/>
  <c r="AF140" i="2"/>
  <c r="AJ140" i="2"/>
  <c r="AF715" i="2"/>
  <c r="AJ715" i="2"/>
  <c r="AF862" i="2"/>
  <c r="AJ862" i="2"/>
  <c r="AF838" i="2"/>
  <c r="AJ838" i="2"/>
  <c r="AF865" i="2"/>
  <c r="AJ865" i="2"/>
  <c r="AF841" i="2"/>
  <c r="AJ841" i="2"/>
  <c r="AF805" i="2"/>
  <c r="AJ805" i="2"/>
  <c r="AF757" i="2"/>
  <c r="AJ757" i="2"/>
  <c r="AF745" i="2"/>
  <c r="AJ745" i="2"/>
  <c r="AF709" i="2"/>
  <c r="AJ709" i="2"/>
  <c r="AF697" i="2"/>
  <c r="AJ697" i="2"/>
  <c r="AF685" i="2"/>
  <c r="AJ685" i="2"/>
  <c r="AF673" i="2"/>
  <c r="AJ673" i="2"/>
  <c r="AF661" i="2"/>
  <c r="AJ661" i="2"/>
  <c r="AF649" i="2"/>
  <c r="AJ649" i="2"/>
  <c r="AF637" i="2"/>
  <c r="AJ637" i="2"/>
  <c r="AF625" i="2"/>
  <c r="AJ625" i="2"/>
  <c r="AF613" i="2"/>
  <c r="AJ613" i="2"/>
  <c r="AF577" i="2"/>
  <c r="AJ577" i="2"/>
  <c r="AF565" i="2"/>
  <c r="AJ565" i="2"/>
  <c r="AF553" i="2"/>
  <c r="AJ553" i="2"/>
  <c r="AF541" i="2"/>
  <c r="AJ541" i="2"/>
  <c r="AF529" i="2"/>
  <c r="AJ529" i="2"/>
  <c r="AF517" i="2"/>
  <c r="AJ517" i="2"/>
  <c r="AF505" i="2"/>
  <c r="AJ505" i="2"/>
  <c r="AF493" i="2"/>
  <c r="AJ493" i="2"/>
  <c r="AF457" i="2"/>
  <c r="AJ457" i="2"/>
  <c r="AF445" i="2"/>
  <c r="AJ445" i="2"/>
  <c r="AF433" i="2"/>
  <c r="AJ433" i="2"/>
  <c r="AF421" i="2"/>
  <c r="AJ421" i="2"/>
  <c r="AF409" i="2"/>
  <c r="AJ409" i="2"/>
  <c r="AF385" i="2"/>
  <c r="AJ385" i="2"/>
  <c r="AF373" i="2"/>
  <c r="AJ373" i="2"/>
  <c r="AF277" i="2"/>
  <c r="AJ277" i="2"/>
  <c r="AF253" i="2"/>
  <c r="AJ253" i="2"/>
  <c r="AF133" i="2"/>
  <c r="AJ133" i="2"/>
  <c r="AF109" i="2"/>
  <c r="AJ109" i="2"/>
  <c r="AF85" i="2"/>
  <c r="AJ85" i="2"/>
  <c r="AF37" i="2"/>
  <c r="AJ37" i="2"/>
  <c r="AF25" i="2"/>
  <c r="AJ25" i="2"/>
  <c r="AF13" i="2"/>
  <c r="AJ13" i="2"/>
  <c r="AF619" i="2"/>
  <c r="AJ619" i="2"/>
  <c r="AF403" i="2"/>
  <c r="AJ403" i="2"/>
  <c r="AF934" i="2"/>
  <c r="AJ934" i="2"/>
  <c r="AF910" i="2"/>
  <c r="AJ910" i="2"/>
  <c r="AF730" i="2"/>
  <c r="AJ730" i="2"/>
  <c r="AF810" i="2"/>
  <c r="AJ810" i="2"/>
  <c r="AF726" i="2"/>
  <c r="AJ726" i="2"/>
  <c r="AF714" i="2"/>
  <c r="AJ714" i="2"/>
  <c r="AF702" i="2"/>
  <c r="AJ702" i="2"/>
  <c r="AF690" i="2"/>
  <c r="AJ690" i="2"/>
  <c r="AF678" i="2"/>
  <c r="AJ678" i="2"/>
  <c r="AF666" i="2"/>
  <c r="AJ666" i="2"/>
  <c r="AF654" i="2"/>
  <c r="AJ654" i="2"/>
  <c r="AF642" i="2"/>
  <c r="AJ642" i="2"/>
  <c r="AF570" i="2"/>
  <c r="AJ570" i="2"/>
  <c r="AF546" i="2"/>
  <c r="AJ546" i="2"/>
  <c r="AF534" i="2"/>
  <c r="AJ534" i="2"/>
  <c r="AF498" i="2"/>
  <c r="AJ498" i="2"/>
  <c r="AF438" i="2"/>
  <c r="AJ438" i="2"/>
  <c r="AF426" i="2"/>
  <c r="AJ426" i="2"/>
  <c r="AF354" i="2"/>
  <c r="AJ354" i="2"/>
  <c r="AF198" i="2"/>
  <c r="AJ198" i="2"/>
  <c r="AF186" i="2"/>
  <c r="AJ186" i="2"/>
  <c r="AF150" i="2"/>
  <c r="AJ150" i="2"/>
  <c r="AF138" i="2"/>
  <c r="AJ138" i="2"/>
  <c r="AF114" i="2"/>
  <c r="AJ114" i="2"/>
  <c r="AF102" i="2"/>
  <c r="AJ102" i="2"/>
  <c r="AF90" i="2"/>
  <c r="AJ90" i="2"/>
  <c r="AF54" i="2"/>
  <c r="AJ54" i="2"/>
  <c r="AF42" i="2"/>
  <c r="AJ42" i="2"/>
  <c r="AF18" i="2"/>
  <c r="AJ18" i="2"/>
  <c r="AF6" i="2"/>
  <c r="AJ6" i="2"/>
  <c r="AF583" i="2"/>
  <c r="AJ583" i="2"/>
  <c r="AF463" i="2"/>
  <c r="AJ463" i="2"/>
  <c r="AF814" i="2"/>
  <c r="AJ814" i="2"/>
  <c r="AF834" i="2"/>
  <c r="AJ834" i="2"/>
  <c r="AF935" i="2"/>
  <c r="AJ935" i="2"/>
  <c r="AF923" i="2"/>
  <c r="AJ923" i="2"/>
  <c r="AF899" i="2"/>
  <c r="AJ899" i="2"/>
  <c r="AF887" i="2"/>
  <c r="AJ887" i="2"/>
  <c r="AF875" i="2"/>
  <c r="AJ875" i="2"/>
  <c r="AF779" i="2"/>
  <c r="AJ779" i="2"/>
  <c r="AF767" i="2"/>
  <c r="AJ767" i="2"/>
  <c r="AF755" i="2"/>
  <c r="AJ755" i="2"/>
  <c r="AF743" i="2"/>
  <c r="AJ743" i="2"/>
  <c r="AF527" i="2"/>
  <c r="AJ527" i="2"/>
  <c r="AF443" i="2"/>
  <c r="AJ443" i="2"/>
  <c r="AF431" i="2"/>
  <c r="AJ431" i="2"/>
  <c r="AF407" i="2"/>
  <c r="AJ407" i="2"/>
  <c r="AF383" i="2"/>
  <c r="AJ383" i="2"/>
  <c r="AF371" i="2"/>
  <c r="AJ371" i="2"/>
  <c r="AF335" i="2"/>
  <c r="AJ335" i="2"/>
  <c r="AF299" i="2"/>
  <c r="AJ299" i="2"/>
  <c r="AF263" i="2"/>
  <c r="AJ263" i="2"/>
  <c r="AF239" i="2"/>
  <c r="AJ239" i="2"/>
  <c r="AF191" i="2"/>
  <c r="AJ191" i="2"/>
  <c r="AF143" i="2"/>
  <c r="AJ143" i="2"/>
  <c r="AF119" i="2"/>
  <c r="AJ119" i="2"/>
  <c r="AF83" i="2"/>
  <c r="AJ83" i="2"/>
  <c r="AF71" i="2"/>
  <c r="AJ71" i="2"/>
  <c r="AF59" i="2"/>
  <c r="AJ59" i="2"/>
  <c r="AF47" i="2"/>
  <c r="AJ47" i="2"/>
  <c r="AF35" i="2"/>
  <c r="AJ35" i="2"/>
  <c r="AF23" i="2"/>
  <c r="AJ23" i="2"/>
  <c r="AF11" i="2"/>
  <c r="AJ11" i="2"/>
  <c r="AF799" i="2"/>
  <c r="AJ799" i="2"/>
  <c r="AF439" i="2"/>
  <c r="AJ439" i="2"/>
  <c r="AF886" i="2"/>
  <c r="AJ886" i="2"/>
  <c r="AF940" i="2"/>
  <c r="AJ940" i="2"/>
  <c r="AF928" i="2"/>
  <c r="AJ928" i="2"/>
  <c r="AF880" i="2"/>
  <c r="AJ880" i="2"/>
  <c r="AF844" i="2"/>
  <c r="AJ844" i="2"/>
  <c r="AF736" i="2"/>
  <c r="AJ736" i="2"/>
  <c r="AF724" i="2"/>
  <c r="AJ724" i="2"/>
  <c r="AF592" i="2"/>
  <c r="AJ592" i="2"/>
  <c r="AF508" i="2"/>
  <c r="AJ508" i="2"/>
  <c r="AF436" i="2"/>
  <c r="AJ436" i="2"/>
  <c r="AF388" i="2"/>
  <c r="AJ388" i="2"/>
  <c r="AF280" i="2"/>
  <c r="AJ280" i="2"/>
  <c r="AF244" i="2"/>
  <c r="AJ244" i="2"/>
  <c r="AF232" i="2"/>
  <c r="AJ232" i="2"/>
  <c r="AF208" i="2"/>
  <c r="AJ208" i="2"/>
  <c r="AF184" i="2"/>
  <c r="AJ184" i="2"/>
  <c r="AF172" i="2"/>
  <c r="AJ172" i="2"/>
  <c r="AF160" i="2"/>
  <c r="AJ160" i="2"/>
  <c r="AF136" i="2"/>
  <c r="AJ136" i="2"/>
  <c r="AF124" i="2"/>
  <c r="AJ124" i="2"/>
  <c r="AF112" i="2"/>
  <c r="AJ112" i="2"/>
  <c r="AF100" i="2"/>
  <c r="AJ100" i="2"/>
  <c r="AF64" i="2"/>
  <c r="AJ64" i="2"/>
  <c r="AF28" i="2"/>
  <c r="AJ28" i="2"/>
  <c r="AF16" i="2"/>
  <c r="AJ16" i="2"/>
  <c r="AF259" i="2"/>
  <c r="AJ259" i="2"/>
  <c r="AF898" i="2"/>
  <c r="AJ898" i="2"/>
  <c r="AF874" i="2"/>
  <c r="AJ874" i="2"/>
  <c r="AF850" i="2"/>
  <c r="AJ850" i="2"/>
  <c r="AF826" i="2"/>
  <c r="AJ826" i="2"/>
  <c r="AF802" i="2"/>
  <c r="AJ802" i="2"/>
  <c r="AF538" i="2"/>
  <c r="AJ538" i="2"/>
  <c r="AF822" i="2"/>
  <c r="AJ822" i="2"/>
  <c r="AF849" i="2"/>
  <c r="AJ849" i="2"/>
  <c r="AF825" i="2"/>
  <c r="AJ825" i="2"/>
  <c r="AF813" i="2"/>
  <c r="AJ813" i="2"/>
  <c r="AF801" i="2"/>
  <c r="AJ801" i="2"/>
  <c r="AF789" i="2"/>
  <c r="AJ789" i="2"/>
  <c r="AF777" i="2"/>
  <c r="AJ777" i="2"/>
  <c r="AF753" i="2"/>
  <c r="AJ753" i="2"/>
  <c r="AF741" i="2"/>
  <c r="AJ741" i="2"/>
  <c r="AF729" i="2"/>
  <c r="AJ729" i="2"/>
  <c r="AF633" i="2"/>
  <c r="AJ633" i="2"/>
  <c r="AF621" i="2"/>
  <c r="AJ621" i="2"/>
  <c r="AF609" i="2"/>
  <c r="AJ609" i="2"/>
  <c r="AF597" i="2"/>
  <c r="AJ597" i="2"/>
  <c r="AF585" i="2"/>
  <c r="AJ585" i="2"/>
  <c r="AF573" i="2"/>
  <c r="AJ573" i="2"/>
  <c r="AF561" i="2"/>
  <c r="AJ561" i="2"/>
  <c r="AF501" i="2"/>
  <c r="AJ501" i="2"/>
  <c r="AF465" i="2"/>
  <c r="AJ465" i="2"/>
  <c r="AF285" i="2"/>
  <c r="AJ285" i="2"/>
  <c r="AF249" i="2"/>
  <c r="AJ249" i="2"/>
  <c r="AF213" i="2"/>
  <c r="AJ213" i="2"/>
  <c r="AF177" i="2"/>
  <c r="AJ177" i="2"/>
  <c r="AF165" i="2"/>
  <c r="AJ165" i="2"/>
  <c r="AF153" i="2"/>
  <c r="AJ153" i="2"/>
  <c r="AF141" i="2"/>
  <c r="AJ141" i="2"/>
  <c r="AF117" i="2"/>
  <c r="AJ117" i="2"/>
  <c r="AF93" i="2"/>
  <c r="AJ93" i="2"/>
  <c r="AF9" i="2"/>
  <c r="AJ9" i="2"/>
  <c r="AF679" i="2"/>
  <c r="AJ679" i="2"/>
  <c r="AF271" i="2"/>
  <c r="AJ271" i="2"/>
  <c r="AF846" i="2"/>
  <c r="AJ846" i="2"/>
  <c r="AF798" i="2"/>
  <c r="AJ798" i="2"/>
  <c r="AF734" i="2"/>
  <c r="AJ734" i="2"/>
  <c r="AF722" i="2"/>
  <c r="AJ722" i="2"/>
  <c r="AF698" i="2"/>
  <c r="AJ698" i="2"/>
  <c r="AF686" i="2"/>
  <c r="AJ686" i="2"/>
  <c r="AF674" i="2"/>
  <c r="AJ674" i="2"/>
  <c r="AF662" i="2"/>
  <c r="AJ662" i="2"/>
  <c r="AF650" i="2"/>
  <c r="AJ650" i="2"/>
  <c r="AF638" i="2"/>
  <c r="AJ638" i="2"/>
  <c r="AF626" i="2"/>
  <c r="AJ626" i="2"/>
  <c r="AF602" i="2"/>
  <c r="AJ602" i="2"/>
  <c r="AF566" i="2"/>
  <c r="AJ566" i="2"/>
  <c r="AF530" i="2"/>
  <c r="AJ530" i="2"/>
  <c r="AF518" i="2"/>
  <c r="AJ518" i="2"/>
  <c r="AF506" i="2"/>
  <c r="AJ506" i="2"/>
  <c r="AF494" i="2"/>
  <c r="AJ494" i="2"/>
  <c r="AF482" i="2"/>
  <c r="AJ482" i="2"/>
  <c r="AF470" i="2"/>
  <c r="AJ470" i="2"/>
  <c r="AF458" i="2"/>
  <c r="AJ458" i="2"/>
  <c r="AF410" i="2"/>
  <c r="AJ410" i="2"/>
  <c r="AF398" i="2"/>
  <c r="AJ398" i="2"/>
  <c r="AF350" i="2"/>
  <c r="AJ350" i="2"/>
  <c r="AF338" i="2"/>
  <c r="AJ338" i="2"/>
  <c r="AF302" i="2"/>
  <c r="AJ302" i="2"/>
  <c r="AF242" i="2"/>
  <c r="AJ242" i="2"/>
  <c r="AF194" i="2"/>
  <c r="AJ194" i="2"/>
  <c r="AF170" i="2"/>
  <c r="AJ170" i="2"/>
  <c r="AF146" i="2"/>
  <c r="AJ146" i="2"/>
  <c r="M611" i="2"/>
  <c r="R611" i="2"/>
  <c r="M587" i="2"/>
  <c r="R587" i="2"/>
  <c r="M575" i="2"/>
  <c r="R575" i="2"/>
  <c r="M563" i="2"/>
  <c r="R563" i="2"/>
  <c r="M503" i="2"/>
  <c r="R503" i="2"/>
  <c r="M431" i="2"/>
  <c r="R431" i="2"/>
  <c r="M359" i="2"/>
  <c r="R359" i="2"/>
  <c r="M323" i="2"/>
  <c r="R323" i="2"/>
  <c r="M311" i="2"/>
  <c r="R311" i="2"/>
  <c r="M263" i="2"/>
  <c r="R263" i="2"/>
  <c r="M251" i="2"/>
  <c r="R251" i="2"/>
  <c r="M239" i="2"/>
  <c r="R239" i="2"/>
  <c r="M227" i="2"/>
  <c r="R227" i="2"/>
  <c r="M179" i="2"/>
  <c r="R179" i="2"/>
  <c r="M155" i="2"/>
  <c r="R155" i="2"/>
  <c r="M107" i="2"/>
  <c r="R107" i="2"/>
  <c r="M95" i="2"/>
  <c r="R95" i="2"/>
  <c r="M83" i="2"/>
  <c r="R83" i="2"/>
  <c r="M47" i="2"/>
  <c r="R47" i="2"/>
  <c r="M35" i="2"/>
  <c r="R35" i="2"/>
  <c r="M616" i="2"/>
  <c r="R616" i="2"/>
  <c r="M604" i="2"/>
  <c r="R604" i="2"/>
  <c r="M496" i="2"/>
  <c r="R496" i="2"/>
  <c r="M484" i="2"/>
  <c r="R484" i="2"/>
  <c r="M268" i="2"/>
  <c r="R268" i="2"/>
  <c r="M244" i="2"/>
  <c r="R244" i="2"/>
  <c r="M208" i="2"/>
  <c r="R208" i="2"/>
  <c r="M184" i="2"/>
  <c r="R184" i="2"/>
  <c r="M148" i="2"/>
  <c r="R148" i="2"/>
  <c r="M112" i="2"/>
  <c r="R112" i="2"/>
  <c r="M100" i="2"/>
  <c r="R100" i="2"/>
  <c r="M88" i="2"/>
  <c r="R88" i="2"/>
  <c r="M772" i="2"/>
  <c r="R772" i="2"/>
  <c r="M933" i="2"/>
  <c r="R933" i="2"/>
  <c r="M909" i="2"/>
  <c r="R909" i="2"/>
  <c r="M897" i="2"/>
  <c r="R897" i="2"/>
  <c r="M885" i="2"/>
  <c r="R885" i="2"/>
  <c r="M873" i="2"/>
  <c r="R873" i="2"/>
  <c r="M825" i="2"/>
  <c r="R825" i="2"/>
  <c r="M813" i="2"/>
  <c r="R813" i="2"/>
  <c r="M801" i="2"/>
  <c r="R801" i="2"/>
  <c r="M741" i="2"/>
  <c r="R741" i="2"/>
  <c r="M669" i="2"/>
  <c r="R669" i="2"/>
  <c r="M561" i="2"/>
  <c r="R561" i="2"/>
  <c r="M501" i="2"/>
  <c r="R501" i="2"/>
  <c r="M477" i="2"/>
  <c r="R477" i="2"/>
  <c r="M465" i="2"/>
  <c r="R465" i="2"/>
  <c r="M441" i="2"/>
  <c r="R441" i="2"/>
  <c r="M429" i="2"/>
  <c r="R429" i="2"/>
  <c r="M417" i="2"/>
  <c r="R417" i="2"/>
  <c r="M369" i="2"/>
  <c r="R369" i="2"/>
  <c r="M345" i="2"/>
  <c r="R345" i="2"/>
  <c r="M309" i="2"/>
  <c r="R309" i="2"/>
  <c r="M225" i="2"/>
  <c r="R225" i="2"/>
  <c r="M153" i="2"/>
  <c r="R153" i="2"/>
  <c r="M887" i="2"/>
  <c r="R887" i="2"/>
  <c r="M866" i="2"/>
  <c r="R866" i="2"/>
  <c r="M854" i="2"/>
  <c r="R854" i="2"/>
  <c r="M818" i="2"/>
  <c r="R818" i="2"/>
  <c r="M782" i="2"/>
  <c r="R782" i="2"/>
  <c r="M770" i="2"/>
  <c r="R770" i="2"/>
  <c r="M746" i="2"/>
  <c r="R746" i="2"/>
  <c r="M734" i="2"/>
  <c r="R734" i="2"/>
  <c r="M722" i="2"/>
  <c r="R722" i="2"/>
  <c r="M698" i="2"/>
  <c r="R698" i="2"/>
  <c r="M674" i="2"/>
  <c r="R674" i="2"/>
  <c r="M650" i="2"/>
  <c r="R650" i="2"/>
  <c r="M638" i="2"/>
  <c r="R638" i="2"/>
  <c r="M626" i="2"/>
  <c r="R626" i="2"/>
  <c r="M602" i="2"/>
  <c r="R602" i="2"/>
  <c r="M566" i="2"/>
  <c r="R566" i="2"/>
  <c r="M542" i="2"/>
  <c r="R542" i="2"/>
  <c r="M350" i="2"/>
  <c r="R350" i="2"/>
  <c r="M230" i="2"/>
  <c r="R230" i="2"/>
  <c r="M134" i="2"/>
  <c r="R134" i="2"/>
  <c r="M122" i="2"/>
  <c r="R122" i="2"/>
  <c r="M98" i="2"/>
  <c r="R98" i="2"/>
  <c r="M62" i="2"/>
  <c r="R62" i="2"/>
  <c r="M911" i="2"/>
  <c r="R911" i="2"/>
  <c r="M827" i="2"/>
  <c r="R827" i="2"/>
  <c r="M796" i="2"/>
  <c r="R796" i="2"/>
  <c r="M883" i="2"/>
  <c r="R883" i="2"/>
  <c r="M835" i="2"/>
  <c r="R835" i="2"/>
  <c r="M823" i="2"/>
  <c r="R823" i="2"/>
  <c r="M811" i="2"/>
  <c r="R811" i="2"/>
  <c r="M799" i="2"/>
  <c r="R799" i="2"/>
  <c r="M727" i="2"/>
  <c r="R727" i="2"/>
  <c r="M715" i="2"/>
  <c r="R715" i="2"/>
  <c r="M691" i="2"/>
  <c r="R691" i="2"/>
  <c r="M619" i="2"/>
  <c r="R619" i="2"/>
  <c r="M583" i="2"/>
  <c r="R583" i="2"/>
  <c r="M571" i="2"/>
  <c r="R571" i="2"/>
  <c r="M547" i="2"/>
  <c r="R547" i="2"/>
  <c r="M427" i="2"/>
  <c r="R427" i="2"/>
  <c r="M379" i="2"/>
  <c r="R379" i="2"/>
  <c r="M355" i="2"/>
  <c r="R355" i="2"/>
  <c r="M331" i="2"/>
  <c r="R331" i="2"/>
  <c r="M307" i="2"/>
  <c r="R307" i="2"/>
  <c r="M283" i="2"/>
  <c r="R283" i="2"/>
  <c r="M271" i="2"/>
  <c r="R271" i="2"/>
  <c r="M139" i="2"/>
  <c r="R139" i="2"/>
  <c r="M127" i="2"/>
  <c r="R127" i="2"/>
  <c r="M115" i="2"/>
  <c r="R115" i="2"/>
  <c r="M55" i="2"/>
  <c r="R55" i="2"/>
  <c r="M43" i="2"/>
  <c r="R43" i="2"/>
  <c r="M7" i="2"/>
  <c r="R7" i="2"/>
  <c r="M432" i="2"/>
  <c r="R432" i="2"/>
  <c r="M420" i="2"/>
  <c r="R420" i="2"/>
  <c r="M324" i="2"/>
  <c r="R324" i="2"/>
  <c r="M312" i="2"/>
  <c r="R312" i="2"/>
  <c r="M252" i="2"/>
  <c r="R252" i="2"/>
  <c r="M216" i="2"/>
  <c r="R216" i="2"/>
  <c r="M132" i="2"/>
  <c r="R132" i="2"/>
  <c r="M120" i="2"/>
  <c r="R120" i="2"/>
  <c r="M96" i="2"/>
  <c r="R96" i="2"/>
  <c r="M84" i="2"/>
  <c r="R84" i="2"/>
  <c r="M72" i="2"/>
  <c r="R72" i="2"/>
  <c r="M60" i="2"/>
  <c r="R60" i="2"/>
  <c r="M12" i="2"/>
  <c r="R12" i="2"/>
  <c r="M935" i="2"/>
  <c r="R935" i="2"/>
  <c r="M780" i="2"/>
  <c r="R780" i="2"/>
  <c r="M929" i="2"/>
  <c r="R929" i="2"/>
  <c r="M917" i="2"/>
  <c r="R917" i="2"/>
  <c r="M881" i="2"/>
  <c r="R881" i="2"/>
  <c r="M617" i="2"/>
  <c r="R617" i="2"/>
  <c r="M593" i="2"/>
  <c r="R593" i="2"/>
  <c r="M581" i="2"/>
  <c r="R581" i="2"/>
  <c r="M569" i="2"/>
  <c r="R569" i="2"/>
  <c r="M545" i="2"/>
  <c r="R545" i="2"/>
  <c r="M437" i="2"/>
  <c r="R437" i="2"/>
  <c r="M425" i="2"/>
  <c r="R425" i="2"/>
  <c r="M413" i="2"/>
  <c r="R413" i="2"/>
  <c r="M341" i="2"/>
  <c r="R341" i="2"/>
  <c r="M317" i="2"/>
  <c r="R317" i="2"/>
  <c r="M305" i="2"/>
  <c r="R305" i="2"/>
  <c r="M281" i="2"/>
  <c r="R281" i="2"/>
  <c r="M269" i="2"/>
  <c r="R269" i="2"/>
  <c r="M257" i="2"/>
  <c r="R257" i="2"/>
  <c r="M245" i="2"/>
  <c r="R245" i="2"/>
  <c r="M221" i="2"/>
  <c r="R221" i="2"/>
  <c r="M209" i="2"/>
  <c r="R209" i="2"/>
  <c r="M173" i="2"/>
  <c r="R173" i="2"/>
  <c r="M125" i="2"/>
  <c r="R125" i="2"/>
  <c r="M77" i="2"/>
  <c r="R77" i="2"/>
  <c r="M53" i="2"/>
  <c r="R53" i="2"/>
  <c r="M29" i="2"/>
  <c r="R29" i="2"/>
  <c r="M875" i="2"/>
  <c r="R875" i="2"/>
  <c r="M844" i="2"/>
  <c r="R844" i="2"/>
  <c r="M862" i="2"/>
  <c r="R862" i="2"/>
  <c r="M850" i="2"/>
  <c r="R850" i="2"/>
  <c r="M838" i="2"/>
  <c r="R838" i="2"/>
  <c r="M802" i="2"/>
  <c r="R802" i="2"/>
  <c r="M790" i="2"/>
  <c r="R790" i="2"/>
  <c r="M766" i="2"/>
  <c r="R766" i="2"/>
  <c r="M742" i="2"/>
  <c r="R742" i="2"/>
  <c r="M730" i="2"/>
  <c r="R730" i="2"/>
  <c r="M718" i="2"/>
  <c r="R718" i="2"/>
  <c r="M706" i="2"/>
  <c r="R706" i="2"/>
  <c r="M682" i="2"/>
  <c r="R682" i="2"/>
  <c r="M622" i="2"/>
  <c r="R622" i="2"/>
  <c r="M490" i="2"/>
  <c r="R490" i="2"/>
  <c r="M454" i="2"/>
  <c r="R454" i="2"/>
  <c r="M406" i="2"/>
  <c r="R406" i="2"/>
  <c r="M334" i="2"/>
  <c r="R334" i="2"/>
  <c r="M298" i="2"/>
  <c r="R298" i="2"/>
  <c r="M226" i="2"/>
  <c r="R226" i="2"/>
  <c r="M202" i="2"/>
  <c r="R202" i="2"/>
  <c r="M190" i="2"/>
  <c r="R190" i="2"/>
  <c r="M178" i="2"/>
  <c r="R178" i="2"/>
  <c r="M166" i="2"/>
  <c r="R166" i="2"/>
  <c r="M82" i="2"/>
  <c r="R82" i="2"/>
  <c r="M899" i="2"/>
  <c r="R899" i="2"/>
  <c r="M915" i="2"/>
  <c r="R915" i="2"/>
  <c r="M879" i="2"/>
  <c r="R879" i="2"/>
  <c r="M615" i="2"/>
  <c r="R615" i="2"/>
  <c r="M603" i="2"/>
  <c r="R603" i="2"/>
  <c r="M591" i="2"/>
  <c r="R591" i="2"/>
  <c r="M555" i="2"/>
  <c r="R555" i="2"/>
  <c r="M483" i="2"/>
  <c r="R483" i="2"/>
  <c r="M471" i="2"/>
  <c r="R471" i="2"/>
  <c r="M423" i="2"/>
  <c r="R423" i="2"/>
  <c r="M411" i="2"/>
  <c r="R411" i="2"/>
  <c r="M363" i="2"/>
  <c r="R363" i="2"/>
  <c r="M351" i="2"/>
  <c r="R351" i="2"/>
  <c r="M339" i="2"/>
  <c r="R339" i="2"/>
  <c r="M327" i="2"/>
  <c r="R327" i="2"/>
  <c r="M315" i="2"/>
  <c r="R315" i="2"/>
  <c r="M303" i="2"/>
  <c r="R303" i="2"/>
  <c r="M279" i="2"/>
  <c r="R279" i="2"/>
  <c r="M243" i="2"/>
  <c r="R243" i="2"/>
  <c r="M171" i="2"/>
  <c r="R171" i="2"/>
  <c r="M776" i="2"/>
  <c r="R776" i="2"/>
  <c r="M704" i="2"/>
  <c r="R704" i="2"/>
  <c r="M692" i="2"/>
  <c r="R692" i="2"/>
  <c r="M668" i="2"/>
  <c r="R668" i="2"/>
  <c r="M608" i="2"/>
  <c r="R608" i="2"/>
  <c r="M536" i="2"/>
  <c r="R536" i="2"/>
  <c r="M488" i="2"/>
  <c r="R488" i="2"/>
  <c r="M356" i="2"/>
  <c r="R356" i="2"/>
  <c r="M344" i="2"/>
  <c r="R344" i="2"/>
  <c r="M320" i="2"/>
  <c r="R320" i="2"/>
  <c r="M224" i="2"/>
  <c r="R224" i="2"/>
  <c r="M104" i="2"/>
  <c r="R104" i="2"/>
  <c r="M80" i="2"/>
  <c r="R80" i="2"/>
  <c r="M68" i="2"/>
  <c r="R68" i="2"/>
  <c r="M851" i="2"/>
  <c r="R851" i="2"/>
  <c r="M940" i="2"/>
  <c r="R940" i="2"/>
  <c r="M864" i="2"/>
  <c r="R864" i="2"/>
  <c r="M852" i="2"/>
  <c r="R852" i="2"/>
  <c r="M937" i="2"/>
  <c r="R937" i="2"/>
  <c r="M913" i="2"/>
  <c r="R913" i="2"/>
  <c r="M901" i="2"/>
  <c r="R901" i="2"/>
  <c r="M889" i="2"/>
  <c r="R889" i="2"/>
  <c r="M877" i="2"/>
  <c r="R877" i="2"/>
  <c r="M709" i="2"/>
  <c r="R709" i="2"/>
  <c r="M685" i="2"/>
  <c r="R685" i="2"/>
  <c r="M661" i="2"/>
  <c r="R661" i="2"/>
  <c r="M613" i="2"/>
  <c r="R613" i="2"/>
  <c r="M601" i="2"/>
  <c r="R601" i="2"/>
  <c r="M589" i="2"/>
  <c r="R589" i="2"/>
  <c r="M577" i="2"/>
  <c r="R577" i="2"/>
  <c r="M433" i="2"/>
  <c r="R433" i="2"/>
  <c r="M421" i="2"/>
  <c r="R421" i="2"/>
  <c r="M409" i="2"/>
  <c r="R409" i="2"/>
  <c r="M397" i="2"/>
  <c r="R397" i="2"/>
  <c r="M361" i="2"/>
  <c r="R361" i="2"/>
  <c r="M337" i="2"/>
  <c r="R337" i="2"/>
  <c r="M313" i="2"/>
  <c r="R313" i="2"/>
  <c r="M289" i="2"/>
  <c r="R289" i="2"/>
  <c r="M229" i="2"/>
  <c r="R229" i="2"/>
  <c r="M181" i="2"/>
  <c r="R181" i="2"/>
  <c r="M169" i="2"/>
  <c r="R169" i="2"/>
  <c r="M157" i="2"/>
  <c r="R157" i="2"/>
  <c r="M145" i="2"/>
  <c r="R145" i="2"/>
  <c r="M121" i="2"/>
  <c r="R121" i="2"/>
  <c r="M109" i="2"/>
  <c r="R109" i="2"/>
  <c r="M97" i="2"/>
  <c r="R97" i="2"/>
  <c r="M85" i="2"/>
  <c r="R85" i="2"/>
  <c r="M13" i="2"/>
  <c r="R13" i="2"/>
  <c r="M928" i="2"/>
  <c r="R928" i="2"/>
  <c r="M828" i="2"/>
  <c r="R828" i="2"/>
  <c r="M804" i="2"/>
  <c r="R804" i="2"/>
  <c r="M792" i="2"/>
  <c r="R792" i="2"/>
  <c r="M756" i="2"/>
  <c r="R756" i="2"/>
  <c r="M846" i="2"/>
  <c r="R846" i="2"/>
  <c r="M834" i="2"/>
  <c r="R834" i="2"/>
  <c r="M810" i="2"/>
  <c r="R810" i="2"/>
  <c r="M798" i="2"/>
  <c r="R798" i="2"/>
  <c r="M750" i="2"/>
  <c r="R750" i="2"/>
  <c r="M738" i="2"/>
  <c r="R738" i="2"/>
  <c r="M534" i="2"/>
  <c r="R534" i="2"/>
  <c r="M450" i="2"/>
  <c r="R450" i="2"/>
  <c r="M426" i="2"/>
  <c r="R426" i="2"/>
  <c r="M342" i="2"/>
  <c r="R342" i="2"/>
  <c r="M318" i="2"/>
  <c r="R318" i="2"/>
  <c r="M306" i="2"/>
  <c r="R306" i="2"/>
  <c r="M258" i="2"/>
  <c r="R258" i="2"/>
  <c r="M246" i="2"/>
  <c r="R246" i="2"/>
  <c r="M222" i="2"/>
  <c r="R222" i="2"/>
  <c r="M126" i="2"/>
  <c r="R126" i="2"/>
  <c r="M114" i="2"/>
  <c r="R114" i="2"/>
  <c r="M78" i="2"/>
  <c r="R78" i="2"/>
  <c r="M66" i="2"/>
  <c r="R66" i="2"/>
  <c r="M54" i="2"/>
  <c r="R54" i="2"/>
  <c r="M42" i="2"/>
  <c r="R42" i="2"/>
  <c r="M30" i="2"/>
  <c r="R30" i="2"/>
  <c r="M18" i="2"/>
  <c r="R18" i="2"/>
  <c r="M5" i="2"/>
  <c r="R5" i="2"/>
  <c r="M6" i="2"/>
  <c r="R6" i="2"/>
  <c r="AG556" i="2"/>
  <c r="AK556" i="2" s="1"/>
  <c r="AG776" i="2"/>
  <c r="AK776" i="2" s="1"/>
  <c r="AG480" i="2"/>
  <c r="AK480" i="2" s="1"/>
  <c r="AG888" i="2"/>
  <c r="AK888" i="2" s="1"/>
  <c r="AG526" i="2"/>
  <c r="AK526" i="2" s="1"/>
  <c r="AG67" i="2"/>
  <c r="AK67" i="2" s="1"/>
  <c r="AG434" i="2"/>
  <c r="AK434" i="2" s="1"/>
  <c r="AG10" i="2"/>
  <c r="AK10" i="2" s="1"/>
  <c r="AG920" i="2"/>
  <c r="AK920" i="2" s="1"/>
  <c r="AG488" i="2"/>
  <c r="AK488" i="2" s="1"/>
  <c r="AG914" i="2"/>
  <c r="AK914" i="2" s="1"/>
  <c r="O859" i="2"/>
  <c r="O925" i="2"/>
  <c r="AG681" i="2"/>
  <c r="AK681" i="2" s="1"/>
  <c r="AG868" i="2"/>
  <c r="AK868" i="2" s="1"/>
  <c r="O675" i="2"/>
  <c r="AG793" i="2"/>
  <c r="AK793" i="2" s="1"/>
  <c r="O774" i="2"/>
  <c r="O694" i="2"/>
  <c r="AG859" i="2"/>
  <c r="AK859" i="2" s="1"/>
  <c r="AG520" i="2"/>
  <c r="AK520" i="2" s="1"/>
  <c r="O167" i="2"/>
  <c r="AG675" i="2"/>
  <c r="AK675" i="2" s="1"/>
  <c r="O632" i="2"/>
  <c r="O824" i="2"/>
  <c r="O523" i="2"/>
  <c r="O39" i="2"/>
  <c r="AG395" i="2"/>
  <c r="AK395" i="2" s="1"/>
  <c r="AG485" i="2"/>
  <c r="AK485" i="2" s="1"/>
  <c r="O479" i="2"/>
  <c r="O461" i="2"/>
  <c r="O751" i="2"/>
  <c r="AG562" i="2"/>
  <c r="AK562" i="2" s="1"/>
  <c r="O526" i="2"/>
  <c r="O485" i="2"/>
  <c r="AG295" i="2"/>
  <c r="AK295" i="2" s="1"/>
  <c r="O436" i="2"/>
  <c r="AG876" i="2"/>
  <c r="AK876" i="2" s="1"/>
  <c r="AG598" i="2"/>
  <c r="AK598" i="2" s="1"/>
  <c r="AG532" i="2"/>
  <c r="AK532" i="2" s="1"/>
  <c r="O508" i="2"/>
  <c r="AG30" i="2"/>
  <c r="AK30" i="2" s="1"/>
  <c r="O446" i="2"/>
  <c r="O74" i="2"/>
  <c r="AG884" i="2"/>
  <c r="AK884" i="2" s="1"/>
  <c r="O365" i="2"/>
  <c r="AG705" i="2"/>
  <c r="AK705" i="2" s="1"/>
  <c r="O50" i="2"/>
  <c r="AG212" i="2"/>
  <c r="AK212" i="2" s="1"/>
  <c r="AG135" i="2"/>
  <c r="AK135" i="2" s="1"/>
  <c r="O894" i="2"/>
  <c r="AG882" i="2"/>
  <c r="AK882" i="2" s="1"/>
  <c r="O652" i="2"/>
  <c r="O491" i="2"/>
  <c r="AG289" i="2"/>
  <c r="AK289" i="2" s="1"/>
  <c r="AG215" i="2"/>
  <c r="AK215" i="2" s="1"/>
  <c r="O160" i="2"/>
  <c r="O736" i="2"/>
  <c r="O714" i="2"/>
  <c r="AG590" i="2"/>
  <c r="AK590" i="2" s="1"/>
  <c r="O466" i="2"/>
  <c r="AG265" i="2"/>
  <c r="AK265" i="2" s="1"/>
  <c r="AG255" i="2"/>
  <c r="AK255" i="2" s="1"/>
  <c r="O254" i="2"/>
  <c r="O165" i="2"/>
  <c r="O664" i="2"/>
  <c r="O628" i="2"/>
  <c r="AG616" i="2"/>
  <c r="AK616" i="2" s="1"/>
  <c r="AG574" i="2"/>
  <c r="AK574" i="2" s="1"/>
  <c r="O473" i="2"/>
  <c r="AG322" i="2"/>
  <c r="AK322" i="2" s="1"/>
  <c r="AG203" i="2"/>
  <c r="AK203" i="2" s="1"/>
  <c r="AG7" i="2"/>
  <c r="AK7" i="2" s="1"/>
  <c r="O366" i="2"/>
  <c r="AG352" i="2"/>
  <c r="AK352" i="2" s="1"/>
  <c r="AG342" i="2"/>
  <c r="AK342" i="2" s="1"/>
  <c r="AG52" i="2"/>
  <c r="AK52" i="2" s="1"/>
  <c r="O51" i="2"/>
  <c r="AG896" i="2"/>
  <c r="AK896" i="2" s="1"/>
  <c r="O45" i="2"/>
  <c r="AG909" i="2"/>
  <c r="AK909" i="2" s="1"/>
  <c r="O662" i="2"/>
  <c r="O383" i="2"/>
  <c r="O728" i="2"/>
  <c r="AO728" i="2" s="1"/>
  <c r="AG723" i="2"/>
  <c r="AK723" i="2" s="1"/>
  <c r="AG717" i="2"/>
  <c r="AK717" i="2" s="1"/>
  <c r="O458" i="2"/>
  <c r="O455" i="2"/>
  <c r="AG446" i="2"/>
  <c r="AK446" i="2" s="1"/>
  <c r="O348" i="2"/>
  <c r="AG346" i="2"/>
  <c r="AK346" i="2" s="1"/>
  <c r="O203" i="2"/>
  <c r="AG142" i="2"/>
  <c r="AK142" i="2" s="1"/>
  <c r="O118" i="2"/>
  <c r="AG941" i="2"/>
  <c r="AK941" i="2" s="1"/>
  <c r="AG771" i="2"/>
  <c r="AK771" i="2" s="1"/>
  <c r="O620" i="2"/>
  <c r="AO620" i="2" s="1"/>
  <c r="AG453" i="2"/>
  <c r="AK453" i="2" s="1"/>
  <c r="AG871" i="2"/>
  <c r="AK871" i="2" s="1"/>
  <c r="AG711" i="2"/>
  <c r="AK711" i="2" s="1"/>
  <c r="AG634" i="2"/>
  <c r="AK634" i="2" s="1"/>
  <c r="O517" i="2"/>
  <c r="AG440" i="2"/>
  <c r="AK440" i="2" s="1"/>
  <c r="AG241" i="2"/>
  <c r="AK241" i="2" s="1"/>
  <c r="O842" i="2"/>
  <c r="O822" i="2"/>
  <c r="O371" i="2"/>
  <c r="O191" i="2"/>
  <c r="O33" i="2"/>
  <c r="O800" i="2"/>
  <c r="AO800" i="2" s="1"/>
  <c r="AG648" i="2"/>
  <c r="AK648" i="2" s="1"/>
  <c r="O119" i="2"/>
  <c r="AF618" i="2"/>
  <c r="M922" i="2"/>
  <c r="AF665" i="2"/>
  <c r="AF652" i="2"/>
  <c r="AG618" i="2"/>
  <c r="AK618" i="2" s="1"/>
  <c r="O784" i="2"/>
  <c r="AO784" i="2" s="1"/>
  <c r="M479" i="2"/>
  <c r="M270" i="2"/>
  <c r="O691" i="2"/>
  <c r="O798" i="2"/>
  <c r="M65" i="2"/>
  <c r="O674" i="2"/>
  <c r="M56" i="2"/>
  <c r="AF169" i="2"/>
  <c r="AG389" i="2"/>
  <c r="AK389" i="2" s="1"/>
  <c r="M172" i="2"/>
  <c r="M478" i="2"/>
  <c r="O626" i="2"/>
  <c r="M456" i="2"/>
  <c r="O692" i="2"/>
  <c r="AO692" i="2" s="1"/>
  <c r="O208" i="2"/>
  <c r="AG64" i="2"/>
  <c r="AK64" i="2" s="1"/>
  <c r="AG825" i="2"/>
  <c r="AK825" i="2" s="1"/>
  <c r="AG665" i="2"/>
  <c r="AK665" i="2" s="1"/>
  <c r="AG243" i="2"/>
  <c r="AK243" i="2" s="1"/>
  <c r="AF363" i="2"/>
  <c r="AG351" i="2"/>
  <c r="AK351" i="2" s="1"/>
  <c r="O843" i="2"/>
  <c r="M242" i="2"/>
  <c r="M840" i="2"/>
  <c r="O481" i="2"/>
  <c r="O34" i="2"/>
  <c r="O459" i="2"/>
  <c r="O923" i="2"/>
  <c r="O285" i="2"/>
  <c r="O242" i="2"/>
  <c r="AG907" i="2"/>
  <c r="AK907" i="2" s="1"/>
  <c r="O916" i="2"/>
  <c r="O906" i="2"/>
  <c r="O814" i="2"/>
  <c r="O808" i="2"/>
  <c r="O781" i="2"/>
  <c r="O354" i="2"/>
  <c r="O14" i="2"/>
  <c r="S14" i="2" s="1"/>
  <c r="T14" i="2" s="1"/>
  <c r="C16" i="10" s="1"/>
  <c r="O775" i="2"/>
  <c r="O670" i="2"/>
  <c r="O560" i="2"/>
  <c r="AG558" i="2"/>
  <c r="AK558" i="2" s="1"/>
  <c r="O452" i="2"/>
  <c r="AG404" i="2"/>
  <c r="AK404" i="2" s="1"/>
  <c r="AG304" i="2"/>
  <c r="AK304" i="2" s="1"/>
  <c r="O9" i="2"/>
  <c r="S9" i="2" s="1"/>
  <c r="O939" i="2"/>
  <c r="O936" i="2"/>
  <c r="AG908" i="2"/>
  <c r="AK908" i="2" s="1"/>
  <c r="AG872" i="2"/>
  <c r="AK872" i="2" s="1"/>
  <c r="AG837" i="2"/>
  <c r="AK837" i="2" s="1"/>
  <c r="O836" i="2"/>
  <c r="O832" i="2"/>
  <c r="AG770" i="2"/>
  <c r="AK770" i="2" s="1"/>
  <c r="AG735" i="2"/>
  <c r="AK735" i="2" s="1"/>
  <c r="AG687" i="2"/>
  <c r="AK687" i="2" s="1"/>
  <c r="O930" i="2"/>
  <c r="AG921" i="2"/>
  <c r="AK921" i="2" s="1"/>
  <c r="AG895" i="2"/>
  <c r="AK895" i="2" s="1"/>
  <c r="AG847" i="2"/>
  <c r="AK847" i="2" s="1"/>
  <c r="O812" i="2"/>
  <c r="O806" i="2"/>
  <c r="O769" i="2"/>
  <c r="O763" i="2"/>
  <c r="O757" i="2"/>
  <c r="O657" i="2"/>
  <c r="O646" i="2"/>
  <c r="O639" i="2"/>
  <c r="AG503" i="2"/>
  <c r="AK503" i="2" s="1"/>
  <c r="AG481" i="2"/>
  <c r="AK481" i="2" s="1"/>
  <c r="O403" i="2"/>
  <c r="AG339" i="2"/>
  <c r="AK339" i="2" s="1"/>
  <c r="O15" i="2"/>
  <c r="S15" i="2" s="1"/>
  <c r="O67" i="2"/>
  <c r="O10" i="2"/>
  <c r="S10" i="2" s="1"/>
  <c r="T10" i="2" s="1"/>
  <c r="C12" i="10" s="1"/>
  <c r="AG929" i="2"/>
  <c r="AK929" i="2" s="1"/>
  <c r="AG919" i="2"/>
  <c r="AK919" i="2" s="1"/>
  <c r="O918" i="2"/>
  <c r="AG883" i="2"/>
  <c r="AK883" i="2" s="1"/>
  <c r="O847" i="2"/>
  <c r="O830" i="2"/>
  <c r="AG791" i="2"/>
  <c r="AK791" i="2" s="1"/>
  <c r="AG788" i="2"/>
  <c r="AK788" i="2" s="1"/>
  <c r="AG438" i="2"/>
  <c r="AK438" i="2" s="1"/>
  <c r="AG386" i="2"/>
  <c r="AK386" i="2" s="1"/>
  <c r="AG357" i="2"/>
  <c r="AK357" i="2" s="1"/>
  <c r="AG867" i="2"/>
  <c r="AK867" i="2" s="1"/>
  <c r="O820" i="2"/>
  <c r="O787" i="2"/>
  <c r="AG699" i="2"/>
  <c r="AK699" i="2" s="1"/>
  <c r="O681" i="2"/>
  <c r="O565" i="2"/>
  <c r="AG550" i="2"/>
  <c r="AK550" i="2" s="1"/>
  <c r="O520" i="2"/>
  <c r="AG479" i="2"/>
  <c r="AK479" i="2" s="1"/>
  <c r="O467" i="2"/>
  <c r="O49" i="2"/>
  <c r="AG900" i="2"/>
  <c r="AK900" i="2" s="1"/>
  <c r="AG890" i="2"/>
  <c r="AK890" i="2" s="1"/>
  <c r="AG877" i="2"/>
  <c r="AK877" i="2" s="1"/>
  <c r="AG693" i="2"/>
  <c r="AK693" i="2" s="1"/>
  <c r="AG586" i="2"/>
  <c r="AK586" i="2" s="1"/>
  <c r="AG544" i="2"/>
  <c r="AK544" i="2" s="1"/>
  <c r="AG459" i="2"/>
  <c r="AK459" i="2" s="1"/>
  <c r="AG432" i="2"/>
  <c r="AK432" i="2" s="1"/>
  <c r="AG416" i="2"/>
  <c r="AK416" i="2" s="1"/>
  <c r="AG154" i="2"/>
  <c r="AK154" i="2" s="1"/>
  <c r="AG855" i="2"/>
  <c r="AK855" i="2" s="1"/>
  <c r="AG747" i="2"/>
  <c r="AK747" i="2" s="1"/>
  <c r="AG374" i="2"/>
  <c r="AK374" i="2" s="1"/>
  <c r="AG364" i="2"/>
  <c r="AK364" i="2" s="1"/>
  <c r="AG185" i="2"/>
  <c r="AK185" i="2" s="1"/>
  <c r="AG73" i="2"/>
  <c r="AK73" i="2" s="1"/>
  <c r="AF432" i="2"/>
  <c r="AG89" i="2"/>
  <c r="AK89" i="2" s="1"/>
  <c r="AG179" i="2"/>
  <c r="AK179" i="2" s="1"/>
  <c r="AG99" i="2"/>
  <c r="AK99" i="2" s="1"/>
  <c r="AF598" i="2"/>
  <c r="AG307" i="2"/>
  <c r="AK307" i="2" s="1"/>
  <c r="AG273" i="2"/>
  <c r="AK273" i="2" s="1"/>
  <c r="AF215" i="2"/>
  <c r="AG84" i="2"/>
  <c r="AK84" i="2" s="1"/>
  <c r="AG191" i="2"/>
  <c r="AK191" i="2" s="1"/>
  <c r="AF815" i="2"/>
  <c r="AF481" i="2"/>
  <c r="AG260" i="2"/>
  <c r="AK260" i="2" s="1"/>
  <c r="AG249" i="2"/>
  <c r="AK249" i="2" s="1"/>
  <c r="AF325" i="2"/>
  <c r="AG194" i="2"/>
  <c r="AK194" i="2" s="1"/>
  <c r="AF174" i="2"/>
  <c r="AF52" i="2"/>
  <c r="AG904" i="2"/>
  <c r="AK904" i="2" s="1"/>
  <c r="AF167" i="2"/>
  <c r="AG331" i="2"/>
  <c r="AK331" i="2" s="1"/>
  <c r="AG217" i="2"/>
  <c r="AK217" i="2" s="1"/>
  <c r="AF206" i="2"/>
  <c r="AG654" i="2"/>
  <c r="AK654" i="2" s="1"/>
  <c r="AG492" i="2"/>
  <c r="AK492" i="2" s="1"/>
  <c r="AF179" i="2"/>
  <c r="AG826" i="2"/>
  <c r="AK826" i="2" s="1"/>
  <c r="AG579" i="2"/>
  <c r="AK579" i="2" s="1"/>
  <c r="AG349" i="2"/>
  <c r="AK349" i="2" s="1"/>
  <c r="AG325" i="2"/>
  <c r="AK325" i="2" s="1"/>
  <c r="AF310" i="2"/>
  <c r="AF258" i="2"/>
  <c r="AG188" i="2"/>
  <c r="AK188" i="2" s="1"/>
  <c r="AG873" i="2"/>
  <c r="AK873" i="2" s="1"/>
  <c r="AF307" i="2"/>
  <c r="AF225" i="2"/>
  <c r="AG193" i="2"/>
  <c r="AK193" i="2" s="1"/>
  <c r="M579" i="2"/>
  <c r="M572" i="2"/>
  <c r="M455" i="2"/>
  <c r="M249" i="2"/>
  <c r="M196" i="2"/>
  <c r="M923" i="2"/>
  <c r="M559" i="2"/>
  <c r="M459" i="2"/>
  <c r="O730" i="2"/>
  <c r="O442" i="2"/>
  <c r="M164" i="2"/>
  <c r="M25" i="2"/>
  <c r="M920" i="2"/>
  <c r="M858" i="2"/>
  <c r="O834" i="2"/>
  <c r="M830" i="2"/>
  <c r="O547" i="2"/>
  <c r="M540" i="2"/>
  <c r="M296" i="2"/>
  <c r="O102" i="2"/>
  <c r="M102" i="2"/>
  <c r="M842" i="2"/>
  <c r="M467" i="2"/>
  <c r="O173" i="2"/>
  <c r="O99" i="2"/>
  <c r="M925" i="2"/>
  <c r="M735" i="2"/>
  <c r="O676" i="2"/>
  <c r="AO676" i="2" s="1"/>
  <c r="O69" i="2"/>
  <c r="M49" i="2"/>
  <c r="O850" i="2"/>
  <c r="O762" i="2"/>
  <c r="M686" i="2"/>
  <c r="O196" i="2"/>
  <c r="M188" i="2"/>
  <c r="M149" i="2"/>
  <c r="M73" i="2"/>
  <c r="AG936" i="2"/>
  <c r="AK936" i="2" s="1"/>
  <c r="O938" i="2"/>
  <c r="AF884" i="2"/>
  <c r="AF630" i="2"/>
  <c r="AF578" i="2"/>
  <c r="AG463" i="2"/>
  <c r="AK463" i="2" s="1"/>
  <c r="AG447" i="2"/>
  <c r="AK447" i="2" s="1"/>
  <c r="AF353" i="2"/>
  <c r="AF298" i="2"/>
  <c r="AF571" i="2"/>
  <c r="AF488" i="2"/>
  <c r="AG315" i="2"/>
  <c r="AK315" i="2" s="1"/>
  <c r="AG230" i="2"/>
  <c r="AK230" i="2" s="1"/>
  <c r="AF202" i="2"/>
  <c r="AF173" i="2"/>
  <c r="AG150" i="2"/>
  <c r="AK150" i="2" s="1"/>
  <c r="AF131" i="2"/>
  <c r="AF127" i="2"/>
  <c r="AF32" i="2"/>
  <c r="AG828" i="2"/>
  <c r="AK828" i="2" s="1"/>
  <c r="AG767" i="2"/>
  <c r="AK767" i="2" s="1"/>
  <c r="AG850" i="2"/>
  <c r="AK850" i="2" s="1"/>
  <c r="AG694" i="2"/>
  <c r="AK694" i="2" s="1"/>
  <c r="AG471" i="2"/>
  <c r="AK471" i="2" s="1"/>
  <c r="AF121" i="2"/>
  <c r="AG83" i="2"/>
  <c r="AK83" i="2" s="1"/>
  <c r="AG59" i="2"/>
  <c r="AK59" i="2" s="1"/>
  <c r="AF922" i="2"/>
  <c r="AF878" i="2"/>
  <c r="AG752" i="2"/>
  <c r="AK752" i="2" s="1"/>
  <c r="AG323" i="2"/>
  <c r="AK323" i="2" s="1"/>
  <c r="AG854" i="2"/>
  <c r="AK854" i="2" s="1"/>
  <c r="AG679" i="2"/>
  <c r="AK679" i="2" s="1"/>
  <c r="AG667" i="2"/>
  <c r="AK667" i="2" s="1"/>
  <c r="AG630" i="2"/>
  <c r="AK630" i="2" s="1"/>
  <c r="AG518" i="2"/>
  <c r="AK518" i="2" s="1"/>
  <c r="AF323" i="2"/>
  <c r="AG165" i="2"/>
  <c r="AK165" i="2" s="1"/>
  <c r="AG88" i="2"/>
  <c r="AK88" i="2" s="1"/>
  <c r="AF81" i="2"/>
  <c r="AG861" i="2"/>
  <c r="AK861" i="2" s="1"/>
  <c r="AF667" i="2"/>
  <c r="AG420" i="2"/>
  <c r="AK420" i="2" s="1"/>
  <c r="AF243" i="2"/>
  <c r="AG924" i="2"/>
  <c r="AK924" i="2" s="1"/>
  <c r="AG563" i="2"/>
  <c r="AK563" i="2" s="1"/>
  <c r="AG38" i="2"/>
  <c r="AK38" i="2" s="1"/>
  <c r="AF924" i="2"/>
  <c r="AF869" i="2"/>
  <c r="AG555" i="2"/>
  <c r="AK555" i="2" s="1"/>
  <c r="AF96" i="2"/>
  <c r="AG599" i="2"/>
  <c r="AK599" i="2" s="1"/>
  <c r="AG457" i="2"/>
  <c r="AK457" i="2" s="1"/>
  <c r="AF429" i="2"/>
  <c r="AG405" i="2"/>
  <c r="AK405" i="2" s="1"/>
  <c r="AF154" i="2"/>
  <c r="M705" i="2"/>
  <c r="O608" i="2"/>
  <c r="M330" i="2"/>
  <c r="O172" i="2"/>
  <c r="O131" i="2"/>
  <c r="M93" i="2"/>
  <c r="O85" i="2"/>
  <c r="O84" i="2"/>
  <c r="O35" i="2"/>
  <c r="O802" i="2"/>
  <c r="M761" i="2"/>
  <c r="O686" i="2"/>
  <c r="M657" i="2"/>
  <c r="M627" i="2"/>
  <c r="M439" i="2"/>
  <c r="M348" i="2"/>
  <c r="M248" i="2"/>
  <c r="M167" i="2"/>
  <c r="M116" i="2"/>
  <c r="O901" i="2"/>
  <c r="M890" i="2"/>
  <c r="M703" i="2"/>
  <c r="M670" i="2"/>
  <c r="O511" i="2"/>
  <c r="O478" i="2"/>
  <c r="M473" i="2"/>
  <c r="M461" i="2"/>
  <c r="M385" i="2"/>
  <c r="M377" i="2"/>
  <c r="M69" i="2"/>
  <c r="M194" i="2"/>
  <c r="M212" i="2"/>
  <c r="M408" i="2"/>
  <c r="O304" i="2"/>
  <c r="O235" i="2"/>
  <c r="O147" i="2"/>
  <c r="M92" i="2"/>
  <c r="O868" i="2"/>
  <c r="O705" i="2"/>
  <c r="M213" i="2"/>
  <c r="O209" i="2"/>
  <c r="M191" i="2"/>
  <c r="M847" i="2"/>
  <c r="O558" i="2"/>
  <c r="M520" i="2"/>
  <c r="M502" i="2"/>
  <c r="M495" i="2"/>
  <c r="M34" i="2"/>
  <c r="AF694" i="2"/>
  <c r="AF628" i="2"/>
  <c r="AG529" i="2"/>
  <c r="AK529" i="2" s="1"/>
  <c r="AG424" i="2"/>
  <c r="AK424" i="2" s="1"/>
  <c r="AF414" i="2"/>
  <c r="AG409" i="2"/>
  <c r="AK409" i="2" s="1"/>
  <c r="AG402" i="2"/>
  <c r="AK402" i="2" s="1"/>
  <c r="AG367" i="2"/>
  <c r="AK367" i="2" s="1"/>
  <c r="AF349" i="2"/>
  <c r="AF273" i="2"/>
  <c r="AF261" i="2"/>
  <c r="AF217" i="2"/>
  <c r="AG925" i="2"/>
  <c r="AK925" i="2" s="1"/>
  <c r="AG695" i="2"/>
  <c r="AK695" i="2" s="1"/>
  <c r="AF648" i="2"/>
  <c r="AG603" i="2"/>
  <c r="AK603" i="2" s="1"/>
  <c r="AF590" i="2"/>
  <c r="AG476" i="2"/>
  <c r="AK476" i="2" s="1"/>
  <c r="AF402" i="2"/>
  <c r="AG314" i="2"/>
  <c r="AK314" i="2" s="1"/>
  <c r="AG306" i="2"/>
  <c r="AK306" i="2" s="1"/>
  <c r="AF226" i="2"/>
  <c r="AF212" i="2"/>
  <c r="AG196" i="2"/>
  <c r="AK196" i="2" s="1"/>
  <c r="AF187" i="2"/>
  <c r="AG140" i="2"/>
  <c r="AK140" i="2" s="1"/>
  <c r="AG112" i="2"/>
  <c r="AK112" i="2" s="1"/>
  <c r="AG87" i="2"/>
  <c r="AK87" i="2" s="1"/>
  <c r="AF69" i="2"/>
  <c r="AG782" i="2"/>
  <c r="AK782" i="2" s="1"/>
  <c r="AG722" i="2"/>
  <c r="AK722" i="2" s="1"/>
  <c r="AG455" i="2"/>
  <c r="AK455" i="2" s="1"/>
  <c r="AG406" i="2"/>
  <c r="AK406" i="2" s="1"/>
  <c r="AG378" i="2"/>
  <c r="AK378" i="2" s="1"/>
  <c r="AG371" i="2"/>
  <c r="AK371" i="2" s="1"/>
  <c r="AF331" i="2"/>
  <c r="AG312" i="2"/>
  <c r="AK312" i="2" s="1"/>
  <c r="AF282" i="2"/>
  <c r="AG256" i="2"/>
  <c r="AK256" i="2" s="1"/>
  <c r="AG200" i="2"/>
  <c r="AK200" i="2" s="1"/>
  <c r="AG93" i="2"/>
  <c r="AK93" i="2" s="1"/>
  <c r="AF87" i="2"/>
  <c r="AF938" i="2"/>
  <c r="AG913" i="2"/>
  <c r="AK913" i="2" s="1"/>
  <c r="AF888" i="2"/>
  <c r="AG758" i="2"/>
  <c r="AK758" i="2" s="1"/>
  <c r="AG637" i="2"/>
  <c r="AK637" i="2" s="1"/>
  <c r="AG554" i="2"/>
  <c r="AK554" i="2" s="1"/>
  <c r="AG510" i="2"/>
  <c r="AK510" i="2" s="1"/>
  <c r="AF456" i="2"/>
  <c r="AF312" i="2"/>
  <c r="AG292" i="2"/>
  <c r="AK292" i="2" s="1"/>
  <c r="AF275" i="2"/>
  <c r="AG56" i="2"/>
  <c r="AK56" i="2" s="1"/>
  <c r="AF584" i="2"/>
  <c r="AF446" i="2"/>
  <c r="AG379" i="2"/>
  <c r="AK379" i="2" s="1"/>
  <c r="AF352" i="2"/>
  <c r="AG234" i="2"/>
  <c r="AK234" i="2" s="1"/>
  <c r="AG209" i="2"/>
  <c r="AK209" i="2" s="1"/>
  <c r="AF56" i="2"/>
  <c r="AG55" i="2"/>
  <c r="AK55" i="2" s="1"/>
  <c r="AG46" i="2"/>
  <c r="AK46" i="2" s="1"/>
  <c r="AF155" i="2"/>
  <c r="AG804" i="2"/>
  <c r="AK804" i="2" s="1"/>
  <c r="AG773" i="2"/>
  <c r="AK773" i="2" s="1"/>
  <c r="AF732" i="2"/>
  <c r="AF605" i="2"/>
  <c r="AG534" i="2"/>
  <c r="AK534" i="2" s="1"/>
  <c r="AF516" i="2"/>
  <c r="AG286" i="2"/>
  <c r="AK286" i="2" s="1"/>
  <c r="AG250" i="2"/>
  <c r="AK250" i="2" s="1"/>
  <c r="AG818" i="2"/>
  <c r="AK818" i="2" s="1"/>
  <c r="AF793" i="2"/>
  <c r="AF771" i="2"/>
  <c r="AF393" i="2"/>
  <c r="AF182" i="2"/>
  <c r="AF95" i="2"/>
  <c r="AF812" i="2"/>
  <c r="AG619" i="2"/>
  <c r="AK619" i="2" s="1"/>
  <c r="AG606" i="2"/>
  <c r="AK606" i="2" s="1"/>
  <c r="AG577" i="2"/>
  <c r="AK577" i="2" s="1"/>
  <c r="AG571" i="2"/>
  <c r="AK571" i="2" s="1"/>
  <c r="AG535" i="2"/>
  <c r="AK535" i="2" s="1"/>
  <c r="AF521" i="2"/>
  <c r="AG470" i="2"/>
  <c r="AK470" i="2" s="1"/>
  <c r="AG356" i="2"/>
  <c r="AK356" i="2" s="1"/>
  <c r="AG310" i="2"/>
  <c r="AK310" i="2" s="1"/>
  <c r="AF306" i="2"/>
  <c r="AG294" i="2"/>
  <c r="AK294" i="2" s="1"/>
  <c r="AF265" i="2"/>
  <c r="AF148" i="2"/>
  <c r="AF126" i="2"/>
  <c r="AF930" i="2"/>
  <c r="AF931" i="2"/>
  <c r="AG935" i="2"/>
  <c r="AK935" i="2" s="1"/>
  <c r="AG932" i="2"/>
  <c r="AK932" i="2" s="1"/>
  <c r="AF933" i="2"/>
  <c r="AG934" i="2"/>
  <c r="AK934" i="2" s="1"/>
  <c r="AG933" i="2"/>
  <c r="AK933" i="2" s="1"/>
  <c r="O932" i="2"/>
  <c r="O920" i="2"/>
  <c r="O919" i="2"/>
  <c r="M848" i="2"/>
  <c r="M755" i="2"/>
  <c r="M584" i="2"/>
  <c r="M535" i="2"/>
  <c r="O79" i="2"/>
  <c r="M79" i="2"/>
  <c r="O921" i="2"/>
  <c r="M919" i="2"/>
  <c r="M918" i="2"/>
  <c r="O858" i="2"/>
  <c r="O756" i="2"/>
  <c r="M740" i="2"/>
  <c r="M700" i="2"/>
  <c r="O658" i="2"/>
  <c r="M658" i="2"/>
  <c r="M438" i="2"/>
  <c r="O438" i="2"/>
  <c r="M389" i="2"/>
  <c r="M31" i="2"/>
  <c r="O440" i="2"/>
  <c r="M256" i="2"/>
  <c r="M712" i="2"/>
  <c r="O63" i="2"/>
  <c r="O752" i="2"/>
  <c r="O708" i="2"/>
  <c r="M573" i="2"/>
  <c r="M926" i="2"/>
  <c r="O902" i="2"/>
  <c r="O835" i="2"/>
  <c r="M822" i="2"/>
  <c r="M507" i="2"/>
  <c r="M41" i="2"/>
  <c r="M163" i="2"/>
  <c r="M36" i="2"/>
  <c r="O897" i="2"/>
  <c r="M793" i="2"/>
  <c r="M660" i="2"/>
  <c r="M548" i="2"/>
  <c r="O548" i="2"/>
  <c r="O497" i="2"/>
  <c r="M644" i="2"/>
  <c r="M621" i="2"/>
  <c r="M530" i="2"/>
  <c r="M319" i="2"/>
  <c r="M133" i="2"/>
  <c r="O133" i="2"/>
  <c r="O27" i="2"/>
  <c r="M748" i="2"/>
  <c r="M731" i="2"/>
  <c r="O724" i="2"/>
  <c r="M699" i="2"/>
  <c r="O699" i="2"/>
  <c r="M629" i="2"/>
  <c r="M373" i="2"/>
  <c r="M292" i="2"/>
  <c r="M250" i="2"/>
  <c r="O59" i="2"/>
  <c r="M729" i="2"/>
  <c r="O908" i="2"/>
  <c r="O846" i="2"/>
  <c r="M814" i="2"/>
  <c r="O755" i="2"/>
  <c r="O690" i="2"/>
  <c r="M384" i="2"/>
  <c r="M267" i="2"/>
  <c r="O502" i="2"/>
  <c r="O249" i="2"/>
  <c r="M147" i="2"/>
  <c r="O107" i="2"/>
  <c r="O73" i="2"/>
  <c r="M67" i="2"/>
  <c r="O268" i="2"/>
  <c r="O248" i="2"/>
  <c r="O213" i="2"/>
  <c r="O148" i="2"/>
  <c r="O155" i="2"/>
  <c r="O740" i="2"/>
  <c r="O709" i="2"/>
  <c r="O489" i="2"/>
  <c r="O471" i="2"/>
  <c r="O460" i="2"/>
  <c r="M200" i="2"/>
  <c r="M118" i="2"/>
  <c r="M94" i="2"/>
  <c r="M681" i="2"/>
  <c r="M676" i="2"/>
  <c r="M664" i="2"/>
  <c r="O660" i="2"/>
  <c r="M623" i="2"/>
  <c r="O513" i="2"/>
  <c r="O590" i="2"/>
  <c r="M560" i="2"/>
  <c r="M513" i="2"/>
  <c r="M466" i="2"/>
  <c r="M381" i="2"/>
  <c r="M366" i="2"/>
  <c r="O236" i="2"/>
  <c r="O215" i="2"/>
  <c r="O184" i="2"/>
  <c r="O185" i="2"/>
  <c r="M105" i="2"/>
  <c r="O55" i="2"/>
  <c r="O678" i="2"/>
  <c r="O474" i="2"/>
  <c r="M453" i="2"/>
  <c r="O443" i="2"/>
  <c r="O387" i="2"/>
  <c r="O352" i="2"/>
  <c r="M723" i="2"/>
  <c r="O693" i="2"/>
  <c r="M618" i="2"/>
  <c r="O510" i="2"/>
  <c r="O456" i="2"/>
  <c r="O454" i="2"/>
  <c r="M333" i="2"/>
  <c r="O272" i="2"/>
  <c r="M152" i="2"/>
  <c r="O146" i="2"/>
  <c r="O668" i="2"/>
  <c r="O572" i="2"/>
  <c r="O388" i="2"/>
  <c r="O255" i="2"/>
  <c r="M254" i="2"/>
  <c r="M146" i="2"/>
  <c r="M50" i="2"/>
  <c r="O702" i="2"/>
  <c r="O696" i="2"/>
  <c r="M694" i="2"/>
  <c r="M693" i="2"/>
  <c r="M543" i="2"/>
  <c r="M506" i="2"/>
  <c r="O439" i="2"/>
  <c r="O329" i="2"/>
  <c r="AG734" i="2"/>
  <c r="AK734" i="2" s="1"/>
  <c r="AG703" i="2"/>
  <c r="AK703" i="2" s="1"/>
  <c r="AG691" i="2"/>
  <c r="AK691" i="2" s="1"/>
  <c r="AF617" i="2"/>
  <c r="AF616" i="2"/>
  <c r="AG597" i="2"/>
  <c r="AK597" i="2" s="1"/>
  <c r="AG436" i="2"/>
  <c r="AK436" i="2" s="1"/>
  <c r="AG350" i="2"/>
  <c r="AK350" i="2" s="1"/>
  <c r="AG287" i="2"/>
  <c r="AK287" i="2" s="1"/>
  <c r="AG240" i="2"/>
  <c r="AK240" i="2" s="1"/>
  <c r="AG232" i="2"/>
  <c r="AK232" i="2" s="1"/>
  <c r="AG229" i="2"/>
  <c r="AK229" i="2" s="1"/>
  <c r="AG221" i="2"/>
  <c r="AK221" i="2" s="1"/>
  <c r="AG190" i="2"/>
  <c r="AK190" i="2" s="1"/>
  <c r="AG137" i="2"/>
  <c r="AK137" i="2" s="1"/>
  <c r="AG130" i="2"/>
  <c r="AK130" i="2" s="1"/>
  <c r="AG124" i="2"/>
  <c r="AK124" i="2" s="1"/>
  <c r="AG848" i="2"/>
  <c r="AK848" i="2" s="1"/>
  <c r="AG829" i="2"/>
  <c r="AK829" i="2" s="1"/>
  <c r="AG737" i="2"/>
  <c r="AK737" i="2" s="1"/>
  <c r="AG612" i="2"/>
  <c r="AK612" i="2" s="1"/>
  <c r="AF606" i="2"/>
  <c r="AF554" i="2"/>
  <c r="AF544" i="2"/>
  <c r="AG491" i="2"/>
  <c r="AK491" i="2" s="1"/>
  <c r="AG399" i="2"/>
  <c r="AK399" i="2" s="1"/>
  <c r="AF378" i="2"/>
  <c r="AG372" i="2"/>
  <c r="AK372" i="2" s="1"/>
  <c r="AG336" i="2"/>
  <c r="AK336" i="2" s="1"/>
  <c r="AG298" i="2"/>
  <c r="AK298" i="2" s="1"/>
  <c r="AG274" i="2"/>
  <c r="AK274" i="2" s="1"/>
  <c r="AF270" i="2"/>
  <c r="AG254" i="2"/>
  <c r="AK254" i="2" s="1"/>
  <c r="AG236" i="2"/>
  <c r="AK236" i="2" s="1"/>
  <c r="AG233" i="2"/>
  <c r="AK233" i="2" s="1"/>
  <c r="AF229" i="2"/>
  <c r="AG216" i="2"/>
  <c r="AK216" i="2" s="1"/>
  <c r="AG158" i="2"/>
  <c r="AK158" i="2" s="1"/>
  <c r="AG145" i="2"/>
  <c r="AK145" i="2" s="1"/>
  <c r="AG138" i="2"/>
  <c r="AK138" i="2" s="1"/>
  <c r="AG80" i="2"/>
  <c r="AK80" i="2" s="1"/>
  <c r="AG79" i="2"/>
  <c r="AK79" i="2" s="1"/>
  <c r="AF920" i="2"/>
  <c r="AG912" i="2"/>
  <c r="AK912" i="2" s="1"/>
  <c r="AG862" i="2"/>
  <c r="AK862" i="2" s="1"/>
  <c r="AG857" i="2"/>
  <c r="AK857" i="2" s="1"/>
  <c r="AF848" i="2"/>
  <c r="AF829" i="2"/>
  <c r="AF748" i="2"/>
  <c r="AF742" i="2"/>
  <c r="AF737" i="2"/>
  <c r="AF491" i="2"/>
  <c r="AF420" i="2"/>
  <c r="AF372" i="2"/>
  <c r="AF336" i="2"/>
  <c r="AG277" i="2"/>
  <c r="AK277" i="2" s="1"/>
  <c r="AG242" i="2"/>
  <c r="AK242" i="2" s="1"/>
  <c r="AF241" i="2"/>
  <c r="AF196" i="2"/>
  <c r="AG187" i="2"/>
  <c r="AK187" i="2" s="1"/>
  <c r="AG172" i="2"/>
  <c r="AK172" i="2" s="1"/>
  <c r="AF158" i="2"/>
  <c r="AG81" i="2"/>
  <c r="AK81" i="2" s="1"/>
  <c r="AF80" i="2"/>
  <c r="AG50" i="2"/>
  <c r="AK50" i="2" s="1"/>
  <c r="AF26" i="2"/>
  <c r="AG16" i="2"/>
  <c r="AK16" i="2" s="1"/>
  <c r="AG889" i="2"/>
  <c r="AK889" i="2" s="1"/>
  <c r="AG880" i="2"/>
  <c r="AK880" i="2" s="1"/>
  <c r="AG805" i="2"/>
  <c r="AK805" i="2" s="1"/>
  <c r="AF775" i="2"/>
  <c r="AG769" i="2"/>
  <c r="AK769" i="2" s="1"/>
  <c r="AG644" i="2"/>
  <c r="AK644" i="2" s="1"/>
  <c r="AG633" i="2"/>
  <c r="AK633" i="2" s="1"/>
  <c r="AF608" i="2"/>
  <c r="AG451" i="2"/>
  <c r="AK451" i="2" s="1"/>
  <c r="AG443" i="2"/>
  <c r="AK443" i="2" s="1"/>
  <c r="AG418" i="2"/>
  <c r="AK418" i="2" s="1"/>
  <c r="AG377" i="2"/>
  <c r="AK377" i="2" s="1"/>
  <c r="AG281" i="2"/>
  <c r="AK281" i="2" s="1"/>
  <c r="AG160" i="2"/>
  <c r="AK160" i="2" s="1"/>
  <c r="AG103" i="2"/>
  <c r="AK103" i="2" s="1"/>
  <c r="AG51" i="2"/>
  <c r="AK51" i="2" s="1"/>
  <c r="AF50" i="2"/>
  <c r="AG860" i="2"/>
  <c r="AK860" i="2" s="1"/>
  <c r="AG827" i="2"/>
  <c r="AK827" i="2" s="1"/>
  <c r="AG817" i="2"/>
  <c r="AK817" i="2" s="1"/>
  <c r="AF769" i="2"/>
  <c r="AG743" i="2"/>
  <c r="AK743" i="2" s="1"/>
  <c r="AG713" i="2"/>
  <c r="AK713" i="2" s="1"/>
  <c r="AG712" i="2"/>
  <c r="AK712" i="2" s="1"/>
  <c r="AG524" i="2"/>
  <c r="AK524" i="2" s="1"/>
  <c r="AG493" i="2"/>
  <c r="AK493" i="2" s="1"/>
  <c r="AF451" i="2"/>
  <c r="AG363" i="2"/>
  <c r="AK363" i="2" s="1"/>
  <c r="AG235" i="2"/>
  <c r="AK235" i="2" s="1"/>
  <c r="AF211" i="2"/>
  <c r="AF149" i="2"/>
  <c r="AG148" i="2"/>
  <c r="AK148" i="2" s="1"/>
  <c r="AG133" i="2"/>
  <c r="AK133" i="2" s="1"/>
  <c r="AG82" i="2"/>
  <c r="AK82" i="2" s="1"/>
  <c r="AF51" i="2"/>
  <c r="AG37" i="2"/>
  <c r="AK37" i="2" s="1"/>
  <c r="AG901" i="2"/>
  <c r="AK901" i="2" s="1"/>
  <c r="AF837" i="2"/>
  <c r="AF733" i="2"/>
  <c r="AF713" i="2"/>
  <c r="AF712" i="2"/>
  <c r="AF634" i="2"/>
  <c r="AG564" i="2"/>
  <c r="AK564" i="2" s="1"/>
  <c r="AG521" i="2"/>
  <c r="AK521" i="2" s="1"/>
  <c r="AG494" i="2"/>
  <c r="AK494" i="2" s="1"/>
  <c r="AF486" i="2"/>
  <c r="AF435" i="2"/>
  <c r="AF416" i="2"/>
  <c r="AG798" i="2"/>
  <c r="AK798" i="2" s="1"/>
  <c r="AG596" i="2"/>
  <c r="AK596" i="2" s="1"/>
  <c r="AG515" i="2"/>
  <c r="AK515" i="2" s="1"/>
  <c r="AG359" i="2"/>
  <c r="AK359" i="2" s="1"/>
  <c r="AG321" i="2"/>
  <c r="AK321" i="2" s="1"/>
  <c r="AG285" i="2"/>
  <c r="AK285" i="2" s="1"/>
  <c r="AF142" i="2"/>
  <c r="AG118" i="2"/>
  <c r="AK118" i="2" s="1"/>
  <c r="AG86" i="2"/>
  <c r="AK86" i="2" s="1"/>
  <c r="AG85" i="2"/>
  <c r="AK85" i="2" s="1"/>
  <c r="AF38" i="2"/>
  <c r="AG875" i="2"/>
  <c r="AK875" i="2" s="1"/>
  <c r="AG856" i="2"/>
  <c r="AK856" i="2" s="1"/>
  <c r="AF851" i="2"/>
  <c r="AF824" i="2"/>
  <c r="AG765" i="2"/>
  <c r="AK765" i="2" s="1"/>
  <c r="AG742" i="2"/>
  <c r="AK742" i="2" s="1"/>
  <c r="AF695" i="2"/>
  <c r="AG635" i="2"/>
  <c r="AK635" i="2" s="1"/>
  <c r="AF515" i="2"/>
  <c r="AG482" i="2"/>
  <c r="AK482" i="2" s="1"/>
  <c r="AF462" i="2"/>
  <c r="AF387" i="2"/>
  <c r="AF359" i="2"/>
  <c r="AG358" i="2"/>
  <c r="AK358" i="2" s="1"/>
  <c r="AF321" i="2"/>
  <c r="AG291" i="2"/>
  <c r="AK291" i="2" s="1"/>
  <c r="AF221" i="2"/>
  <c r="AG117" i="2"/>
  <c r="AK117" i="2" s="1"/>
  <c r="AF86" i="2"/>
  <c r="AG894" i="2"/>
  <c r="AK894" i="2" s="1"/>
  <c r="AG892" i="2"/>
  <c r="AK892" i="2" s="1"/>
  <c r="AG813" i="2"/>
  <c r="AK813" i="2" s="1"/>
  <c r="AG749" i="2"/>
  <c r="AK749" i="2" s="1"/>
  <c r="AG677" i="2"/>
  <c r="AK677" i="2" s="1"/>
  <c r="AG676" i="2"/>
  <c r="AK676" i="2" s="1"/>
  <c r="AG673" i="2"/>
  <c r="AK673" i="2" s="1"/>
  <c r="AG560" i="2"/>
  <c r="AK560" i="2" s="1"/>
  <c r="AG421" i="2"/>
  <c r="AK421" i="2" s="1"/>
  <c r="AG391" i="2"/>
  <c r="AK391" i="2" s="1"/>
  <c r="AG308" i="2"/>
  <c r="AK308" i="2" s="1"/>
  <c r="AG280" i="2"/>
  <c r="AK280" i="2" s="1"/>
  <c r="AG244" i="2"/>
  <c r="AK244" i="2" s="1"/>
  <c r="AG220" i="2"/>
  <c r="AK220" i="2" s="1"/>
  <c r="AG211" i="2"/>
  <c r="AK211" i="2" s="1"/>
  <c r="AG208" i="2"/>
  <c r="AK208" i="2" s="1"/>
  <c r="AF40" i="2"/>
  <c r="AF900" i="2"/>
  <c r="AF894" i="2"/>
  <c r="AF839" i="2"/>
  <c r="AF827" i="2"/>
  <c r="AG683" i="2"/>
  <c r="AK683" i="2" s="1"/>
  <c r="AF677" i="2"/>
  <c r="AF676" i="2"/>
  <c r="AG609" i="2"/>
  <c r="AK609" i="2" s="1"/>
  <c r="AF559" i="2"/>
  <c r="AF558" i="2"/>
  <c r="AG505" i="2"/>
  <c r="AK505" i="2" s="1"/>
  <c r="AG501" i="2"/>
  <c r="AK501" i="2" s="1"/>
  <c r="AF469" i="2"/>
  <c r="AG448" i="2"/>
  <c r="AK448" i="2" s="1"/>
  <c r="AF440" i="2"/>
  <c r="AF412" i="2"/>
  <c r="AG205" i="2"/>
  <c r="AK205" i="2" s="1"/>
  <c r="AF185" i="2"/>
  <c r="AG170" i="2"/>
  <c r="AK170" i="2" s="1"/>
  <c r="AG149" i="2"/>
  <c r="AK149" i="2" s="1"/>
  <c r="AG120" i="2"/>
  <c r="AK120" i="2" s="1"/>
  <c r="AG95" i="2"/>
  <c r="AK95" i="2" s="1"/>
  <c r="M711" i="2"/>
  <c r="O487" i="2"/>
  <c r="M106" i="2"/>
  <c r="O106" i="2"/>
  <c r="M907" i="2"/>
  <c r="M894" i="2"/>
  <c r="M880" i="2"/>
  <c r="M839" i="2"/>
  <c r="M832" i="2"/>
  <c r="M789" i="2"/>
  <c r="M788" i="2"/>
  <c r="M787" i="2"/>
  <c r="M739" i="2"/>
  <c r="M662" i="2"/>
  <c r="M610" i="2"/>
  <c r="O610" i="2"/>
  <c r="O310" i="2"/>
  <c r="M137" i="2"/>
  <c r="O896" i="2"/>
  <c r="O679" i="2"/>
  <c r="M393" i="2"/>
  <c r="M143" i="2"/>
  <c r="M597" i="2"/>
  <c r="O929" i="2"/>
  <c r="O889" i="2"/>
  <c r="O866" i="2"/>
  <c r="O860" i="2"/>
  <c r="M903" i="2"/>
  <c r="M859" i="2"/>
  <c r="M841" i="2"/>
  <c r="M764" i="2"/>
  <c r="O746" i="2"/>
  <c r="O729" i="2"/>
  <c r="M680" i="2"/>
  <c r="M675" i="2"/>
  <c r="O619" i="2"/>
  <c r="O618" i="2"/>
  <c r="O616" i="2"/>
  <c r="M553" i="2"/>
  <c r="M896" i="2"/>
  <c r="M860" i="2"/>
  <c r="M821" i="2"/>
  <c r="O797" i="2"/>
  <c r="M752" i="2"/>
  <c r="M719" i="2"/>
  <c r="M679" i="2"/>
  <c r="O280" i="2"/>
  <c r="M61" i="2"/>
  <c r="O61" i="2"/>
  <c r="O640" i="2"/>
  <c r="M325" i="2"/>
  <c r="O735" i="2"/>
  <c r="M578" i="2"/>
  <c r="O577" i="2"/>
  <c r="M378" i="2"/>
  <c r="M326" i="2"/>
  <c r="O206" i="2"/>
  <c r="M90" i="2"/>
  <c r="M932" i="2"/>
  <c r="O869" i="2"/>
  <c r="M836" i="2"/>
  <c r="O793" i="2"/>
  <c r="O785" i="2"/>
  <c r="O761" i="2"/>
  <c r="M697" i="2"/>
  <c r="M113" i="2"/>
  <c r="O911" i="2"/>
  <c r="O899" i="2"/>
  <c r="O871" i="2"/>
  <c r="M863" i="2"/>
  <c r="O855" i="2"/>
  <c r="O854" i="2"/>
  <c r="M824" i="2"/>
  <c r="M806" i="2"/>
  <c r="M519" i="2"/>
  <c r="M159" i="2"/>
  <c r="M91" i="2"/>
  <c r="O913" i="2"/>
  <c r="O878" i="2"/>
  <c r="O829" i="2"/>
  <c r="M444" i="2"/>
  <c r="M415" i="2"/>
  <c r="O914" i="2"/>
  <c r="M936" i="2"/>
  <c r="O927" i="2"/>
  <c r="O887" i="2"/>
  <c r="M871" i="2"/>
  <c r="M856" i="2"/>
  <c r="O848" i="2"/>
  <c r="O838" i="2"/>
  <c r="O831" i="2"/>
  <c r="M774" i="2"/>
  <c r="M757" i="2"/>
  <c r="O744" i="2"/>
  <c r="M445" i="2"/>
  <c r="O445" i="2"/>
  <c r="M357" i="2"/>
  <c r="M332" i="2"/>
  <c r="M161" i="2"/>
  <c r="M914" i="2"/>
  <c r="O880" i="2"/>
  <c r="M878" i="2"/>
  <c r="O849" i="2"/>
  <c r="M829" i="2"/>
  <c r="M812" i="2"/>
  <c r="O738" i="2"/>
  <c r="M101" i="2"/>
  <c r="O101" i="2"/>
  <c r="O533" i="2"/>
  <c r="O433" i="2"/>
  <c r="O372" i="2"/>
  <c r="O261" i="2"/>
  <c r="O212" i="2"/>
  <c r="O56" i="2"/>
  <c r="O637" i="2"/>
  <c r="O622" i="2"/>
  <c r="M533" i="2"/>
  <c r="M514" i="2"/>
  <c r="O504" i="2"/>
  <c r="M457" i="2"/>
  <c r="O389" i="2"/>
  <c r="M388" i="2"/>
  <c r="O381" i="2"/>
  <c r="M372" i="2"/>
  <c r="M371" i="2"/>
  <c r="O319" i="2"/>
  <c r="O292" i="2"/>
  <c r="O194" i="2"/>
  <c r="O182" i="2"/>
  <c r="M176" i="2"/>
  <c r="M639" i="2"/>
  <c r="M637" i="2"/>
  <c r="M631" i="2"/>
  <c r="O516" i="2"/>
  <c r="O505" i="2"/>
  <c r="O109" i="2"/>
  <c r="O614" i="2"/>
  <c r="O588" i="2"/>
  <c r="O587" i="2"/>
  <c r="M460" i="2"/>
  <c r="M382" i="2"/>
  <c r="M367" i="2"/>
  <c r="M285" i="2"/>
  <c r="M215" i="2"/>
  <c r="M185" i="2"/>
  <c r="O30" i="2"/>
  <c r="O484" i="2"/>
  <c r="O135" i="2"/>
  <c r="M588" i="2"/>
  <c r="O537" i="2"/>
  <c r="O525" i="2"/>
  <c r="O493" i="2"/>
  <c r="M412" i="2"/>
  <c r="M391" i="2"/>
  <c r="M352" i="2"/>
  <c r="O330" i="2"/>
  <c r="M329" i="2"/>
  <c r="O231" i="2"/>
  <c r="O123" i="2"/>
  <c r="M86" i="2"/>
  <c r="M75" i="2"/>
  <c r="M44" i="2"/>
  <c r="M485" i="2"/>
  <c r="O469" i="2"/>
  <c r="O384" i="2"/>
  <c r="O179" i="2"/>
  <c r="M135" i="2"/>
  <c r="M111" i="2"/>
  <c r="M59" i="2"/>
  <c r="O32" i="2"/>
  <c r="M537" i="2"/>
  <c r="O289" i="2"/>
  <c r="O282" i="2"/>
  <c r="O126" i="2"/>
  <c r="O364" i="2"/>
  <c r="M282" i="2"/>
  <c r="O171" i="2"/>
  <c r="O159" i="2"/>
  <c r="M128" i="2"/>
  <c r="M32" i="2"/>
  <c r="O370" i="2"/>
  <c r="AG20" i="2"/>
  <c r="AK20" i="2" s="1"/>
  <c r="M20" i="2"/>
  <c r="O16" i="2"/>
  <c r="M14" i="2"/>
  <c r="AF861" i="2"/>
  <c r="AF860" i="2"/>
  <c r="AF857" i="2"/>
  <c r="AF856" i="2"/>
  <c r="AG830" i="2"/>
  <c r="AK830" i="2" s="1"/>
  <c r="AF817" i="2"/>
  <c r="AG815" i="2"/>
  <c r="AK815" i="2" s="1"/>
  <c r="AG814" i="2"/>
  <c r="AK814" i="2" s="1"/>
  <c r="AG806" i="2"/>
  <c r="AK806" i="2" s="1"/>
  <c r="AF765" i="2"/>
  <c r="AF747" i="2"/>
  <c r="AF738" i="2"/>
  <c r="AF721" i="2"/>
  <c r="AG710" i="2"/>
  <c r="AK710" i="2" s="1"/>
  <c r="AG709" i="2"/>
  <c r="AK709" i="2" s="1"/>
  <c r="AF689" i="2"/>
  <c r="AF688" i="2"/>
  <c r="AG674" i="2"/>
  <c r="AK674" i="2" s="1"/>
  <c r="AF653" i="2"/>
  <c r="AG602" i="2"/>
  <c r="AK602" i="2" s="1"/>
  <c r="AG591" i="2"/>
  <c r="AK591" i="2" s="1"/>
  <c r="AF569" i="2"/>
  <c r="AG567" i="2"/>
  <c r="AK567" i="2" s="1"/>
  <c r="AF542" i="2"/>
  <c r="AF504" i="2"/>
  <c r="AF492" i="2"/>
  <c r="AF480" i="2"/>
  <c r="AG412" i="2"/>
  <c r="AK412" i="2" s="1"/>
  <c r="AF395" i="2"/>
  <c r="AF377" i="2"/>
  <c r="AG330" i="2"/>
  <c r="AK330" i="2" s="1"/>
  <c r="AF304" i="2"/>
  <c r="AF287" i="2"/>
  <c r="AF266" i="2"/>
  <c r="AG918" i="2"/>
  <c r="AK918" i="2" s="1"/>
  <c r="AG796" i="2"/>
  <c r="AK796" i="2" s="1"/>
  <c r="AG783" i="2"/>
  <c r="AK783" i="2" s="1"/>
  <c r="AG682" i="2"/>
  <c r="AK682" i="2" s="1"/>
  <c r="AG620" i="2"/>
  <c r="AK620" i="2" s="1"/>
  <c r="AG580" i="2"/>
  <c r="AK580" i="2" s="1"/>
  <c r="AF580" i="2"/>
  <c r="AG557" i="2"/>
  <c r="AK557" i="2" s="1"/>
  <c r="AG468" i="2"/>
  <c r="AK468" i="2" s="1"/>
  <c r="AG467" i="2"/>
  <c r="AK467" i="2" s="1"/>
  <c r="AG396" i="2"/>
  <c r="AK396" i="2" s="1"/>
  <c r="AF360" i="2"/>
  <c r="AF255" i="2"/>
  <c r="AF227" i="2"/>
  <c r="AG853" i="2"/>
  <c r="AK853" i="2" s="1"/>
  <c r="AG784" i="2"/>
  <c r="AK784" i="2" s="1"/>
  <c r="AF926" i="2"/>
  <c r="AF918" i="2"/>
  <c r="AF916" i="2"/>
  <c r="AF904" i="2"/>
  <c r="AF892" i="2"/>
  <c r="AG869" i="2"/>
  <c r="AK869" i="2" s="1"/>
  <c r="AF853" i="2"/>
  <c r="AG836" i="2"/>
  <c r="AK836" i="2" s="1"/>
  <c r="AF833" i="2"/>
  <c r="AG816" i="2"/>
  <c r="AK816" i="2" s="1"/>
  <c r="AG801" i="2"/>
  <c r="AK801" i="2" s="1"/>
  <c r="AG800" i="2"/>
  <c r="AK800" i="2" s="1"/>
  <c r="AG797" i="2"/>
  <c r="AK797" i="2" s="1"/>
  <c r="AF796" i="2"/>
  <c r="AG785" i="2"/>
  <c r="AK785" i="2" s="1"/>
  <c r="AF784" i="2"/>
  <c r="AF783" i="2"/>
  <c r="AG772" i="2"/>
  <c r="AK772" i="2" s="1"/>
  <c r="AG754" i="2"/>
  <c r="AK754" i="2" s="1"/>
  <c r="AG698" i="2"/>
  <c r="AK698" i="2" s="1"/>
  <c r="AG697" i="2"/>
  <c r="AK697" i="2" s="1"/>
  <c r="AF683" i="2"/>
  <c r="AF682" i="2"/>
  <c r="AG661" i="2"/>
  <c r="AK661" i="2" s="1"/>
  <c r="AG660" i="2"/>
  <c r="AK660" i="2" s="1"/>
  <c r="AG659" i="2"/>
  <c r="AK659" i="2" s="1"/>
  <c r="AG658" i="2"/>
  <c r="AK658" i="2" s="1"/>
  <c r="AG656" i="2"/>
  <c r="AK656" i="2" s="1"/>
  <c r="AG655" i="2"/>
  <c r="AK655" i="2" s="1"/>
  <c r="AF620" i="2"/>
  <c r="AF581" i="2"/>
  <c r="AG559" i="2"/>
  <c r="AK559" i="2" s="1"/>
  <c r="AF557" i="2"/>
  <c r="AG549" i="2"/>
  <c r="AK549" i="2" s="1"/>
  <c r="AG531" i="2"/>
  <c r="AK531" i="2" s="1"/>
  <c r="AF512" i="2"/>
  <c r="AG495" i="2"/>
  <c r="AK495" i="2" s="1"/>
  <c r="AG469" i="2"/>
  <c r="AK469" i="2" s="1"/>
  <c r="AF468" i="2"/>
  <c r="AF467" i="2"/>
  <c r="AG465" i="2"/>
  <c r="AK465" i="2" s="1"/>
  <c r="AG464" i="2"/>
  <c r="AK464" i="2" s="1"/>
  <c r="AF424" i="2"/>
  <c r="AF396" i="2"/>
  <c r="AF379" i="2"/>
  <c r="AF369" i="2"/>
  <c r="AF337" i="2"/>
  <c r="AG313" i="2"/>
  <c r="AK313" i="2" s="1"/>
  <c r="AF256" i="2"/>
  <c r="AG878" i="2"/>
  <c r="AK878" i="2" s="1"/>
  <c r="AF876" i="2"/>
  <c r="AF836" i="2"/>
  <c r="AF803" i="2"/>
  <c r="AF800" i="2"/>
  <c r="AG730" i="2"/>
  <c r="AK730" i="2" s="1"/>
  <c r="AG707" i="2"/>
  <c r="AK707" i="2" s="1"/>
  <c r="AG706" i="2"/>
  <c r="AK706" i="2" s="1"/>
  <c r="AG662" i="2"/>
  <c r="AK662" i="2" s="1"/>
  <c r="AF660" i="2"/>
  <c r="AF659" i="2"/>
  <c r="AF658" i="2"/>
  <c r="AF655" i="2"/>
  <c r="AG640" i="2"/>
  <c r="AK640" i="2" s="1"/>
  <c r="AG497" i="2"/>
  <c r="AK497" i="2" s="1"/>
  <c r="AF485" i="2"/>
  <c r="AG473" i="2"/>
  <c r="AK473" i="2" s="1"/>
  <c r="AF464" i="2"/>
  <c r="AF397" i="2"/>
  <c r="AF361" i="2"/>
  <c r="AF319" i="2"/>
  <c r="AF316" i="2"/>
  <c r="AG290" i="2"/>
  <c r="AK290" i="2" s="1"/>
  <c r="AF707" i="2"/>
  <c r="AF706" i="2"/>
  <c r="AG646" i="2"/>
  <c r="AK646" i="2" s="1"/>
  <c r="AF640" i="2"/>
  <c r="AG623" i="2"/>
  <c r="AK623" i="2" s="1"/>
  <c r="AG565" i="2"/>
  <c r="AK565" i="2" s="1"/>
  <c r="AF536" i="2"/>
  <c r="AG527" i="2"/>
  <c r="AK527" i="2" s="1"/>
  <c r="AF497" i="2"/>
  <c r="AF483" i="2"/>
  <c r="AG483" i="2"/>
  <c r="AK483" i="2" s="1"/>
  <c r="AF474" i="2"/>
  <c r="AF473" i="2"/>
  <c r="AF427" i="2"/>
  <c r="AG380" i="2"/>
  <c r="AK380" i="2" s="1"/>
  <c r="AF318" i="2"/>
  <c r="AG317" i="2"/>
  <c r="AK317" i="2" s="1"/>
  <c r="AF300" i="2"/>
  <c r="AF290" i="2"/>
  <c r="AF289" i="2"/>
  <c r="AF237" i="2"/>
  <c r="AG906" i="2"/>
  <c r="AK906" i="2" s="1"/>
  <c r="AG865" i="2"/>
  <c r="AK865" i="2" s="1"/>
  <c r="AG841" i="2"/>
  <c r="AK841" i="2" s="1"/>
  <c r="AG789" i="2"/>
  <c r="AK789" i="2" s="1"/>
  <c r="AG751" i="2"/>
  <c r="AK751" i="2" s="1"/>
  <c r="AG647" i="2"/>
  <c r="AK647" i="2" s="1"/>
  <c r="AG642" i="2"/>
  <c r="AK642" i="2" s="1"/>
  <c r="AF537" i="2"/>
  <c r="AF328" i="2"/>
  <c r="AF223" i="2"/>
  <c r="AG223" i="2"/>
  <c r="AK223" i="2" s="1"/>
  <c r="AG885" i="2"/>
  <c r="AK885" i="2" s="1"/>
  <c r="AG930" i="2"/>
  <c r="AK930" i="2" s="1"/>
  <c r="AF908" i="2"/>
  <c r="AF906" i="2"/>
  <c r="AF896" i="2"/>
  <c r="AF885" i="2"/>
  <c r="AG824" i="2"/>
  <c r="AK824" i="2" s="1"/>
  <c r="AG812" i="2"/>
  <c r="AK812" i="2" s="1"/>
  <c r="AF790" i="2"/>
  <c r="AG761" i="2"/>
  <c r="AK761" i="2" s="1"/>
  <c r="AF751" i="2"/>
  <c r="AG738" i="2"/>
  <c r="AK738" i="2" s="1"/>
  <c r="AG733" i="2"/>
  <c r="AK733" i="2" s="1"/>
  <c r="AF664" i="2"/>
  <c r="AF647" i="2"/>
  <c r="AG584" i="2"/>
  <c r="AK584" i="2" s="1"/>
  <c r="AG566" i="2"/>
  <c r="AK566" i="2" s="1"/>
  <c r="AF487" i="2"/>
  <c r="AG487" i="2"/>
  <c r="AK487" i="2" s="1"/>
  <c r="AG475" i="2"/>
  <c r="AK475" i="2" s="1"/>
  <c r="AG439" i="2"/>
  <c r="AK439" i="2" s="1"/>
  <c r="AG435" i="2"/>
  <c r="AK435" i="2" s="1"/>
  <c r="AG429" i="2"/>
  <c r="AK429" i="2" s="1"/>
  <c r="AG398" i="2"/>
  <c r="AK398" i="2" s="1"/>
  <c r="AF390" i="2"/>
  <c r="AG390" i="2"/>
  <c r="AK390" i="2" s="1"/>
  <c r="AG362" i="2"/>
  <c r="AK362" i="2" s="1"/>
  <c r="AG353" i="2"/>
  <c r="AK353" i="2" s="1"/>
  <c r="AF330" i="2"/>
  <c r="AG329" i="2"/>
  <c r="AK329" i="2" s="1"/>
  <c r="AF301" i="2"/>
  <c r="AF292" i="2"/>
  <c r="AF238" i="2"/>
  <c r="AF499" i="2"/>
  <c r="AG499" i="2"/>
  <c r="AK499" i="2" s="1"/>
  <c r="AF453" i="2"/>
  <c r="AF247" i="2"/>
  <c r="AG939" i="2"/>
  <c r="AK939" i="2" s="1"/>
  <c r="AG916" i="2"/>
  <c r="AK916" i="2" s="1"/>
  <c r="AG803" i="2"/>
  <c r="AK803" i="2" s="1"/>
  <c r="AG802" i="2"/>
  <c r="AK802" i="2" s="1"/>
  <c r="AG778" i="2"/>
  <c r="AK778" i="2" s="1"/>
  <c r="AG718" i="2"/>
  <c r="AK718" i="2" s="1"/>
  <c r="AG715" i="2"/>
  <c r="AK715" i="2" s="1"/>
  <c r="AG671" i="2"/>
  <c r="AK671" i="2" s="1"/>
  <c r="AG626" i="2"/>
  <c r="AK626" i="2" s="1"/>
  <c r="AG594" i="2"/>
  <c r="AK594" i="2" s="1"/>
  <c r="AG593" i="2"/>
  <c r="AK593" i="2" s="1"/>
  <c r="AF575" i="2"/>
  <c r="AG548" i="2"/>
  <c r="AK548" i="2" s="1"/>
  <c r="AG530" i="2"/>
  <c r="AK530" i="2" s="1"/>
  <c r="AG509" i="2"/>
  <c r="AK509" i="2" s="1"/>
  <c r="AF489" i="2"/>
  <c r="AG489" i="2"/>
  <c r="AK489" i="2" s="1"/>
  <c r="AG441" i="2"/>
  <c r="AK441" i="2" s="1"/>
  <c r="AG431" i="2"/>
  <c r="AK431" i="2" s="1"/>
  <c r="AG400" i="2"/>
  <c r="AK400" i="2" s="1"/>
  <c r="AG397" i="2"/>
  <c r="AK397" i="2" s="1"/>
  <c r="AG392" i="2"/>
  <c r="AK392" i="2" s="1"/>
  <c r="AF392" i="2"/>
  <c r="AG361" i="2"/>
  <c r="AK361" i="2" s="1"/>
  <c r="AF340" i="2"/>
  <c r="AG340" i="2"/>
  <c r="AK340" i="2" s="1"/>
  <c r="AG316" i="2"/>
  <c r="AK316" i="2" s="1"/>
  <c r="AG300" i="2"/>
  <c r="AK300" i="2" s="1"/>
  <c r="AF295" i="2"/>
  <c r="AF294" i="2"/>
  <c r="AF203" i="2"/>
  <c r="AG881" i="2"/>
  <c r="AK881" i="2" s="1"/>
  <c r="AG842" i="2"/>
  <c r="AK842" i="2" s="1"/>
  <c r="AG839" i="2"/>
  <c r="AK839" i="2" s="1"/>
  <c r="AG838" i="2"/>
  <c r="AK838" i="2" s="1"/>
  <c r="AF778" i="2"/>
  <c r="AF772" i="2"/>
  <c r="AF754" i="2"/>
  <c r="AG729" i="2"/>
  <c r="AK729" i="2" s="1"/>
  <c r="AG701" i="2"/>
  <c r="AK701" i="2" s="1"/>
  <c r="AG700" i="2"/>
  <c r="AK700" i="2" s="1"/>
  <c r="AF671" i="2"/>
  <c r="AG670" i="2"/>
  <c r="AK670" i="2" s="1"/>
  <c r="AG668" i="2"/>
  <c r="AK668" i="2" s="1"/>
  <c r="AG666" i="2"/>
  <c r="AK666" i="2" s="1"/>
  <c r="AG639" i="2"/>
  <c r="AK639" i="2" s="1"/>
  <c r="AG629" i="2"/>
  <c r="AK629" i="2" s="1"/>
  <c r="AG613" i="2"/>
  <c r="AK613" i="2" s="1"/>
  <c r="AG595" i="2"/>
  <c r="AK595" i="2" s="1"/>
  <c r="AF594" i="2"/>
  <c r="AG592" i="2"/>
  <c r="AK592" i="2" s="1"/>
  <c r="AG589" i="2"/>
  <c r="AK589" i="2" s="1"/>
  <c r="AF549" i="2"/>
  <c r="AF548" i="2"/>
  <c r="AG540" i="2"/>
  <c r="AK540" i="2" s="1"/>
  <c r="AF510" i="2"/>
  <c r="AF509" i="2"/>
  <c r="AG500" i="2"/>
  <c r="AK500" i="2" s="1"/>
  <c r="AF459" i="2"/>
  <c r="AG445" i="2"/>
  <c r="AK445" i="2" s="1"/>
  <c r="AF441" i="2"/>
  <c r="AF413" i="2"/>
  <c r="AF400" i="2"/>
  <c r="AG366" i="2"/>
  <c r="AK366" i="2" s="1"/>
  <c r="AG365" i="2"/>
  <c r="AK365" i="2" s="1"/>
  <c r="AF322" i="2"/>
  <c r="AF313" i="2"/>
  <c r="AF268" i="2"/>
  <c r="AF267" i="2"/>
  <c r="AG264" i="2"/>
  <c r="AK264" i="2" s="1"/>
  <c r="AG237" i="2"/>
  <c r="AK237" i="2" s="1"/>
  <c r="AG866" i="2"/>
  <c r="AK866" i="2" s="1"/>
  <c r="AG779" i="2"/>
  <c r="AK779" i="2" s="1"/>
  <c r="AG755" i="2"/>
  <c r="AK755" i="2" s="1"/>
  <c r="AF701" i="2"/>
  <c r="AF700" i="2"/>
  <c r="AF670" i="2"/>
  <c r="AG638" i="2"/>
  <c r="AK638" i="2" s="1"/>
  <c r="AF629" i="2"/>
  <c r="AG608" i="2"/>
  <c r="AK608" i="2" s="1"/>
  <c r="AF595" i="2"/>
  <c r="AG572" i="2"/>
  <c r="AK572" i="2" s="1"/>
  <c r="AG537" i="2"/>
  <c r="AK537" i="2" s="1"/>
  <c r="AF477" i="2"/>
  <c r="AG477" i="2"/>
  <c r="AK477" i="2" s="1"/>
  <c r="AG401" i="2"/>
  <c r="AK401" i="2" s="1"/>
  <c r="AF386" i="2"/>
  <c r="AF366" i="2"/>
  <c r="AF365" i="2"/>
  <c r="AF364" i="2"/>
  <c r="AF348" i="2"/>
  <c r="AG348" i="2"/>
  <c r="AK348" i="2" s="1"/>
  <c r="AF347" i="2"/>
  <c r="AF303" i="2"/>
  <c r="AF269" i="2"/>
  <c r="AF264" i="2"/>
  <c r="AG790" i="2"/>
  <c r="AK790" i="2" s="1"/>
  <c r="AG760" i="2"/>
  <c r="AK760" i="2" s="1"/>
  <c r="AG689" i="2"/>
  <c r="AK689" i="2" s="1"/>
  <c r="AG688" i="2"/>
  <c r="AK688" i="2" s="1"/>
  <c r="AG685" i="2"/>
  <c r="AK685" i="2" s="1"/>
  <c r="AG653" i="2"/>
  <c r="AK653" i="2" s="1"/>
  <c r="AG643" i="2"/>
  <c r="AK643" i="2" s="1"/>
  <c r="AF576" i="2"/>
  <c r="AG546" i="2"/>
  <c r="AK546" i="2" s="1"/>
  <c r="AF503" i="2"/>
  <c r="AF479" i="2"/>
  <c r="AG461" i="2"/>
  <c r="AK461" i="2" s="1"/>
  <c r="AG452" i="2"/>
  <c r="AK452" i="2" s="1"/>
  <c r="AG422" i="2"/>
  <c r="AK422" i="2" s="1"/>
  <c r="AG394" i="2"/>
  <c r="AK394" i="2" s="1"/>
  <c r="AF376" i="2"/>
  <c r="AF367" i="2"/>
  <c r="AF314" i="2"/>
  <c r="AG284" i="2"/>
  <c r="AK284" i="2" s="1"/>
  <c r="AG583" i="2"/>
  <c r="AK583" i="2" s="1"/>
  <c r="AG570" i="2"/>
  <c r="AK570" i="2" s="1"/>
  <c r="AG561" i="2"/>
  <c r="AK561" i="2" s="1"/>
  <c r="AG456" i="2"/>
  <c r="AK456" i="2" s="1"/>
  <c r="AG426" i="2"/>
  <c r="AK426" i="2" s="1"/>
  <c r="AG415" i="2"/>
  <c r="AK415" i="2" s="1"/>
  <c r="AG407" i="2"/>
  <c r="AK407" i="2" s="1"/>
  <c r="AF389" i="2"/>
  <c r="AG383" i="2"/>
  <c r="AK383" i="2" s="1"/>
  <c r="AF375" i="2"/>
  <c r="AG227" i="2"/>
  <c r="AK227" i="2" s="1"/>
  <c r="AF214" i="2"/>
  <c r="AF175" i="2"/>
  <c r="AF134" i="2"/>
  <c r="AF97" i="2"/>
  <c r="AF92" i="2"/>
  <c r="AF88" i="2"/>
  <c r="AG71" i="2"/>
  <c r="AK71" i="2" s="1"/>
  <c r="AG433" i="2"/>
  <c r="AK433" i="2" s="1"/>
  <c r="AG296" i="2"/>
  <c r="AK296" i="2" s="1"/>
  <c r="AG231" i="2"/>
  <c r="AK231" i="2" s="1"/>
  <c r="AG202" i="2"/>
  <c r="AK202" i="2" s="1"/>
  <c r="AG197" i="2"/>
  <c r="AK197" i="2" s="1"/>
  <c r="AG161" i="2"/>
  <c r="AK161" i="2" s="1"/>
  <c r="AG136" i="2"/>
  <c r="AK136" i="2" s="1"/>
  <c r="AG132" i="2"/>
  <c r="AK132" i="2" s="1"/>
  <c r="AG63" i="2"/>
  <c r="AK63" i="2" s="1"/>
  <c r="AG62" i="2"/>
  <c r="AK62" i="2" s="1"/>
  <c r="AG573" i="2"/>
  <c r="AK573" i="2" s="1"/>
  <c r="AG543" i="2"/>
  <c r="AK543" i="2" s="1"/>
  <c r="AG542" i="2"/>
  <c r="AK542" i="2" s="1"/>
  <c r="AG523" i="2"/>
  <c r="AK523" i="2" s="1"/>
  <c r="AG403" i="2"/>
  <c r="AK403" i="2" s="1"/>
  <c r="AG384" i="2"/>
  <c r="AK384" i="2" s="1"/>
  <c r="AG373" i="2"/>
  <c r="AK373" i="2" s="1"/>
  <c r="AG344" i="2"/>
  <c r="AK344" i="2" s="1"/>
  <c r="AG324" i="2"/>
  <c r="AK324" i="2" s="1"/>
  <c r="AG272" i="2"/>
  <c r="AK272" i="2" s="1"/>
  <c r="AG266" i="2"/>
  <c r="AK266" i="2" s="1"/>
  <c r="AG248" i="2"/>
  <c r="AK248" i="2" s="1"/>
  <c r="AF235" i="2"/>
  <c r="AF220" i="2"/>
  <c r="AF219" i="2"/>
  <c r="AF190" i="2"/>
  <c r="AG182" i="2"/>
  <c r="AK182" i="2" s="1"/>
  <c r="AF130" i="2"/>
  <c r="AG127" i="2"/>
  <c r="AK127" i="2" s="1"/>
  <c r="AG121" i="2"/>
  <c r="AK121" i="2" s="1"/>
  <c r="AG119" i="2"/>
  <c r="AK119" i="2" s="1"/>
  <c r="AF63" i="2"/>
  <c r="AF62" i="2"/>
  <c r="AG47" i="2"/>
  <c r="AK47" i="2" s="1"/>
  <c r="AG32" i="2"/>
  <c r="AK32" i="2" s="1"/>
  <c r="AG28" i="2"/>
  <c r="AK28" i="2" s="1"/>
  <c r="AG206" i="2"/>
  <c r="AK206" i="2" s="1"/>
  <c r="AG199" i="2"/>
  <c r="AK199" i="2" s="1"/>
  <c r="AG167" i="2"/>
  <c r="AK167" i="2" s="1"/>
  <c r="AG151" i="2"/>
  <c r="AK151" i="2" s="1"/>
  <c r="AG75" i="2"/>
  <c r="AK75" i="2" s="1"/>
  <c r="AF199" i="2"/>
  <c r="AG184" i="2"/>
  <c r="AK184" i="2" s="1"/>
  <c r="AG173" i="2"/>
  <c r="AK173" i="2" s="1"/>
  <c r="AG152" i="2"/>
  <c r="AK152" i="2" s="1"/>
  <c r="AF151" i="2"/>
  <c r="AG115" i="2"/>
  <c r="AK115" i="2" s="1"/>
  <c r="AG102" i="2"/>
  <c r="AK102" i="2" s="1"/>
  <c r="AF101" i="2"/>
  <c r="AG100" i="2"/>
  <c r="AK100" i="2" s="1"/>
  <c r="AF75" i="2"/>
  <c r="AG74" i="2"/>
  <c r="AK74" i="2" s="1"/>
  <c r="AG69" i="2"/>
  <c r="AK69" i="2" s="1"/>
  <c r="AG26" i="2"/>
  <c r="AK26" i="2" s="1"/>
  <c r="AG8" i="2"/>
  <c r="AK8" i="2" s="1"/>
  <c r="AF107" i="2"/>
  <c r="AF74" i="2"/>
  <c r="AG5" i="2"/>
  <c r="AK5" i="2" s="1"/>
  <c r="AL5" i="2" s="1"/>
  <c r="AG110" i="2"/>
  <c r="AK110" i="2" s="1"/>
  <c r="AG106" i="2"/>
  <c r="AK106" i="2" s="1"/>
  <c r="AG68" i="2"/>
  <c r="AK68" i="2" s="1"/>
  <c r="AG44" i="2"/>
  <c r="AK44" i="2" s="1"/>
  <c r="AF181" i="2"/>
  <c r="AF163" i="2"/>
  <c r="AF162" i="2"/>
  <c r="AF110" i="2"/>
  <c r="AF105" i="2"/>
  <c r="AF77" i="2"/>
  <c r="AF68" i="2"/>
  <c r="AF45" i="2"/>
  <c r="AF44" i="2"/>
  <c r="AG43" i="2"/>
  <c r="AK43" i="2" s="1"/>
  <c r="AG36" i="2"/>
  <c r="AK36" i="2" s="1"/>
  <c r="AG141" i="2"/>
  <c r="AK141" i="2" s="1"/>
  <c r="AG70" i="2"/>
  <c r="AK70" i="2" s="1"/>
  <c r="AG319" i="2"/>
  <c r="AK319" i="2" s="1"/>
  <c r="AG318" i="2"/>
  <c r="AK318" i="2" s="1"/>
  <c r="AG268" i="2"/>
  <c r="AK268" i="2" s="1"/>
  <c r="AG262" i="2"/>
  <c r="AK262" i="2" s="1"/>
  <c r="AG261" i="2"/>
  <c r="AK261" i="2" s="1"/>
  <c r="AG238" i="2"/>
  <c r="AK238" i="2" s="1"/>
  <c r="AG225" i="2"/>
  <c r="AK225" i="2" s="1"/>
  <c r="AG155" i="2"/>
  <c r="AK155" i="2" s="1"/>
  <c r="AG144" i="2"/>
  <c r="AK144" i="2" s="1"/>
  <c r="AG143" i="2"/>
  <c r="AK143" i="2" s="1"/>
  <c r="O941" i="2"/>
  <c r="O937" i="2"/>
  <c r="M910" i="2"/>
  <c r="M908" i="2"/>
  <c r="O907" i="2"/>
  <c r="M902" i="2"/>
  <c r="M898" i="2"/>
  <c r="O870" i="2"/>
  <c r="M845" i="2"/>
  <c r="M833" i="2"/>
  <c r="O817" i="2"/>
  <c r="M797" i="2"/>
  <c r="O795" i="2"/>
  <c r="O788" i="2"/>
  <c r="O786" i="2"/>
  <c r="M769" i="2"/>
  <c r="M762" i="2"/>
  <c r="O760" i="2"/>
  <c r="O759" i="2"/>
  <c r="O758" i="2"/>
  <c r="M744" i="2"/>
  <c r="O743" i="2"/>
  <c r="O739" i="2"/>
  <c r="M720" i="2"/>
  <c r="O688" i="2"/>
  <c r="O673" i="2"/>
  <c r="O672" i="2"/>
  <c r="M576" i="2"/>
  <c r="O561" i="2"/>
  <c r="O555" i="2"/>
  <c r="M491" i="2"/>
  <c r="M489" i="2"/>
  <c r="O472" i="2"/>
  <c r="O462" i="2"/>
  <c r="O895" i="2"/>
  <c r="O853" i="2"/>
  <c r="AO853" i="2" s="1"/>
  <c r="O826" i="2"/>
  <c r="O805" i="2"/>
  <c r="O768" i="2"/>
  <c r="O767" i="2"/>
  <c r="O754" i="2"/>
  <c r="O725" i="2"/>
  <c r="O718" i="2"/>
  <c r="O712" i="2"/>
  <c r="O687" i="2"/>
  <c r="M656" i="2"/>
  <c r="O656" i="2"/>
  <c r="O597" i="2"/>
  <c r="O553" i="2"/>
  <c r="M539" i="2"/>
  <c r="O514" i="2"/>
  <c r="AO514" i="2" s="1"/>
  <c r="O495" i="2"/>
  <c r="O475" i="2"/>
  <c r="M451" i="2"/>
  <c r="M941" i="2"/>
  <c r="M905" i="2"/>
  <c r="M895" i="2"/>
  <c r="O892" i="2"/>
  <c r="O890" i="2"/>
  <c r="O877" i="2"/>
  <c r="M870" i="2"/>
  <c r="O852" i="2"/>
  <c r="O841" i="2"/>
  <c r="M817" i="2"/>
  <c r="M816" i="2"/>
  <c r="M815" i="2"/>
  <c r="M795" i="2"/>
  <c r="M794" i="2"/>
  <c r="M786" i="2"/>
  <c r="M765" i="2"/>
  <c r="M760" i="2"/>
  <c r="M759" i="2"/>
  <c r="M758" i="2"/>
  <c r="M743" i="2"/>
  <c r="O733" i="2"/>
  <c r="M732" i="2"/>
  <c r="M725" i="2"/>
  <c r="O723" i="2"/>
  <c r="M721" i="2"/>
  <c r="O717" i="2"/>
  <c r="O715" i="2"/>
  <c r="O711" i="2"/>
  <c r="M688" i="2"/>
  <c r="O684" i="2"/>
  <c r="M673" i="2"/>
  <c r="M672" i="2"/>
  <c r="O600" i="2"/>
  <c r="O595" i="2"/>
  <c r="O594" i="2"/>
  <c r="M567" i="2"/>
  <c r="O564" i="2"/>
  <c r="O543" i="2"/>
  <c r="M541" i="2"/>
  <c r="O540" i="2"/>
  <c r="M472" i="2"/>
  <c r="M419" i="2"/>
  <c r="O407" i="2"/>
  <c r="AO407" i="2" s="1"/>
  <c r="M906" i="2"/>
  <c r="M893" i="2"/>
  <c r="M891" i="2"/>
  <c r="M867" i="2"/>
  <c r="M853" i="2"/>
  <c r="M826" i="2"/>
  <c r="M805" i="2"/>
  <c r="M803" i="2"/>
  <c r="M768" i="2"/>
  <c r="M767" i="2"/>
  <c r="M754" i="2"/>
  <c r="M733" i="2"/>
  <c r="O727" i="2"/>
  <c r="M726" i="2"/>
  <c r="M717" i="2"/>
  <c r="M716" i="2"/>
  <c r="M710" i="2"/>
  <c r="O706" i="2"/>
  <c r="M687" i="2"/>
  <c r="O682" i="2"/>
  <c r="O669" i="2"/>
  <c r="O663" i="2"/>
  <c r="M594" i="2"/>
  <c r="M565" i="2"/>
  <c r="M554" i="2"/>
  <c r="O522" i="2"/>
  <c r="O496" i="2"/>
  <c r="O477" i="2"/>
  <c r="M476" i="2"/>
  <c r="M464" i="2"/>
  <c r="O464" i="2"/>
  <c r="M407" i="2"/>
  <c r="O935" i="2"/>
  <c r="O933" i="2"/>
  <c r="M886" i="2"/>
  <c r="O875" i="2"/>
  <c r="M869" i="2"/>
  <c r="M849" i="2"/>
  <c r="M785" i="2"/>
  <c r="M784" i="2"/>
  <c r="O783" i="2"/>
  <c r="O777" i="2"/>
  <c r="O776" i="2"/>
  <c r="M751" i="2"/>
  <c r="O750" i="2"/>
  <c r="O749" i="2"/>
  <c r="O700" i="2"/>
  <c r="O680" i="2"/>
  <c r="M663" i="2"/>
  <c r="O623" i="2"/>
  <c r="M525" i="2"/>
  <c r="O420" i="2"/>
  <c r="O409" i="2"/>
  <c r="O934" i="2"/>
  <c r="O885" i="2"/>
  <c r="O883" i="2"/>
  <c r="O865" i="2"/>
  <c r="O864" i="2"/>
  <c r="O862" i="2"/>
  <c r="O823" i="2"/>
  <c r="O811" i="2"/>
  <c r="O792" i="2"/>
  <c r="O791" i="2"/>
  <c r="O780" i="2"/>
  <c r="M641" i="2"/>
  <c r="O633" i="2"/>
  <c r="O625" i="2"/>
  <c r="M526" i="2"/>
  <c r="M500" i="2"/>
  <c r="M874" i="2"/>
  <c r="O873" i="2"/>
  <c r="O872" i="2"/>
  <c r="O861" i="2"/>
  <c r="M857" i="2"/>
  <c r="O856" i="2"/>
  <c r="O819" i="2"/>
  <c r="O818" i="2"/>
  <c r="O810" i="2"/>
  <c r="O807" i="2"/>
  <c r="M800" i="2"/>
  <c r="O799" i="2"/>
  <c r="M783" i="2"/>
  <c r="M775" i="2"/>
  <c r="O770" i="2"/>
  <c r="M749" i="2"/>
  <c r="M645" i="2"/>
  <c r="O645" i="2"/>
  <c r="O635" i="2"/>
  <c r="M630" i="2"/>
  <c r="O617" i="2"/>
  <c r="O528" i="2"/>
  <c r="M346" i="2"/>
  <c r="M865" i="2"/>
  <c r="M820" i="2"/>
  <c r="M808" i="2"/>
  <c r="M807" i="2"/>
  <c r="M791" i="2"/>
  <c r="O790" i="2"/>
  <c r="O779" i="2"/>
  <c r="O650" i="2"/>
  <c r="O636" i="2"/>
  <c r="M635" i="2"/>
  <c r="M633" i="2"/>
  <c r="M625" i="2"/>
  <c r="O613" i="2"/>
  <c r="M585" i="2"/>
  <c r="O581" i="2"/>
  <c r="M549" i="2"/>
  <c r="M531" i="2"/>
  <c r="O529" i="2"/>
  <c r="M442" i="2"/>
  <c r="M809" i="2"/>
  <c r="M779" i="2"/>
  <c r="M773" i="2"/>
  <c r="M747" i="2"/>
  <c r="M609" i="2"/>
  <c r="O609" i="2"/>
  <c r="M606" i="2"/>
  <c r="M605" i="2"/>
  <c r="O575" i="2"/>
  <c r="O530" i="2"/>
  <c r="M508" i="2"/>
  <c r="M651" i="2"/>
  <c r="O651" i="2"/>
  <c r="M551" i="2"/>
  <c r="M458" i="2"/>
  <c r="O490" i="2"/>
  <c r="O601" i="2"/>
  <c r="O559" i="2"/>
  <c r="O465" i="2"/>
  <c r="O448" i="2"/>
  <c r="M447" i="2"/>
  <c r="O431" i="2"/>
  <c r="O430" i="2"/>
  <c r="O426" i="2"/>
  <c r="M399" i="2"/>
  <c r="O397" i="2"/>
  <c r="O395" i="2"/>
  <c r="M387" i="2"/>
  <c r="O295" i="2"/>
  <c r="M294" i="2"/>
  <c r="M274" i="2"/>
  <c r="M272" i="2"/>
  <c r="M262" i="2"/>
  <c r="O262" i="2"/>
  <c r="M261" i="2"/>
  <c r="M203" i="2"/>
  <c r="M175" i="2"/>
  <c r="O519" i="2"/>
  <c r="O507" i="2"/>
  <c r="O501" i="2"/>
  <c r="O483" i="2"/>
  <c r="O425" i="2"/>
  <c r="O415" i="2"/>
  <c r="O394" i="2"/>
  <c r="O350" i="2"/>
  <c r="M297" i="2"/>
  <c r="O297" i="2"/>
  <c r="M275" i="2"/>
  <c r="M265" i="2"/>
  <c r="O265" i="2"/>
  <c r="M223" i="2"/>
  <c r="O223" i="2"/>
  <c r="M154" i="2"/>
  <c r="O154" i="2"/>
  <c r="O644" i="2"/>
  <c r="O603" i="2"/>
  <c r="O499" i="2"/>
  <c r="O463" i="2"/>
  <c r="O450" i="2"/>
  <c r="O429" i="2"/>
  <c r="O424" i="2"/>
  <c r="O417" i="2"/>
  <c r="O396" i="2"/>
  <c r="O390" i="2"/>
  <c r="O277" i="2"/>
  <c r="M276" i="2"/>
  <c r="O260" i="2"/>
  <c r="O256" i="2"/>
  <c r="M142" i="2"/>
  <c r="O142" i="2"/>
  <c r="M497" i="2"/>
  <c r="O451" i="2"/>
  <c r="M414" i="2"/>
  <c r="M405" i="2"/>
  <c r="M403" i="2"/>
  <c r="O402" i="2"/>
  <c r="M394" i="2"/>
  <c r="O344" i="2"/>
  <c r="O342" i="2"/>
  <c r="M266" i="2"/>
  <c r="O266" i="2"/>
  <c r="M228" i="2"/>
  <c r="M402" i="2"/>
  <c r="M277" i="2"/>
  <c r="M260" i="2"/>
  <c r="M301" i="2"/>
  <c r="M278" i="2"/>
  <c r="O346" i="2"/>
  <c r="M302" i="2"/>
  <c r="O283" i="2"/>
  <c r="O229" i="2"/>
  <c r="M234" i="2"/>
  <c r="M232" i="2"/>
  <c r="O378" i="2"/>
  <c r="O375" i="2"/>
  <c r="O306" i="2"/>
  <c r="M218" i="2"/>
  <c r="O190" i="2"/>
  <c r="M376" i="2"/>
  <c r="M375" i="2"/>
  <c r="M365" i="2"/>
  <c r="M360" i="2"/>
  <c r="O355" i="2"/>
  <c r="O335" i="2"/>
  <c r="O311" i="2"/>
  <c r="O305" i="2"/>
  <c r="M290" i="2"/>
  <c r="M288" i="2"/>
  <c r="M237" i="2"/>
  <c r="M219" i="2"/>
  <c r="M197" i="2"/>
  <c r="O197" i="2"/>
  <c r="M151" i="2"/>
  <c r="M383" i="2"/>
  <c r="M354" i="2"/>
  <c r="M293" i="2"/>
  <c r="O271" i="2"/>
  <c r="M238" i="2"/>
  <c r="M220" i="2"/>
  <c r="O153" i="2"/>
  <c r="M141" i="2"/>
  <c r="M255" i="2"/>
  <c r="M206" i="2"/>
  <c r="M182" i="2"/>
  <c r="M170" i="2"/>
  <c r="O130" i="2"/>
  <c r="O90" i="2"/>
  <c r="O37" i="2"/>
  <c r="M23" i="2"/>
  <c r="O323" i="2"/>
  <c r="O222" i="2"/>
  <c r="O108" i="2"/>
  <c r="O86" i="2"/>
  <c r="O25" i="2"/>
  <c r="O24" i="2"/>
  <c r="O219" i="2"/>
  <c r="O152" i="2"/>
  <c r="O137" i="2"/>
  <c r="M130" i="2"/>
  <c r="M124" i="2"/>
  <c r="M108" i="2"/>
  <c r="O48" i="2"/>
  <c r="O44" i="2"/>
  <c r="O40" i="2"/>
  <c r="M37" i="2"/>
  <c r="M24" i="2"/>
  <c r="M48" i="2"/>
  <c r="M40" i="2"/>
  <c r="O151" i="2"/>
  <c r="O120" i="2"/>
  <c r="O64" i="2"/>
  <c r="O36" i="2"/>
  <c r="O31" i="2"/>
  <c r="M99" i="2"/>
  <c r="M81" i="2"/>
  <c r="O52" i="2"/>
  <c r="O43" i="2"/>
  <c r="O62" i="2"/>
  <c r="O19" i="2"/>
  <c r="O163" i="2"/>
  <c r="O115" i="2"/>
  <c r="O66" i="2"/>
  <c r="M52" i="2"/>
  <c r="O114" i="2"/>
  <c r="O112" i="2"/>
  <c r="AG6" i="2"/>
  <c r="AK6" i="2" s="1"/>
  <c r="AL6" i="2" s="1"/>
  <c r="M19" i="2"/>
  <c r="O12" i="2"/>
  <c r="S12" i="2" s="1"/>
  <c r="T12" i="2" s="1"/>
  <c r="C14" i="10" s="1"/>
  <c r="M22" i="2"/>
  <c r="O13" i="2"/>
  <c r="S13" i="2" s="1"/>
  <c r="T13" i="2" s="1"/>
  <c r="C15" i="10" s="1"/>
  <c r="AF20" i="2"/>
  <c r="AG18" i="2"/>
  <c r="AK18" i="2" s="1"/>
  <c r="AF8" i="2"/>
  <c r="AF10" i="2"/>
  <c r="AG14" i="2"/>
  <c r="AK14" i="2" s="1"/>
  <c r="AF14" i="2"/>
  <c r="AG15" i="2"/>
  <c r="AK15" i="2" s="1"/>
  <c r="O18" i="2"/>
  <c r="O7" i="2"/>
  <c r="S7" i="2" s="1"/>
  <c r="T7" i="2" s="1"/>
  <c r="C9" i="10" s="1"/>
  <c r="O20" i="2"/>
  <c r="M8" i="2"/>
  <c r="O5" i="2"/>
  <c r="S5" i="2" s="1"/>
  <c r="O22" i="2"/>
  <c r="M778" i="2"/>
  <c r="O778" i="2"/>
  <c r="M938" i="2"/>
  <c r="M931" i="2"/>
  <c r="O912" i="2"/>
  <c r="M912" i="2"/>
  <c r="AF897" i="2"/>
  <c r="AG897" i="2"/>
  <c r="AK897" i="2" s="1"/>
  <c r="AG893" i="2"/>
  <c r="AK893" i="2" s="1"/>
  <c r="O893" i="2"/>
  <c r="AG891" i="2"/>
  <c r="AK891" i="2" s="1"/>
  <c r="O891" i="2"/>
  <c r="AF914" i="2"/>
  <c r="AG840" i="2"/>
  <c r="AK840" i="2" s="1"/>
  <c r="O840" i="2"/>
  <c r="AG931" i="2"/>
  <c r="AK931" i="2" s="1"/>
  <c r="O931" i="2"/>
  <c r="AF921" i="2"/>
  <c r="O764" i="2"/>
  <c r="AG764" i="2"/>
  <c r="AK764" i="2" s="1"/>
  <c r="AG727" i="2"/>
  <c r="AK727" i="2" s="1"/>
  <c r="AF727" i="2"/>
  <c r="AF902" i="2"/>
  <c r="AF868" i="2"/>
  <c r="AF941" i="2"/>
  <c r="AG938" i="2"/>
  <c r="AK938" i="2" s="1"/>
  <c r="AF872" i="2"/>
  <c r="M930" i="2"/>
  <c r="AG927" i="2"/>
  <c r="AK927" i="2" s="1"/>
  <c r="AG886" i="2"/>
  <c r="AK886" i="2" s="1"/>
  <c r="O886" i="2"/>
  <c r="AF852" i="2"/>
  <c r="AG852" i="2"/>
  <c r="AK852" i="2" s="1"/>
  <c r="AG910" i="2"/>
  <c r="AK910" i="2" s="1"/>
  <c r="O910" i="2"/>
  <c r="AG940" i="2"/>
  <c r="AK940" i="2" s="1"/>
  <c r="O940" i="2"/>
  <c r="AG937" i="2"/>
  <c r="AK937" i="2" s="1"/>
  <c r="AF927" i="2"/>
  <c r="AF911" i="2"/>
  <c r="AG903" i="2"/>
  <c r="AK903" i="2" s="1"/>
  <c r="O903" i="2"/>
  <c r="AF863" i="2"/>
  <c r="AF832" i="2"/>
  <c r="AG832" i="2"/>
  <c r="AK832" i="2" s="1"/>
  <c r="AG917" i="2"/>
  <c r="AK917" i="2" s="1"/>
  <c r="O917" i="2"/>
  <c r="AG905" i="2"/>
  <c r="AK905" i="2" s="1"/>
  <c r="O905" i="2"/>
  <c r="O888" i="2"/>
  <c r="M888" i="2"/>
  <c r="O837" i="2"/>
  <c r="M837" i="2"/>
  <c r="O924" i="2"/>
  <c r="M924" i="2"/>
  <c r="AG922" i="2"/>
  <c r="AK922" i="2" s="1"/>
  <c r="O922" i="2"/>
  <c r="AG915" i="2"/>
  <c r="AK915" i="2" s="1"/>
  <c r="O915" i="2"/>
  <c r="AF909" i="2"/>
  <c r="AG898" i="2"/>
  <c r="AK898" i="2" s="1"/>
  <c r="O898" i="2"/>
  <c r="M882" i="2"/>
  <c r="O882" i="2"/>
  <c r="O874" i="2"/>
  <c r="AG874" i="2"/>
  <c r="AK874" i="2" s="1"/>
  <c r="AF890" i="2"/>
  <c r="O884" i="2"/>
  <c r="M884" i="2"/>
  <c r="AG928" i="2"/>
  <c r="AK928" i="2" s="1"/>
  <c r="O928" i="2"/>
  <c r="M916" i="2"/>
  <c r="O900" i="2"/>
  <c r="M900" i="2"/>
  <c r="AG748" i="2"/>
  <c r="AK748" i="2" s="1"/>
  <c r="O748" i="2"/>
  <c r="AF937" i="2"/>
  <c r="M927" i="2"/>
  <c r="O845" i="2"/>
  <c r="AG845" i="2"/>
  <c r="AK845" i="2" s="1"/>
  <c r="O809" i="2"/>
  <c r="AG809" i="2"/>
  <c r="AK809" i="2" s="1"/>
  <c r="AF794" i="2"/>
  <c r="M934" i="2"/>
  <c r="M939" i="2"/>
  <c r="AF929" i="2"/>
  <c r="AG926" i="2"/>
  <c r="AK926" i="2" s="1"/>
  <c r="O926" i="2"/>
  <c r="M921" i="2"/>
  <c r="AG902" i="2"/>
  <c r="AK902" i="2" s="1"/>
  <c r="AF919" i="2"/>
  <c r="AF907" i="2"/>
  <c r="AF895" i="2"/>
  <c r="M876" i="2"/>
  <c r="O876" i="2"/>
  <c r="AF870" i="2"/>
  <c r="AG870" i="2"/>
  <c r="AK870" i="2" s="1"/>
  <c r="O867" i="2"/>
  <c r="AG849" i="2"/>
  <c r="AK849" i="2" s="1"/>
  <c r="AF782" i="2"/>
  <c r="O766" i="2"/>
  <c r="AG766" i="2"/>
  <c r="AK766" i="2" s="1"/>
  <c r="AG753" i="2"/>
  <c r="AK753" i="2" s="1"/>
  <c r="O821" i="2"/>
  <c r="AG821" i="2"/>
  <c r="AK821" i="2" s="1"/>
  <c r="O879" i="2"/>
  <c r="AF858" i="2"/>
  <c r="AG858" i="2"/>
  <c r="AK858" i="2" s="1"/>
  <c r="M634" i="2"/>
  <c r="O634" i="2"/>
  <c r="O536" i="2"/>
  <c r="AG536" i="2"/>
  <c r="AK536" i="2" s="1"/>
  <c r="AF915" i="2"/>
  <c r="AF903" i="2"/>
  <c r="AF891" i="2"/>
  <c r="AF882" i="2"/>
  <c r="O881" i="2"/>
  <c r="M855" i="2"/>
  <c r="O844" i="2"/>
  <c r="AF816" i="2"/>
  <c r="AF804" i="2"/>
  <c r="AF925" i="2"/>
  <c r="AG923" i="2"/>
  <c r="AK923" i="2" s="1"/>
  <c r="AG911" i="2"/>
  <c r="AK911" i="2" s="1"/>
  <c r="AG899" i="2"/>
  <c r="AK899" i="2" s="1"/>
  <c r="AG887" i="2"/>
  <c r="AK887" i="2" s="1"/>
  <c r="AF871" i="2"/>
  <c r="AF867" i="2"/>
  <c r="O857" i="2"/>
  <c r="O833" i="2"/>
  <c r="AG833" i="2"/>
  <c r="AK833" i="2" s="1"/>
  <c r="AF828" i="2"/>
  <c r="AF786" i="2"/>
  <c r="AG786" i="2"/>
  <c r="AK786" i="2" s="1"/>
  <c r="AF776" i="2"/>
  <c r="AF913" i="2"/>
  <c r="O909" i="2"/>
  <c r="O904" i="2"/>
  <c r="AF901" i="2"/>
  <c r="AF889" i="2"/>
  <c r="AG863" i="2"/>
  <c r="AK863" i="2" s="1"/>
  <c r="O863" i="2"/>
  <c r="O772" i="2"/>
  <c r="AG604" i="2"/>
  <c r="AK604" i="2" s="1"/>
  <c r="AF604" i="2"/>
  <c r="AG879" i="2"/>
  <c r="AK879" i="2" s="1"/>
  <c r="AF873" i="2"/>
  <c r="AG864" i="2"/>
  <c r="AK864" i="2" s="1"/>
  <c r="AF847" i="2"/>
  <c r="AF840" i="2"/>
  <c r="O813" i="2"/>
  <c r="AF808" i="2"/>
  <c r="AG808" i="2"/>
  <c r="AK808" i="2" s="1"/>
  <c r="O801" i="2"/>
  <c r="AG794" i="2"/>
  <c r="AK794" i="2" s="1"/>
  <c r="AF763" i="2"/>
  <c r="AG763" i="2"/>
  <c r="AK763" i="2" s="1"/>
  <c r="AG736" i="2"/>
  <c r="AK736" i="2" s="1"/>
  <c r="M904" i="2"/>
  <c r="M892" i="2"/>
  <c r="AF879" i="2"/>
  <c r="AF877" i="2"/>
  <c r="M872" i="2"/>
  <c r="M868" i="2"/>
  <c r="AF864" i="2"/>
  <c r="M861" i="2"/>
  <c r="AF859" i="2"/>
  <c r="AF855" i="2"/>
  <c r="AG844" i="2"/>
  <c r="AK844" i="2" s="1"/>
  <c r="O825" i="2"/>
  <c r="AF820" i="2"/>
  <c r="AG820" i="2"/>
  <c r="AK820" i="2" s="1"/>
  <c r="O741" i="2"/>
  <c r="AF883" i="2"/>
  <c r="AG851" i="2"/>
  <c r="AK851" i="2" s="1"/>
  <c r="O851" i="2"/>
  <c r="AF759" i="2"/>
  <c r="AG759" i="2"/>
  <c r="AK759" i="2" s="1"/>
  <c r="AF843" i="2"/>
  <c r="AG843" i="2"/>
  <c r="AK843" i="2" s="1"/>
  <c r="AF791" i="2"/>
  <c r="AG757" i="2"/>
  <c r="AK757" i="2" s="1"/>
  <c r="AG702" i="2"/>
  <c r="AK702" i="2" s="1"/>
  <c r="AG684" i="2"/>
  <c r="AK684" i="2" s="1"/>
  <c r="AF684" i="2"/>
  <c r="AG622" i="2"/>
  <c r="AK622" i="2" s="1"/>
  <c r="AF780" i="2"/>
  <c r="AG780" i="2"/>
  <c r="AK780" i="2" s="1"/>
  <c r="AF770" i="2"/>
  <c r="AG746" i="2"/>
  <c r="AK746" i="2" s="1"/>
  <c r="M724" i="2"/>
  <c r="AG719" i="2"/>
  <c r="AK719" i="2" s="1"/>
  <c r="AG704" i="2"/>
  <c r="AK704" i="2" s="1"/>
  <c r="AG696" i="2"/>
  <c r="AK696" i="2" s="1"/>
  <c r="AG690" i="2"/>
  <c r="AK690" i="2" s="1"/>
  <c r="AG641" i="2"/>
  <c r="AK641" i="2" s="1"/>
  <c r="O631" i="2"/>
  <c r="AG631" i="2"/>
  <c r="AK631" i="2" s="1"/>
  <c r="O615" i="2"/>
  <c r="AG615" i="2"/>
  <c r="AK615" i="2" s="1"/>
  <c r="O796" i="2"/>
  <c r="AG795" i="2"/>
  <c r="AK795" i="2" s="1"/>
  <c r="AG787" i="2"/>
  <c r="AK787" i="2" s="1"/>
  <c r="AF774" i="2"/>
  <c r="AG774" i="2"/>
  <c r="AK774" i="2" s="1"/>
  <c r="O771" i="2"/>
  <c r="AF764" i="2"/>
  <c r="AF746" i="2"/>
  <c r="AG741" i="2"/>
  <c r="AK741" i="2" s="1"/>
  <c r="AG731" i="2"/>
  <c r="AK731" i="2" s="1"/>
  <c r="AF717" i="2"/>
  <c r="M714" i="2"/>
  <c r="AF711" i="2"/>
  <c r="AF675" i="2"/>
  <c r="M643" i="2"/>
  <c r="O643" i="2"/>
  <c r="AF607" i="2"/>
  <c r="AG578" i="2"/>
  <c r="AK578" i="2" s="1"/>
  <c r="O578" i="2"/>
  <c r="AF866" i="2"/>
  <c r="AF854" i="2"/>
  <c r="AF842" i="2"/>
  <c r="AF830" i="2"/>
  <c r="AF818" i="2"/>
  <c r="AF806" i="2"/>
  <c r="AG792" i="2"/>
  <c r="AK792" i="2" s="1"/>
  <c r="AF787" i="2"/>
  <c r="M777" i="2"/>
  <c r="AF768" i="2"/>
  <c r="AG768" i="2"/>
  <c r="AK768" i="2" s="1"/>
  <c r="AF766" i="2"/>
  <c r="O765" i="2"/>
  <c r="AF758" i="2"/>
  <c r="O747" i="2"/>
  <c r="AG739" i="2"/>
  <c r="AK739" i="2" s="1"/>
  <c r="O737" i="2"/>
  <c r="M728" i="2"/>
  <c r="AG725" i="2"/>
  <c r="AK725" i="2" s="1"/>
  <c r="AF720" i="2"/>
  <c r="O703" i="2"/>
  <c r="O685" i="2"/>
  <c r="AF681" i="2"/>
  <c r="M665" i="2"/>
  <c r="O665" i="2"/>
  <c r="AG627" i="2"/>
  <c r="AK627" i="2" s="1"/>
  <c r="O627" i="2"/>
  <c r="O576" i="2"/>
  <c r="AG576" i="2"/>
  <c r="AK576" i="2" s="1"/>
  <c r="O515" i="2"/>
  <c r="M515" i="2"/>
  <c r="AG846" i="2"/>
  <c r="AK846" i="2" s="1"/>
  <c r="O839" i="2"/>
  <c r="AG834" i="2"/>
  <c r="AK834" i="2" s="1"/>
  <c r="O827" i="2"/>
  <c r="AG822" i="2"/>
  <c r="AK822" i="2" s="1"/>
  <c r="O815" i="2"/>
  <c r="AG810" i="2"/>
  <c r="AK810" i="2" s="1"/>
  <c r="O803" i="2"/>
  <c r="M781" i="2"/>
  <c r="O773" i="2"/>
  <c r="M771" i="2"/>
  <c r="AF762" i="2"/>
  <c r="AG762" i="2"/>
  <c r="AK762" i="2" s="1"/>
  <c r="AF760" i="2"/>
  <c r="AF752" i="2"/>
  <c r="M737" i="2"/>
  <c r="AF735" i="2"/>
  <c r="O734" i="2"/>
  <c r="AF725" i="2"/>
  <c r="M713" i="2"/>
  <c r="O713" i="2"/>
  <c r="AF710" i="2"/>
  <c r="M708" i="2"/>
  <c r="AF705" i="2"/>
  <c r="O697" i="2"/>
  <c r="M667" i="2"/>
  <c r="O667" i="2"/>
  <c r="O624" i="2"/>
  <c r="M843" i="2"/>
  <c r="M831" i="2"/>
  <c r="M819" i="2"/>
  <c r="AF756" i="2"/>
  <c r="AG756" i="2"/>
  <c r="AK756" i="2" s="1"/>
  <c r="O753" i="2"/>
  <c r="M745" i="2"/>
  <c r="O745" i="2"/>
  <c r="O742" i="2"/>
  <c r="AF687" i="2"/>
  <c r="M624" i="2"/>
  <c r="O621" i="2"/>
  <c r="AG621" i="2"/>
  <c r="AK621" i="2" s="1"/>
  <c r="AF545" i="2"/>
  <c r="AG545" i="2"/>
  <c r="AK545" i="2" s="1"/>
  <c r="AG835" i="2"/>
  <c r="AK835" i="2" s="1"/>
  <c r="AG831" i="2"/>
  <c r="AK831" i="2" s="1"/>
  <c r="AG823" i="2"/>
  <c r="AK823" i="2" s="1"/>
  <c r="AG819" i="2"/>
  <c r="AK819" i="2" s="1"/>
  <c r="AG811" i="2"/>
  <c r="AK811" i="2" s="1"/>
  <c r="AG807" i="2"/>
  <c r="AK807" i="2" s="1"/>
  <c r="AG799" i="2"/>
  <c r="AK799" i="2" s="1"/>
  <c r="AG781" i="2"/>
  <c r="AK781" i="2" s="1"/>
  <c r="AG777" i="2"/>
  <c r="AK777" i="2" s="1"/>
  <c r="AF750" i="2"/>
  <c r="AG750" i="2"/>
  <c r="AK750" i="2" s="1"/>
  <c r="AF731" i="2"/>
  <c r="AG728" i="2"/>
  <c r="AK728" i="2" s="1"/>
  <c r="AG724" i="2"/>
  <c r="AK724" i="2" s="1"/>
  <c r="AF719" i="2"/>
  <c r="AF704" i="2"/>
  <c r="AF699" i="2"/>
  <c r="O629" i="2"/>
  <c r="O828" i="2"/>
  <c r="O816" i="2"/>
  <c r="O804" i="2"/>
  <c r="O794" i="2"/>
  <c r="O789" i="2"/>
  <c r="AF788" i="2"/>
  <c r="O782" i="2"/>
  <c r="AF781" i="2"/>
  <c r="AG775" i="2"/>
  <c r="AK775" i="2" s="1"/>
  <c r="M763" i="2"/>
  <c r="M753" i="2"/>
  <c r="AG740" i="2"/>
  <c r="AK740" i="2" s="1"/>
  <c r="O722" i="2"/>
  <c r="AG721" i="2"/>
  <c r="AK721" i="2" s="1"/>
  <c r="O721" i="2"/>
  <c r="AF693" i="2"/>
  <c r="AF641" i="2"/>
  <c r="AF740" i="2"/>
  <c r="M736" i="2"/>
  <c r="AG732" i="2"/>
  <c r="AK732" i="2" s="1"/>
  <c r="O732" i="2"/>
  <c r="O726" i="2"/>
  <c r="AG726" i="2"/>
  <c r="AK726" i="2" s="1"/>
  <c r="AF723" i="2"/>
  <c r="AG714" i="2"/>
  <c r="AK714" i="2" s="1"/>
  <c r="M653" i="2"/>
  <c r="O653" i="2"/>
  <c r="AG649" i="2"/>
  <c r="AK649" i="2" s="1"/>
  <c r="O649" i="2"/>
  <c r="AG632" i="2"/>
  <c r="AK632" i="2" s="1"/>
  <c r="AG745" i="2"/>
  <c r="AK745" i="2" s="1"/>
  <c r="AG720" i="2"/>
  <c r="AK720" i="2" s="1"/>
  <c r="O720" i="2"/>
  <c r="AG678" i="2"/>
  <c r="AK678" i="2" s="1"/>
  <c r="AG672" i="2"/>
  <c r="AK672" i="2" s="1"/>
  <c r="M655" i="2"/>
  <c r="O655" i="2"/>
  <c r="M649" i="2"/>
  <c r="M647" i="2"/>
  <c r="O647" i="2"/>
  <c r="AG716" i="2"/>
  <c r="AK716" i="2" s="1"/>
  <c r="O716" i="2"/>
  <c r="AG708" i="2"/>
  <c r="AK708" i="2" s="1"/>
  <c r="O731" i="2"/>
  <c r="O719" i="2"/>
  <c r="O666" i="2"/>
  <c r="O654" i="2"/>
  <c r="AF645" i="2"/>
  <c r="AG645" i="2"/>
  <c r="AK645" i="2" s="1"/>
  <c r="O642" i="2"/>
  <c r="M636" i="2"/>
  <c r="AG610" i="2"/>
  <c r="AK610" i="2" s="1"/>
  <c r="M592" i="2"/>
  <c r="O592" i="2"/>
  <c r="AG585" i="2"/>
  <c r="AK585" i="2" s="1"/>
  <c r="O585" i="2"/>
  <c r="O569" i="2"/>
  <c r="AG569" i="2"/>
  <c r="AK569" i="2" s="1"/>
  <c r="M557" i="2"/>
  <c r="AG552" i="2"/>
  <c r="AK552" i="2" s="1"/>
  <c r="M550" i="2"/>
  <c r="O550" i="2"/>
  <c r="AF547" i="2"/>
  <c r="AG547" i="2"/>
  <c r="AK547" i="2" s="1"/>
  <c r="O534" i="2"/>
  <c r="AG744" i="2"/>
  <c r="AK744" i="2" s="1"/>
  <c r="O707" i="2"/>
  <c r="O701" i="2"/>
  <c r="O695" i="2"/>
  <c r="O689" i="2"/>
  <c r="O683" i="2"/>
  <c r="O677" i="2"/>
  <c r="O671" i="2"/>
  <c r="O661" i="2"/>
  <c r="O659" i="2"/>
  <c r="AF651" i="2"/>
  <c r="AG651" i="2"/>
  <c r="AK651" i="2" s="1"/>
  <c r="O648" i="2"/>
  <c r="AF601" i="2"/>
  <c r="AG601" i="2"/>
  <c r="AK601" i="2" s="1"/>
  <c r="AG538" i="2"/>
  <c r="AK538" i="2" s="1"/>
  <c r="M666" i="2"/>
  <c r="M654" i="2"/>
  <c r="M642" i="2"/>
  <c r="M640" i="2"/>
  <c r="O638" i="2"/>
  <c r="O630" i="2"/>
  <c r="AG607" i="2"/>
  <c r="AK607" i="2" s="1"/>
  <c r="AG582" i="2"/>
  <c r="AK582" i="2" s="1"/>
  <c r="O566" i="2"/>
  <c r="M564" i="2"/>
  <c r="O518" i="2"/>
  <c r="O710" i="2"/>
  <c r="M707" i="2"/>
  <c r="O704" i="2"/>
  <c r="M701" i="2"/>
  <c r="O698" i="2"/>
  <c r="M695" i="2"/>
  <c r="M689" i="2"/>
  <c r="M683" i="2"/>
  <c r="M677" i="2"/>
  <c r="M671" i="2"/>
  <c r="AF663" i="2"/>
  <c r="AG663" i="2"/>
  <c r="AK663" i="2" s="1"/>
  <c r="M659" i="2"/>
  <c r="M648" i="2"/>
  <c r="M646" i="2"/>
  <c r="AG636" i="2"/>
  <c r="AK636" i="2" s="1"/>
  <c r="AG624" i="2"/>
  <c r="AK624" i="2" s="1"/>
  <c r="M620" i="2"/>
  <c r="M607" i="2"/>
  <c r="O607" i="2"/>
  <c r="M599" i="2"/>
  <c r="O583" i="2"/>
  <c r="O571" i="2"/>
  <c r="AF511" i="2"/>
  <c r="M652" i="2"/>
  <c r="AF636" i="2"/>
  <c r="M628" i="2"/>
  <c r="AF624" i="2"/>
  <c r="AF587" i="2"/>
  <c r="O546" i="2"/>
  <c r="O605" i="2"/>
  <c r="AG605" i="2"/>
  <c r="AK605" i="2" s="1"/>
  <c r="AG427" i="2"/>
  <c r="AK427" i="2" s="1"/>
  <c r="O427" i="2"/>
  <c r="AG664" i="2"/>
  <c r="AK664" i="2" s="1"/>
  <c r="AG652" i="2"/>
  <c r="AK652" i="2" s="1"/>
  <c r="AF646" i="2"/>
  <c r="O641" i="2"/>
  <c r="M632" i="2"/>
  <c r="AG628" i="2"/>
  <c r="AK628" i="2" s="1"/>
  <c r="AG625" i="2"/>
  <c r="AK625" i="2" s="1"/>
  <c r="O612" i="2"/>
  <c r="O611" i="2"/>
  <c r="AG611" i="2"/>
  <c r="AK611" i="2" s="1"/>
  <c r="O596" i="2"/>
  <c r="AF589" i="2"/>
  <c r="AG568" i="2"/>
  <c r="AK568" i="2" s="1"/>
  <c r="AF568" i="2"/>
  <c r="O541" i="2"/>
  <c r="AG541" i="2"/>
  <c r="AK541" i="2" s="1"/>
  <c r="M702" i="2"/>
  <c r="M696" i="2"/>
  <c r="AG692" i="2"/>
  <c r="AK692" i="2" s="1"/>
  <c r="M690" i="2"/>
  <c r="AG686" i="2"/>
  <c r="AK686" i="2" s="1"/>
  <c r="M684" i="2"/>
  <c r="AG680" i="2"/>
  <c r="AK680" i="2" s="1"/>
  <c r="M678" i="2"/>
  <c r="AF614" i="2"/>
  <c r="AG614" i="2"/>
  <c r="AK614" i="2" s="1"/>
  <c r="M612" i="2"/>
  <c r="O602" i="2"/>
  <c r="M596" i="2"/>
  <c r="AF552" i="2"/>
  <c r="O539" i="2"/>
  <c r="AG539" i="2"/>
  <c r="AK539" i="2" s="1"/>
  <c r="O509" i="2"/>
  <c r="M509" i="2"/>
  <c r="M449" i="2"/>
  <c r="AF442" i="2"/>
  <c r="AF669" i="2"/>
  <c r="AG669" i="2"/>
  <c r="AK669" i="2" s="1"/>
  <c r="AF657" i="2"/>
  <c r="AG657" i="2"/>
  <c r="AK657" i="2" s="1"/>
  <c r="AG650" i="2"/>
  <c r="AK650" i="2" s="1"/>
  <c r="AF582" i="2"/>
  <c r="AF635" i="2"/>
  <c r="AF623" i="2"/>
  <c r="AF599" i="2"/>
  <c r="O567" i="2"/>
  <c r="M562" i="2"/>
  <c r="O562" i="2"/>
  <c r="AF550" i="2"/>
  <c r="M546" i="2"/>
  <c r="AG528" i="2"/>
  <c r="AK528" i="2" s="1"/>
  <c r="O521" i="2"/>
  <c r="M518" i="2"/>
  <c r="O506" i="2"/>
  <c r="O606" i="2"/>
  <c r="O551" i="2"/>
  <c r="M532" i="2"/>
  <c r="O532" i="2"/>
  <c r="AF526" i="2"/>
  <c r="AF519" i="2"/>
  <c r="AG519" i="2"/>
  <c r="AK519" i="2" s="1"/>
  <c r="AF419" i="2"/>
  <c r="AG617" i="2"/>
  <c r="AK617" i="2" s="1"/>
  <c r="M614" i="2"/>
  <c r="AF611" i="2"/>
  <c r="M600" i="2"/>
  <c r="M595" i="2"/>
  <c r="O593" i="2"/>
  <c r="M590" i="2"/>
  <c r="AG581" i="2"/>
  <c r="AK581" i="2" s="1"/>
  <c r="O579" i="2"/>
  <c r="M574" i="2"/>
  <c r="O574" i="2"/>
  <c r="O570" i="2"/>
  <c r="AF562" i="2"/>
  <c r="M558" i="2"/>
  <c r="AF539" i="2"/>
  <c r="O535" i="2"/>
  <c r="O524" i="2"/>
  <c r="AF522" i="2"/>
  <c r="M521" i="2"/>
  <c r="AG517" i="2"/>
  <c r="AK517" i="2" s="1"/>
  <c r="O512" i="2"/>
  <c r="AG512" i="2"/>
  <c r="AK512" i="2" s="1"/>
  <c r="AG504" i="2"/>
  <c r="AK504" i="2" s="1"/>
  <c r="AG600" i="2"/>
  <c r="AK600" i="2" s="1"/>
  <c r="AG588" i="2"/>
  <c r="AK588" i="2" s="1"/>
  <c r="O563" i="2"/>
  <c r="AG553" i="2"/>
  <c r="AK553" i="2" s="1"/>
  <c r="AG551" i="2"/>
  <c r="AK551" i="2" s="1"/>
  <c r="O549" i="2"/>
  <c r="M544" i="2"/>
  <c r="O544" i="2"/>
  <c r="AF532" i="2"/>
  <c r="M517" i="2"/>
  <c r="AF514" i="2"/>
  <c r="AG514" i="2"/>
  <c r="AK514" i="2" s="1"/>
  <c r="M512" i="2"/>
  <c r="O591" i="2"/>
  <c r="M586" i="2"/>
  <c r="O586" i="2"/>
  <c r="O582" i="2"/>
  <c r="AF574" i="2"/>
  <c r="M570" i="2"/>
  <c r="AF551" i="2"/>
  <c r="O542" i="2"/>
  <c r="AF528" i="2"/>
  <c r="O527" i="2"/>
  <c r="M524" i="2"/>
  <c r="AG511" i="2"/>
  <c r="AK511" i="2" s="1"/>
  <c r="O589" i="2"/>
  <c r="O584" i="2"/>
  <c r="M556" i="2"/>
  <c r="O556" i="2"/>
  <c r="O552" i="2"/>
  <c r="AF525" i="2"/>
  <c r="AG525" i="2"/>
  <c r="AK525" i="2" s="1"/>
  <c r="AG516" i="2"/>
  <c r="AK516" i="2" s="1"/>
  <c r="M511" i="2"/>
  <c r="AF450" i="2"/>
  <c r="O604" i="2"/>
  <c r="M598" i="2"/>
  <c r="O598" i="2"/>
  <c r="AF586" i="2"/>
  <c r="M582" i="2"/>
  <c r="AF563" i="2"/>
  <c r="O554" i="2"/>
  <c r="O545" i="2"/>
  <c r="AG533" i="2"/>
  <c r="AK533" i="2" s="1"/>
  <c r="O531" i="2"/>
  <c r="M527" i="2"/>
  <c r="AF507" i="2"/>
  <c r="AG507" i="2"/>
  <c r="AK507" i="2" s="1"/>
  <c r="AG575" i="2"/>
  <c r="AK575" i="2" s="1"/>
  <c r="O573" i="2"/>
  <c r="M568" i="2"/>
  <c r="O568" i="2"/>
  <c r="AF556" i="2"/>
  <c r="M552" i="2"/>
  <c r="AF533" i="2"/>
  <c r="M523" i="2"/>
  <c r="AF513" i="2"/>
  <c r="AG513" i="2"/>
  <c r="AK513" i="2" s="1"/>
  <c r="O503" i="2"/>
  <c r="AF382" i="2"/>
  <c r="O557" i="2"/>
  <c r="M538" i="2"/>
  <c r="O538" i="2"/>
  <c r="M529" i="2"/>
  <c r="O599" i="2"/>
  <c r="AG587" i="2"/>
  <c r="AK587" i="2" s="1"/>
  <c r="M580" i="2"/>
  <c r="O580" i="2"/>
  <c r="AG522" i="2"/>
  <c r="AK522" i="2" s="1"/>
  <c r="AF520" i="2"/>
  <c r="AG498" i="2"/>
  <c r="AK498" i="2" s="1"/>
  <c r="O449" i="2"/>
  <c r="AG458" i="2"/>
  <c r="AK458" i="2" s="1"/>
  <c r="AG430" i="2"/>
  <c r="AK430" i="2" s="1"/>
  <c r="AF423" i="2"/>
  <c r="AG423" i="2"/>
  <c r="AK423" i="2" s="1"/>
  <c r="AG506" i="2"/>
  <c r="AK506" i="2" s="1"/>
  <c r="O494" i="2"/>
  <c r="O492" i="2"/>
  <c r="O482" i="2"/>
  <c r="O480" i="2"/>
  <c r="O470" i="2"/>
  <c r="O468" i="2"/>
  <c r="M436" i="2"/>
  <c r="AG428" i="2"/>
  <c r="AK428" i="2" s="1"/>
  <c r="AF428" i="2"/>
  <c r="AG345" i="2"/>
  <c r="AK345" i="2" s="1"/>
  <c r="AF345" i="2"/>
  <c r="M528" i="2"/>
  <c r="M522" i="2"/>
  <c r="M516" i="2"/>
  <c r="M510" i="2"/>
  <c r="M504" i="2"/>
  <c r="M499" i="2"/>
  <c r="M487" i="2"/>
  <c r="M475" i="2"/>
  <c r="M463" i="2"/>
  <c r="AF454" i="2"/>
  <c r="AG454" i="2"/>
  <c r="AK454" i="2" s="1"/>
  <c r="AG449" i="2"/>
  <c r="AK449" i="2" s="1"/>
  <c r="M448" i="2"/>
  <c r="M443" i="2"/>
  <c r="AG437" i="2"/>
  <c r="AK437" i="2" s="1"/>
  <c r="AG410" i="2"/>
  <c r="AK410" i="2" s="1"/>
  <c r="M396" i="2"/>
  <c r="M364" i="2"/>
  <c r="AF496" i="2"/>
  <c r="AG496" i="2"/>
  <c r="AK496" i="2" s="1"/>
  <c r="M494" i="2"/>
  <c r="M492" i="2"/>
  <c r="AF484" i="2"/>
  <c r="AG484" i="2"/>
  <c r="AK484" i="2" s="1"/>
  <c r="M482" i="2"/>
  <c r="M480" i="2"/>
  <c r="AF472" i="2"/>
  <c r="AG472" i="2"/>
  <c r="AK472" i="2" s="1"/>
  <c r="M470" i="2"/>
  <c r="M468" i="2"/>
  <c r="AF460" i="2"/>
  <c r="AG460" i="2"/>
  <c r="AK460" i="2" s="1"/>
  <c r="O457" i="2"/>
  <c r="O441" i="2"/>
  <c r="AF437" i="2"/>
  <c r="O408" i="2"/>
  <c r="AG408" i="2"/>
  <c r="AK408" i="2" s="1"/>
  <c r="AG385" i="2"/>
  <c r="AK385" i="2" s="1"/>
  <c r="O385" i="2"/>
  <c r="O360" i="2"/>
  <c r="AG360" i="2"/>
  <c r="AK360" i="2" s="1"/>
  <c r="M435" i="2"/>
  <c r="AG419" i="2"/>
  <c r="AK419" i="2" s="1"/>
  <c r="O419" i="2"/>
  <c r="O418" i="2"/>
  <c r="AG382" i="2"/>
  <c r="AK382" i="2" s="1"/>
  <c r="AG368" i="2"/>
  <c r="AK368" i="2" s="1"/>
  <c r="AF368" i="2"/>
  <c r="O406" i="2"/>
  <c r="M358" i="2"/>
  <c r="O358" i="2"/>
  <c r="M505" i="2"/>
  <c r="AF448" i="2"/>
  <c r="O347" i="2"/>
  <c r="AG347" i="2"/>
  <c r="AK347" i="2" s="1"/>
  <c r="O500" i="2"/>
  <c r="O498" i="2"/>
  <c r="O488" i="2"/>
  <c r="O486" i="2"/>
  <c r="O476" i="2"/>
  <c r="AG450" i="2"/>
  <c r="AK450" i="2" s="1"/>
  <c r="AG442" i="2"/>
  <c r="AK442" i="2" s="1"/>
  <c r="M440" i="2"/>
  <c r="M428" i="2"/>
  <c r="O428" i="2"/>
  <c r="M493" i="2"/>
  <c r="M481" i="2"/>
  <c r="M469" i="2"/>
  <c r="AF455" i="2"/>
  <c r="AG414" i="2"/>
  <c r="AK414" i="2" s="1"/>
  <c r="O414" i="2"/>
  <c r="O413" i="2"/>
  <c r="AG413" i="2"/>
  <c r="AK413" i="2" s="1"/>
  <c r="O411" i="2"/>
  <c r="AG411" i="2"/>
  <c r="AK411" i="2" s="1"/>
  <c r="M353" i="2"/>
  <c r="O353" i="2"/>
  <c r="AG508" i="2"/>
  <c r="AK508" i="2" s="1"/>
  <c r="AF502" i="2"/>
  <c r="AG502" i="2"/>
  <c r="AK502" i="2" s="1"/>
  <c r="M498" i="2"/>
  <c r="AF490" i="2"/>
  <c r="AG490" i="2"/>
  <c r="AK490" i="2" s="1"/>
  <c r="M486" i="2"/>
  <c r="AF478" i="2"/>
  <c r="AG478" i="2"/>
  <c r="AK478" i="2" s="1"/>
  <c r="M474" i="2"/>
  <c r="AF466" i="2"/>
  <c r="AG466" i="2"/>
  <c r="AK466" i="2" s="1"/>
  <c r="M462" i="2"/>
  <c r="O444" i="2"/>
  <c r="AG444" i="2"/>
  <c r="AK444" i="2" s="1"/>
  <c r="AF425" i="2"/>
  <c r="AG425" i="2"/>
  <c r="AK425" i="2" s="1"/>
  <c r="O401" i="2"/>
  <c r="AG486" i="2"/>
  <c r="AK486" i="2" s="1"/>
  <c r="AG474" i="2"/>
  <c r="AK474" i="2" s="1"/>
  <c r="AG462" i="2"/>
  <c r="AK462" i="2" s="1"/>
  <c r="M452" i="2"/>
  <c r="M446" i="2"/>
  <c r="M422" i="2"/>
  <c r="O422" i="2"/>
  <c r="AF417" i="2"/>
  <c r="M401" i="2"/>
  <c r="O376" i="2"/>
  <c r="AG376" i="2"/>
  <c r="AK376" i="2" s="1"/>
  <c r="O369" i="2"/>
  <c r="AG369" i="2"/>
  <c r="AK369" i="2" s="1"/>
  <c r="M392" i="2"/>
  <c r="O392" i="2"/>
  <c r="M362" i="2"/>
  <c r="O362" i="2"/>
  <c r="M347" i="2"/>
  <c r="O341" i="2"/>
  <c r="AG341" i="2"/>
  <c r="AK341" i="2" s="1"/>
  <c r="O327" i="2"/>
  <c r="AG327" i="2"/>
  <c r="AK327" i="2" s="1"/>
  <c r="AF447" i="2"/>
  <c r="M434" i="2"/>
  <c r="O434" i="2"/>
  <c r="AF422" i="2"/>
  <c r="M418" i="2"/>
  <c r="AF399" i="2"/>
  <c r="O367" i="2"/>
  <c r="O340" i="2"/>
  <c r="O328" i="2"/>
  <c r="AG328" i="2"/>
  <c r="AK328" i="2" s="1"/>
  <c r="AG299" i="2"/>
  <c r="AK299" i="2" s="1"/>
  <c r="O299" i="2"/>
  <c r="M264" i="2"/>
  <c r="O437" i="2"/>
  <c r="O432" i="2"/>
  <c r="O423" i="2"/>
  <c r="M404" i="2"/>
  <c r="O404" i="2"/>
  <c r="O400" i="2"/>
  <c r="O359" i="2"/>
  <c r="AF342" i="2"/>
  <c r="M340" i="2"/>
  <c r="AG335" i="2"/>
  <c r="AK335" i="2" s="1"/>
  <c r="M328" i="2"/>
  <c r="AF311" i="2"/>
  <c r="AG311" i="2"/>
  <c r="AK311" i="2" s="1"/>
  <c r="O279" i="2"/>
  <c r="AG279" i="2"/>
  <c r="AK279" i="2" s="1"/>
  <c r="AF434" i="2"/>
  <c r="M430" i="2"/>
  <c r="AF411" i="2"/>
  <c r="M395" i="2"/>
  <c r="O393" i="2"/>
  <c r="M390" i="2"/>
  <c r="AG381" i="2"/>
  <c r="AK381" i="2" s="1"/>
  <c r="O379" i="2"/>
  <c r="M374" i="2"/>
  <c r="O374" i="2"/>
  <c r="AF362" i="2"/>
  <c r="O361" i="2"/>
  <c r="AF332" i="2"/>
  <c r="O435" i="2"/>
  <c r="O421" i="2"/>
  <c r="M416" i="2"/>
  <c r="O416" i="2"/>
  <c r="O412" i="2"/>
  <c r="AF404" i="2"/>
  <c r="M400" i="2"/>
  <c r="AG388" i="2"/>
  <c r="AK388" i="2" s="1"/>
  <c r="AF381" i="2"/>
  <c r="O377" i="2"/>
  <c r="O363" i="2"/>
  <c r="AG355" i="2"/>
  <c r="AK355" i="2" s="1"/>
  <c r="AG337" i="2"/>
  <c r="AK337" i="2" s="1"/>
  <c r="O337" i="2"/>
  <c r="O322" i="2"/>
  <c r="O405" i="2"/>
  <c r="AG393" i="2"/>
  <c r="AK393" i="2" s="1"/>
  <c r="O391" i="2"/>
  <c r="M386" i="2"/>
  <c r="O386" i="2"/>
  <c r="O382" i="2"/>
  <c r="AF374" i="2"/>
  <c r="M370" i="2"/>
  <c r="M338" i="2"/>
  <c r="M322" i="2"/>
  <c r="M321" i="2"/>
  <c r="M300" i="2"/>
  <c r="M349" i="2"/>
  <c r="O349" i="2"/>
  <c r="AF326" i="2"/>
  <c r="M295" i="2"/>
  <c r="M398" i="2"/>
  <c r="O398" i="2"/>
  <c r="AG370" i="2"/>
  <c r="AK370" i="2" s="1"/>
  <c r="AF357" i="2"/>
  <c r="AF346" i="2"/>
  <c r="AG343" i="2"/>
  <c r="AK343" i="2" s="1"/>
  <c r="O343" i="2"/>
  <c r="M314" i="2"/>
  <c r="M308" i="2"/>
  <c r="M304" i="2"/>
  <c r="AF201" i="2"/>
  <c r="AG201" i="2"/>
  <c r="AK201" i="2" s="1"/>
  <c r="M424" i="2"/>
  <c r="AF405" i="2"/>
  <c r="AG375" i="2"/>
  <c r="AK375" i="2" s="1"/>
  <c r="O373" i="2"/>
  <c r="M368" i="2"/>
  <c r="O368" i="2"/>
  <c r="O356" i="2"/>
  <c r="AG354" i="2"/>
  <c r="AK354" i="2" s="1"/>
  <c r="M343" i="2"/>
  <c r="O336" i="2"/>
  <c r="AG334" i="2"/>
  <c r="AK334" i="2" s="1"/>
  <c r="O334" i="2"/>
  <c r="O333" i="2"/>
  <c r="AG333" i="2"/>
  <c r="AK333" i="2" s="1"/>
  <c r="M286" i="2"/>
  <c r="O267" i="2"/>
  <c r="AG267" i="2"/>
  <c r="AK267" i="2" s="1"/>
  <c r="AG417" i="2"/>
  <c r="AK417" i="2" s="1"/>
  <c r="M410" i="2"/>
  <c r="O410" i="2"/>
  <c r="AF339" i="2"/>
  <c r="M336" i="2"/>
  <c r="O453" i="2"/>
  <c r="O447" i="2"/>
  <c r="O399" i="2"/>
  <c r="AG387" i="2"/>
  <c r="AK387" i="2" s="1"/>
  <c r="M380" i="2"/>
  <c r="O380" i="2"/>
  <c r="M335" i="2"/>
  <c r="M253" i="2"/>
  <c r="AF228" i="2"/>
  <c r="AG228" i="2"/>
  <c r="AK228" i="2" s="1"/>
  <c r="M217" i="2"/>
  <c r="O345" i="2"/>
  <c r="AG326" i="2"/>
  <c r="AK326" i="2" s="1"/>
  <c r="O317" i="2"/>
  <c r="O312" i="2"/>
  <c r="AG305" i="2"/>
  <c r="AK305" i="2" s="1"/>
  <c r="O291" i="2"/>
  <c r="O284" i="2"/>
  <c r="AF230" i="2"/>
  <c r="AF189" i="2"/>
  <c r="AG189" i="2"/>
  <c r="AK189" i="2" s="1"/>
  <c r="M310" i="2"/>
  <c r="M280" i="2"/>
  <c r="AF278" i="2"/>
  <c r="O274" i="2"/>
  <c r="O357" i="2"/>
  <c r="AF341" i="2"/>
  <c r="O339" i="2"/>
  <c r="AF333" i="2"/>
  <c r="O331" i="2"/>
  <c r="O324" i="2"/>
  <c r="O315" i="2"/>
  <c r="AG302" i="2"/>
  <c r="AK302" i="2" s="1"/>
  <c r="O300" i="2"/>
  <c r="M291" i="2"/>
  <c r="M284" i="2"/>
  <c r="AF257" i="2"/>
  <c r="AG293" i="2"/>
  <c r="AK293" i="2" s="1"/>
  <c r="O293" i="2"/>
  <c r="AG253" i="2"/>
  <c r="AK253" i="2" s="1"/>
  <c r="O253" i="2"/>
  <c r="O252" i="2"/>
  <c r="AG252" i="2"/>
  <c r="AK252" i="2" s="1"/>
  <c r="O224" i="2"/>
  <c r="AG224" i="2"/>
  <c r="AK224" i="2" s="1"/>
  <c r="AG320" i="2"/>
  <c r="AK320" i="2" s="1"/>
  <c r="AF315" i="2"/>
  <c r="O313" i="2"/>
  <c r="M299" i="2"/>
  <c r="O288" i="2"/>
  <c r="O273" i="2"/>
  <c r="O270" i="2"/>
  <c r="AG270" i="2"/>
  <c r="AK270" i="2" s="1"/>
  <c r="AG263" i="2"/>
  <c r="AK263" i="2" s="1"/>
  <c r="O263" i="2"/>
  <c r="O259" i="2"/>
  <c r="AG259" i="2"/>
  <c r="AK259" i="2" s="1"/>
  <c r="AG226" i="2"/>
  <c r="AK226" i="2" s="1"/>
  <c r="O226" i="2"/>
  <c r="O316" i="2"/>
  <c r="AF297" i="2"/>
  <c r="AG297" i="2"/>
  <c r="AK297" i="2" s="1"/>
  <c r="M233" i="2"/>
  <c r="O351" i="2"/>
  <c r="AG332" i="2"/>
  <c r="AK332" i="2" s="1"/>
  <c r="AF327" i="2"/>
  <c r="O325" i="2"/>
  <c r="O318" i="2"/>
  <c r="O309" i="2"/>
  <c r="O303" i="2"/>
  <c r="O290" i="2"/>
  <c r="M273" i="2"/>
  <c r="O258" i="2"/>
  <c r="AG258" i="2"/>
  <c r="AK258" i="2" s="1"/>
  <c r="AG177" i="2"/>
  <c r="AK177" i="2" s="1"/>
  <c r="O177" i="2"/>
  <c r="M316" i="2"/>
  <c r="O296" i="2"/>
  <c r="O287" i="2"/>
  <c r="O281" i="2"/>
  <c r="AF279" i="2"/>
  <c r="O278" i="2"/>
  <c r="AG278" i="2"/>
  <c r="AK278" i="2" s="1"/>
  <c r="AG271" i="2"/>
  <c r="AK271" i="2" s="1"/>
  <c r="O246" i="2"/>
  <c r="AG246" i="2"/>
  <c r="AK246" i="2" s="1"/>
  <c r="O321" i="2"/>
  <c r="AG309" i="2"/>
  <c r="AK309" i="2" s="1"/>
  <c r="O301" i="2"/>
  <c r="AG301" i="2"/>
  <c r="AK301" i="2" s="1"/>
  <c r="O298" i="2"/>
  <c r="AG283" i="2"/>
  <c r="AK283" i="2" s="1"/>
  <c r="AG276" i="2"/>
  <c r="AK276" i="2" s="1"/>
  <c r="AG269" i="2"/>
  <c r="AK269" i="2" s="1"/>
  <c r="O269" i="2"/>
  <c r="O247" i="2"/>
  <c r="M240" i="2"/>
  <c r="AG338" i="2"/>
  <c r="AK338" i="2" s="1"/>
  <c r="O338" i="2"/>
  <c r="AF309" i="2"/>
  <c r="O307" i="2"/>
  <c r="AG303" i="2"/>
  <c r="AK303" i="2" s="1"/>
  <c r="AG288" i="2"/>
  <c r="AK288" i="2" s="1"/>
  <c r="M287" i="2"/>
  <c r="AF283" i="2"/>
  <c r="AF251" i="2"/>
  <c r="M247" i="2"/>
  <c r="O332" i="2"/>
  <c r="O326" i="2"/>
  <c r="O320" i="2"/>
  <c r="O314" i="2"/>
  <c r="O308" i="2"/>
  <c r="O302" i="2"/>
  <c r="O286" i="2"/>
  <c r="M259" i="2"/>
  <c r="AG247" i="2"/>
  <c r="AK247" i="2" s="1"/>
  <c r="AG245" i="2"/>
  <c r="AK245" i="2" s="1"/>
  <c r="AF240" i="2"/>
  <c r="O238" i="2"/>
  <c r="AG219" i="2"/>
  <c r="AK219" i="2" s="1"/>
  <c r="M207" i="2"/>
  <c r="O207" i="2"/>
  <c r="M195" i="2"/>
  <c r="O195" i="2"/>
  <c r="M183" i="2"/>
  <c r="O183" i="2"/>
  <c r="M177" i="2"/>
  <c r="AG176" i="2"/>
  <c r="AK176" i="2" s="1"/>
  <c r="O157" i="2"/>
  <c r="AG157" i="2"/>
  <c r="AK157" i="2" s="1"/>
  <c r="AF128" i="2"/>
  <c r="AG275" i="2"/>
  <c r="AK275" i="2" s="1"/>
  <c r="O275" i="2"/>
  <c r="O264" i="2"/>
  <c r="O241" i="2"/>
  <c r="O218" i="2"/>
  <c r="O216" i="2"/>
  <c r="AG213" i="2"/>
  <c r="AK213" i="2" s="1"/>
  <c r="M210" i="2"/>
  <c r="O210" i="2"/>
  <c r="M198" i="2"/>
  <c r="O198" i="2"/>
  <c r="M186" i="2"/>
  <c r="O186" i="2"/>
  <c r="O181" i="2"/>
  <c r="AG181" i="2"/>
  <c r="AK181" i="2" s="1"/>
  <c r="AF168" i="2"/>
  <c r="AG166" i="2"/>
  <c r="AK166" i="2" s="1"/>
  <c r="O166" i="2"/>
  <c r="O294" i="2"/>
  <c r="AG282" i="2"/>
  <c r="AK282" i="2" s="1"/>
  <c r="AG257" i="2"/>
  <c r="AK257" i="2" s="1"/>
  <c r="AF254" i="2"/>
  <c r="AF252" i="2"/>
  <c r="O250" i="2"/>
  <c r="O243" i="2"/>
  <c r="M236" i="2"/>
  <c r="O234" i="2"/>
  <c r="M231" i="2"/>
  <c r="AG222" i="2"/>
  <c r="AK222" i="2" s="1"/>
  <c r="M205" i="2"/>
  <c r="M193" i="2"/>
  <c r="O175" i="2"/>
  <c r="AG175" i="2"/>
  <c r="AK175" i="2" s="1"/>
  <c r="O170" i="2"/>
  <c r="AG164" i="2"/>
  <c r="AK164" i="2" s="1"/>
  <c r="O158" i="2"/>
  <c r="M136" i="2"/>
  <c r="O136" i="2"/>
  <c r="M241" i="2"/>
  <c r="AF222" i="2"/>
  <c r="O220" i="2"/>
  <c r="O202" i="2"/>
  <c r="M174" i="2"/>
  <c r="O174" i="2"/>
  <c r="M165" i="2"/>
  <c r="M158" i="2"/>
  <c r="AF129" i="2"/>
  <c r="O96" i="2"/>
  <c r="AG96" i="2"/>
  <c r="AK96" i="2" s="1"/>
  <c r="AG218" i="2"/>
  <c r="AK218" i="2" s="1"/>
  <c r="AF210" i="2"/>
  <c r="O169" i="2"/>
  <c r="AG169" i="2"/>
  <c r="AK169" i="2" s="1"/>
  <c r="M160" i="2"/>
  <c r="O276" i="2"/>
  <c r="AG239" i="2"/>
  <c r="AK239" i="2" s="1"/>
  <c r="AF234" i="2"/>
  <c r="O232" i="2"/>
  <c r="O230" i="2"/>
  <c r="O225" i="2"/>
  <c r="AF218" i="2"/>
  <c r="AF207" i="2"/>
  <c r="AG207" i="2"/>
  <c r="AK207" i="2" s="1"/>
  <c r="O200" i="2"/>
  <c r="AF195" i="2"/>
  <c r="AG195" i="2"/>
  <c r="AK195" i="2" s="1"/>
  <c r="O188" i="2"/>
  <c r="AF183" i="2"/>
  <c r="AG183" i="2"/>
  <c r="AK183" i="2" s="1"/>
  <c r="AF176" i="2"/>
  <c r="AF156" i="2"/>
  <c r="M201" i="2"/>
  <c r="O201" i="2"/>
  <c r="M189" i="2"/>
  <c r="O189" i="2"/>
  <c r="AG77" i="2"/>
  <c r="AK77" i="2" s="1"/>
  <c r="O77" i="2"/>
  <c r="AG251" i="2"/>
  <c r="AK251" i="2" s="1"/>
  <c r="AF246" i="2"/>
  <c r="O244" i="2"/>
  <c r="O237" i="2"/>
  <c r="O228" i="2"/>
  <c r="O211" i="2"/>
  <c r="AF205" i="2"/>
  <c r="M204" i="2"/>
  <c r="O204" i="2"/>
  <c r="AF193" i="2"/>
  <c r="M192" i="2"/>
  <c r="O192" i="2"/>
  <c r="AG171" i="2"/>
  <c r="AK171" i="2" s="1"/>
  <c r="AF164" i="2"/>
  <c r="M235" i="2"/>
  <c r="M211" i="2"/>
  <c r="M199" i="2"/>
  <c r="M187" i="2"/>
  <c r="O240" i="2"/>
  <c r="AG214" i="2"/>
  <c r="AK214" i="2" s="1"/>
  <c r="O214" i="2"/>
  <c r="M140" i="2"/>
  <c r="O140" i="2"/>
  <c r="M214" i="2"/>
  <c r="AF180" i="2"/>
  <c r="AG178" i="2"/>
  <c r="AK178" i="2" s="1"/>
  <c r="O178" i="2"/>
  <c r="O257" i="2"/>
  <c r="O251" i="2"/>
  <c r="O245" i="2"/>
  <c r="O239" i="2"/>
  <c r="O233" i="2"/>
  <c r="O227" i="2"/>
  <c r="O221" i="2"/>
  <c r="AG180" i="2"/>
  <c r="AK180" i="2" s="1"/>
  <c r="AG168" i="2"/>
  <c r="AK168" i="2" s="1"/>
  <c r="AG163" i="2"/>
  <c r="AK163" i="2" s="1"/>
  <c r="O161" i="2"/>
  <c r="AG146" i="2"/>
  <c r="AK146" i="2" s="1"/>
  <c r="AF122" i="2"/>
  <c r="AG23" i="2"/>
  <c r="AK23" i="2" s="1"/>
  <c r="O23" i="2"/>
  <c r="M11" i="2"/>
  <c r="O217" i="2"/>
  <c r="M180" i="2"/>
  <c r="O180" i="2"/>
  <c r="M168" i="2"/>
  <c r="O168" i="2"/>
  <c r="O145" i="2"/>
  <c r="AG125" i="2"/>
  <c r="AK125" i="2" s="1"/>
  <c r="O125" i="2"/>
  <c r="AG105" i="2"/>
  <c r="AK105" i="2" s="1"/>
  <c r="O94" i="2"/>
  <c r="AG94" i="2"/>
  <c r="AK94" i="2" s="1"/>
  <c r="AF53" i="2"/>
  <c r="O38" i="2"/>
  <c r="M38" i="2"/>
  <c r="O176" i="2"/>
  <c r="O164" i="2"/>
  <c r="O149" i="2"/>
  <c r="O139" i="2"/>
  <c r="O124" i="2"/>
  <c r="M103" i="2"/>
  <c r="O103" i="2"/>
  <c r="AF98" i="2"/>
  <c r="AG210" i="2"/>
  <c r="AK210" i="2" s="1"/>
  <c r="AG204" i="2"/>
  <c r="AK204" i="2" s="1"/>
  <c r="AG198" i="2"/>
  <c r="AK198" i="2" s="1"/>
  <c r="AG192" i="2"/>
  <c r="AK192" i="2" s="1"/>
  <c r="AG186" i="2"/>
  <c r="AK186" i="2" s="1"/>
  <c r="AF157" i="2"/>
  <c r="O143" i="2"/>
  <c r="O141" i="2"/>
  <c r="M26" i="2"/>
  <c r="O26" i="2"/>
  <c r="AG134" i="2"/>
  <c r="AK134" i="2" s="1"/>
  <c r="O134" i="2"/>
  <c r="AG129" i="2"/>
  <c r="AK129" i="2" s="1"/>
  <c r="O129" i="2"/>
  <c r="O128" i="2"/>
  <c r="AG128" i="2"/>
  <c r="AK128" i="2" s="1"/>
  <c r="M119" i="2"/>
  <c r="O92" i="2"/>
  <c r="AG92" i="2"/>
  <c r="AK92" i="2" s="1"/>
  <c r="AF78" i="2"/>
  <c r="AG162" i="2"/>
  <c r="AK162" i="2" s="1"/>
  <c r="AG159" i="2"/>
  <c r="AK159" i="2" s="1"/>
  <c r="AF145" i="2"/>
  <c r="AG139" i="2"/>
  <c r="AK139" i="2" s="1"/>
  <c r="AF135" i="2"/>
  <c r="M129" i="2"/>
  <c r="O42" i="2"/>
  <c r="AG42" i="2"/>
  <c r="AK42" i="2" s="1"/>
  <c r="AG29" i="2"/>
  <c r="AK29" i="2" s="1"/>
  <c r="O29" i="2"/>
  <c r="O205" i="2"/>
  <c r="O199" i="2"/>
  <c r="O193" i="2"/>
  <c r="O187" i="2"/>
  <c r="AG174" i="2"/>
  <c r="AK174" i="2" s="1"/>
  <c r="M162" i="2"/>
  <c r="O162" i="2"/>
  <c r="AG156" i="2"/>
  <c r="AK156" i="2" s="1"/>
  <c r="AG153" i="2"/>
  <c r="AK153" i="2" s="1"/>
  <c r="AF139" i="2"/>
  <c r="O122" i="2"/>
  <c r="AG122" i="2"/>
  <c r="AK122" i="2" s="1"/>
  <c r="M110" i="2"/>
  <c r="M156" i="2"/>
  <c r="O156" i="2"/>
  <c r="AG147" i="2"/>
  <c r="AK147" i="2" s="1"/>
  <c r="O127" i="2"/>
  <c r="O117" i="2"/>
  <c r="M150" i="2"/>
  <c r="O150" i="2"/>
  <c r="O116" i="2"/>
  <c r="AG116" i="2"/>
  <c r="AK116" i="2" s="1"/>
  <c r="M144" i="2"/>
  <c r="O144" i="2"/>
  <c r="M138" i="2"/>
  <c r="O138" i="2"/>
  <c r="M131" i="2"/>
  <c r="M117" i="2"/>
  <c r="AG78" i="2"/>
  <c r="AK78" i="2" s="1"/>
  <c r="AF123" i="2"/>
  <c r="AG123" i="2"/>
  <c r="AK123" i="2" s="1"/>
  <c r="AF91" i="2"/>
  <c r="M89" i="2"/>
  <c r="AF34" i="2"/>
  <c r="AG34" i="2"/>
  <c r="AK34" i="2" s="1"/>
  <c r="AG101" i="2"/>
  <c r="AK101" i="2" s="1"/>
  <c r="O88" i="2"/>
  <c r="M76" i="2"/>
  <c r="O76" i="2"/>
  <c r="AG65" i="2"/>
  <c r="AK65" i="2" s="1"/>
  <c r="O65" i="2"/>
  <c r="AF61" i="2"/>
  <c r="AG61" i="2"/>
  <c r="AK61" i="2" s="1"/>
  <c r="O113" i="2"/>
  <c r="O111" i="2"/>
  <c r="O104" i="2"/>
  <c r="O97" i="2"/>
  <c r="AF82" i="2"/>
  <c r="O81" i="2"/>
  <c r="M64" i="2"/>
  <c r="AG113" i="2"/>
  <c r="AK113" i="2" s="1"/>
  <c r="AG108" i="2"/>
  <c r="AK108" i="2" s="1"/>
  <c r="AG97" i="2"/>
  <c r="AK97" i="2" s="1"/>
  <c r="AF57" i="2"/>
  <c r="AG57" i="2"/>
  <c r="AK57" i="2" s="1"/>
  <c r="AG9" i="2"/>
  <c r="AK9" i="2" s="1"/>
  <c r="AG72" i="2"/>
  <c r="AK72" i="2" s="1"/>
  <c r="O72" i="2"/>
  <c r="O17" i="2"/>
  <c r="AF12" i="2"/>
  <c r="AG111" i="2"/>
  <c r="AK111" i="2" s="1"/>
  <c r="AG109" i="2"/>
  <c r="AK109" i="2" s="1"/>
  <c r="AG104" i="2"/>
  <c r="AK104" i="2" s="1"/>
  <c r="O100" i="2"/>
  <c r="O95" i="2"/>
  <c r="O93" i="2"/>
  <c r="O75" i="2"/>
  <c r="AF73" i="2"/>
  <c r="O54" i="2"/>
  <c r="AG54" i="2"/>
  <c r="AK54" i="2" s="1"/>
  <c r="AF30" i="2"/>
  <c r="AF24" i="2"/>
  <c r="AF22" i="2"/>
  <c r="AG22" i="2"/>
  <c r="AK22" i="2" s="1"/>
  <c r="AG131" i="2"/>
  <c r="AK131" i="2" s="1"/>
  <c r="M123" i="2"/>
  <c r="O121" i="2"/>
  <c r="AF104" i="2"/>
  <c r="AG90" i="2"/>
  <c r="AK90" i="2" s="1"/>
  <c r="O87" i="2"/>
  <c r="O83" i="2"/>
  <c r="O78" i="2"/>
  <c r="AG76" i="2"/>
  <c r="AK76" i="2" s="1"/>
  <c r="O71" i="2"/>
  <c r="O70" i="2"/>
  <c r="O53" i="2"/>
  <c r="M17" i="2"/>
  <c r="O105" i="2"/>
  <c r="O98" i="2"/>
  <c r="O91" i="2"/>
  <c r="O80" i="2"/>
  <c r="AF76" i="2"/>
  <c r="AF67" i="2"/>
  <c r="M46" i="2"/>
  <c r="O46" i="2"/>
  <c r="AF116" i="2"/>
  <c r="AG107" i="2"/>
  <c r="AK107" i="2" s="1"/>
  <c r="AG91" i="2"/>
  <c r="AK91" i="2" s="1"/>
  <c r="O89" i="2"/>
  <c r="M87" i="2"/>
  <c r="M71" i="2"/>
  <c r="M70" i="2"/>
  <c r="M15" i="2"/>
  <c r="O110" i="2"/>
  <c r="O82" i="2"/>
  <c r="AF66" i="2"/>
  <c r="AG66" i="2"/>
  <c r="AK66" i="2" s="1"/>
  <c r="AF65" i="2"/>
  <c r="O60" i="2"/>
  <c r="AG60" i="2"/>
  <c r="AK60" i="2" s="1"/>
  <c r="O58" i="2"/>
  <c r="AG58" i="2"/>
  <c r="AK58" i="2" s="1"/>
  <c r="M57" i="2"/>
  <c r="O57" i="2"/>
  <c r="AF49" i="2"/>
  <c r="AG49" i="2"/>
  <c r="AK49" i="2" s="1"/>
  <c r="M21" i="2"/>
  <c r="O21" i="2"/>
  <c r="O132" i="2"/>
  <c r="AG126" i="2"/>
  <c r="AK126" i="2" s="1"/>
  <c r="AG114" i="2"/>
  <c r="AK114" i="2" s="1"/>
  <c r="AG98" i="2"/>
  <c r="AK98" i="2" s="1"/>
  <c r="M74" i="2"/>
  <c r="M58" i="2"/>
  <c r="AG11" i="2"/>
  <c r="AK11" i="2" s="1"/>
  <c r="O11" i="2"/>
  <c r="S11" i="2" s="1"/>
  <c r="T11" i="2" s="1"/>
  <c r="C13" i="10" s="1"/>
  <c r="AG40" i="2"/>
  <c r="AK40" i="2" s="1"/>
  <c r="AG24" i="2"/>
  <c r="AK24" i="2" s="1"/>
  <c r="AG17" i="2"/>
  <c r="AK17" i="2" s="1"/>
  <c r="O8" i="2"/>
  <c r="S8" i="2" s="1"/>
  <c r="T8" i="2" s="1"/>
  <c r="C10" i="10" s="1"/>
  <c r="O68" i="2"/>
  <c r="O41" i="2"/>
  <c r="AG35" i="2"/>
  <c r="AK35" i="2" s="1"/>
  <c r="M27" i="2"/>
  <c r="AG21" i="2"/>
  <c r="AK21" i="2" s="1"/>
  <c r="AF15" i="2"/>
  <c r="AG48" i="2"/>
  <c r="AK48" i="2" s="1"/>
  <c r="O47" i="2"/>
  <c r="AG41" i="2"/>
  <c r="AK41" i="2" s="1"/>
  <c r="M33" i="2"/>
  <c r="AG27" i="2"/>
  <c r="AK27" i="2" s="1"/>
  <c r="AF21" i="2"/>
  <c r="AG13" i="2"/>
  <c r="AK13" i="2" s="1"/>
  <c r="M10" i="2"/>
  <c r="M39" i="2"/>
  <c r="AG33" i="2"/>
  <c r="AK33" i="2" s="1"/>
  <c r="O28" i="2"/>
  <c r="AF27" i="2"/>
  <c r="AG19" i="2"/>
  <c r="AK19" i="2" s="1"/>
  <c r="M16" i="2"/>
  <c r="AG53" i="2"/>
  <c r="AK53" i="2" s="1"/>
  <c r="M45" i="2"/>
  <c r="AG39" i="2"/>
  <c r="AK39" i="2" s="1"/>
  <c r="AF33" i="2"/>
  <c r="AG25" i="2"/>
  <c r="AK25" i="2" s="1"/>
  <c r="M51" i="2"/>
  <c r="AG45" i="2"/>
  <c r="AK45" i="2" s="1"/>
  <c r="AF39" i="2"/>
  <c r="AG31" i="2"/>
  <c r="AK31" i="2" s="1"/>
  <c r="M28" i="2"/>
  <c r="M63" i="2"/>
  <c r="AF7" i="2"/>
  <c r="AG12" i="2"/>
  <c r="AK12" i="2" s="1"/>
  <c r="M9" i="2"/>
  <c r="O6" i="2"/>
  <c r="S6" i="2" s="1"/>
  <c r="T6" i="2" s="1"/>
  <c r="C8" i="10" s="1"/>
  <c r="AO694" i="2" l="1"/>
  <c r="AO39" i="2"/>
  <c r="AO74" i="2"/>
  <c r="AO714" i="2"/>
  <c r="AO366" i="2"/>
  <c r="AO212" i="2"/>
  <c r="AO637" i="2"/>
  <c r="AO109" i="2"/>
  <c r="AO135" i="2"/>
  <c r="AO231" i="2"/>
  <c r="AO529" i="2"/>
  <c r="AO651" i="2"/>
  <c r="AO774" i="2"/>
  <c r="AO479" i="2"/>
  <c r="AO751" i="2"/>
  <c r="AO491" i="2"/>
  <c r="AO203" i="2"/>
  <c r="AO118" i="2"/>
  <c r="AO517" i="2"/>
  <c r="AO371" i="2"/>
  <c r="AO191" i="2"/>
  <c r="AO33" i="2"/>
  <c r="AO119" i="2"/>
  <c r="AO923" i="2"/>
  <c r="AO814" i="2"/>
  <c r="AO781" i="2"/>
  <c r="AO757" i="2"/>
  <c r="AO442" i="2"/>
  <c r="AO102" i="2"/>
  <c r="AO762" i="2"/>
  <c r="AO901" i="2"/>
  <c r="AO658" i="2"/>
  <c r="AO155" i="2"/>
  <c r="AO146" i="2"/>
  <c r="AO911" i="2"/>
  <c r="AO738" i="2"/>
  <c r="AO635" i="2"/>
  <c r="AO31" i="2"/>
  <c r="AO484" i="2"/>
  <c r="AO381" i="2"/>
  <c r="AO878" i="2"/>
  <c r="AO283" i="2"/>
  <c r="AO196" i="2"/>
  <c r="AO936" i="2"/>
  <c r="AO662" i="2"/>
  <c r="AO718" i="2"/>
  <c r="AO834" i="2"/>
  <c r="AO691" i="2"/>
  <c r="AO824" i="2"/>
  <c r="AO755" i="2"/>
  <c r="AO467" i="2"/>
  <c r="AO45" i="2"/>
  <c r="AO547" i="2"/>
  <c r="AO403" i="2"/>
  <c r="T9" i="2"/>
  <c r="C11" i="10" s="1"/>
  <c r="AO787" i="2"/>
  <c r="AO715" i="2"/>
  <c r="AO458" i="2"/>
  <c r="AO859" i="2"/>
  <c r="AO842" i="2"/>
  <c r="AO194" i="2"/>
  <c r="AO696" i="2"/>
  <c r="AO235" i="2"/>
  <c r="AO50" i="2"/>
  <c r="AO354" i="2"/>
  <c r="AO107" i="2"/>
  <c r="AO165" i="2"/>
  <c r="AO523" i="2"/>
  <c r="AO832" i="2"/>
  <c r="AO560" i="2"/>
  <c r="AO396" i="2"/>
  <c r="AO632" i="2"/>
  <c r="AO485" i="2"/>
  <c r="AO526" i="2"/>
  <c r="AO798" i="2"/>
  <c r="AO725" i="2"/>
  <c r="AO473" i="2"/>
  <c r="AO736" i="2"/>
  <c r="AO365" i="2"/>
  <c r="AO808" i="2"/>
  <c r="AO160" i="2"/>
  <c r="AO797" i="2"/>
  <c r="AO520" i="2"/>
  <c r="AO154" i="2"/>
  <c r="AO543" i="2"/>
  <c r="AO897" i="2"/>
  <c r="AO446" i="2"/>
  <c r="AO56" i="2"/>
  <c r="AO577" i="2"/>
  <c r="AO461" i="2"/>
  <c r="AO603" i="2"/>
  <c r="AO51" i="2"/>
  <c r="AO540" i="2"/>
  <c r="AO674" i="2"/>
  <c r="AO686" i="2"/>
  <c r="AO513" i="2"/>
  <c r="AO184" i="2"/>
  <c r="AO454" i="2"/>
  <c r="AO743" i="2"/>
  <c r="AO610" i="2"/>
  <c r="AO99" i="2"/>
  <c r="AO652" i="2"/>
  <c r="AO508" i="2"/>
  <c r="AO483" i="2"/>
  <c r="AO455" i="2"/>
  <c r="AO254" i="2"/>
  <c r="AO675" i="2"/>
  <c r="AO750" i="2"/>
  <c r="AO223" i="2"/>
  <c r="AO887" i="2"/>
  <c r="AO487" i="2"/>
  <c r="AO489" i="2"/>
  <c r="AO868" i="2"/>
  <c r="AO894" i="2"/>
  <c r="AO511" i="2"/>
  <c r="AO730" i="2"/>
  <c r="AO459" i="2"/>
  <c r="AO466" i="2"/>
  <c r="AO436" i="2"/>
  <c r="AO925" i="2"/>
  <c r="AO86" i="2"/>
  <c r="AO650" i="2"/>
  <c r="AO504" i="2"/>
  <c r="AO812" i="2"/>
  <c r="AO383" i="2"/>
  <c r="AO171" i="2"/>
  <c r="AO182" i="2"/>
  <c r="AO724" i="2"/>
  <c r="AO822" i="2"/>
  <c r="AO167" i="2"/>
  <c r="AO142" i="2"/>
  <c r="AO248" i="2"/>
  <c r="T15" i="2"/>
  <c r="T5" i="2"/>
  <c r="E942" i="10"/>
  <c r="I942" i="10"/>
  <c r="G942" i="10"/>
  <c r="S942" i="10"/>
  <c r="Q942" i="10"/>
  <c r="K942" i="10"/>
  <c r="O942" i="10"/>
  <c r="M942" i="10"/>
  <c r="E943" i="10"/>
  <c r="K943" i="10"/>
  <c r="M943" i="10"/>
  <c r="S943" i="10"/>
  <c r="Q943" i="10"/>
  <c r="O943" i="10"/>
  <c r="I943" i="10"/>
  <c r="G943" i="10"/>
  <c r="AM491" i="2"/>
  <c r="AN491" i="2" s="1"/>
  <c r="AO939" i="2"/>
  <c r="AM479" i="2"/>
  <c r="AN479" i="2" s="1"/>
  <c r="AM459" i="2"/>
  <c r="AN459" i="2" s="1"/>
  <c r="AM254" i="2"/>
  <c r="AN254" i="2" s="1"/>
  <c r="AM165" i="2"/>
  <c r="AN165" i="2" s="1"/>
  <c r="AM674" i="2"/>
  <c r="AN674" i="2" s="1"/>
  <c r="AM691" i="2"/>
  <c r="AN691" i="2" s="1"/>
  <c r="AM658" i="2"/>
  <c r="AN658" i="2" s="1"/>
  <c r="AM560" i="2"/>
  <c r="AN560" i="2" s="1"/>
  <c r="AM212" i="2"/>
  <c r="AN212" i="2" s="1"/>
  <c r="AM577" i="2"/>
  <c r="AN577" i="2" s="1"/>
  <c r="AM56" i="2"/>
  <c r="AN56" i="2" s="1"/>
  <c r="AM203" i="2"/>
  <c r="AN203" i="2" s="1"/>
  <c r="AM461" i="2"/>
  <c r="AN461" i="2" s="1"/>
  <c r="AM859" i="2"/>
  <c r="AN859" i="2" s="1"/>
  <c r="AM526" i="2"/>
  <c r="AN526" i="2" s="1"/>
  <c r="AM610" i="2"/>
  <c r="AN610" i="2" s="1"/>
  <c r="AM196" i="2"/>
  <c r="AN196" i="2" s="1"/>
  <c r="AM154" i="2"/>
  <c r="AN154" i="2" s="1"/>
  <c r="AM403" i="2"/>
  <c r="AN403" i="2" s="1"/>
  <c r="AM925" i="2"/>
  <c r="AN925" i="2" s="1"/>
  <c r="AM939" i="2"/>
  <c r="AN939" i="2" s="1"/>
  <c r="AM520" i="2"/>
  <c r="AN520" i="2" s="1"/>
  <c r="AM523" i="2"/>
  <c r="AN523" i="2" s="1"/>
  <c r="AM182" i="2"/>
  <c r="AN182" i="2" s="1"/>
  <c r="AM637" i="2"/>
  <c r="AN637" i="2" s="1"/>
  <c r="AM135" i="2"/>
  <c r="AN135" i="2" s="1"/>
  <c r="AM194" i="2"/>
  <c r="AN194" i="2" s="1"/>
  <c r="AM675" i="2"/>
  <c r="AN675" i="2" s="1"/>
  <c r="AM383" i="2"/>
  <c r="AN383" i="2" s="1"/>
  <c r="AM812" i="2"/>
  <c r="AN812" i="2" s="1"/>
  <c r="AM743" i="2"/>
  <c r="AN743" i="2" s="1"/>
  <c r="AM824" i="2"/>
  <c r="AN824" i="2" s="1"/>
  <c r="AM39" i="2"/>
  <c r="AN39" i="2" s="1"/>
  <c r="AM371" i="2"/>
  <c r="AN371" i="2" s="1"/>
  <c r="AM894" i="2"/>
  <c r="AN894" i="2" s="1"/>
  <c r="AM99" i="2"/>
  <c r="AN99" i="2" s="1"/>
  <c r="AM800" i="2"/>
  <c r="AN800" i="2" s="1"/>
  <c r="AM15" i="2"/>
  <c r="AN15" i="2" s="1"/>
  <c r="AM694" i="2"/>
  <c r="AN694" i="2" s="1"/>
  <c r="AM191" i="2"/>
  <c r="AN191" i="2" s="1"/>
  <c r="AM248" i="2"/>
  <c r="AN248" i="2" s="1"/>
  <c r="AM543" i="2"/>
  <c r="AN543" i="2" s="1"/>
  <c r="AM529" i="2"/>
  <c r="AN529" i="2" s="1"/>
  <c r="AM784" i="2"/>
  <c r="AN784" i="2" s="1"/>
  <c r="AM366" i="2"/>
  <c r="AN366" i="2" s="1"/>
  <c r="AM436" i="2"/>
  <c r="AN436" i="2" s="1"/>
  <c r="AM142" i="2"/>
  <c r="AN142" i="2" s="1"/>
  <c r="AM797" i="2"/>
  <c r="AN797" i="2" s="1"/>
  <c r="AM50" i="2"/>
  <c r="AN50" i="2" s="1"/>
  <c r="AM466" i="2"/>
  <c r="AN466" i="2" s="1"/>
  <c r="AM540" i="2"/>
  <c r="AN540" i="2" s="1"/>
  <c r="AM407" i="2"/>
  <c r="AN407" i="2" s="1"/>
  <c r="AM483" i="2"/>
  <c r="AN483" i="2" s="1"/>
  <c r="AM485" i="2"/>
  <c r="AN485" i="2" s="1"/>
  <c r="AO456" i="2"/>
  <c r="AO896" i="2"/>
  <c r="AO350" i="2"/>
  <c r="AM33" i="2"/>
  <c r="AN33" i="2" s="1"/>
  <c r="AM160" i="2"/>
  <c r="AN160" i="2" s="1"/>
  <c r="AM508" i="2"/>
  <c r="AN508" i="2" s="1"/>
  <c r="AM442" i="2"/>
  <c r="AN442" i="2" s="1"/>
  <c r="AM787" i="2"/>
  <c r="AN787" i="2" s="1"/>
  <c r="AO25" i="2"/>
  <c r="AO229" i="2"/>
  <c r="AO260" i="2"/>
  <c r="AO507" i="2"/>
  <c r="AO934" i="2"/>
  <c r="AO623" i="2"/>
  <c r="AO890" i="2"/>
  <c r="AO597" i="2"/>
  <c r="AO712" i="2"/>
  <c r="AO826" i="2"/>
  <c r="AO561" i="2"/>
  <c r="AO758" i="2"/>
  <c r="AO907" i="2"/>
  <c r="AM167" i="2"/>
  <c r="AN167" i="2" s="1"/>
  <c r="AM467" i="2"/>
  <c r="AN467" i="2" s="1"/>
  <c r="AM814" i="2"/>
  <c r="AN814" i="2" s="1"/>
  <c r="AO622" i="2"/>
  <c r="AO880" i="2"/>
  <c r="AO616" i="2"/>
  <c r="AO471" i="2"/>
  <c r="AO478" i="2"/>
  <c r="AM632" i="2"/>
  <c r="AN632" i="2" s="1"/>
  <c r="AO375" i="2"/>
  <c r="AO475" i="2"/>
  <c r="AO469" i="2"/>
  <c r="AO835" i="2"/>
  <c r="AO112" i="2"/>
  <c r="AO206" i="2"/>
  <c r="AO115" i="2"/>
  <c r="AO811" i="2"/>
  <c r="AM686" i="2"/>
  <c r="AN686" i="2" s="1"/>
  <c r="AM714" i="2"/>
  <c r="AN714" i="2" s="1"/>
  <c r="AM887" i="2"/>
  <c r="AN887" i="2" s="1"/>
  <c r="AO44" i="2"/>
  <c r="AO152" i="2"/>
  <c r="AO323" i="2"/>
  <c r="AO617" i="2"/>
  <c r="AO780" i="2"/>
  <c r="AO776" i="2"/>
  <c r="AO669" i="2"/>
  <c r="AO733" i="2"/>
  <c r="AO892" i="2"/>
  <c r="AO159" i="2"/>
  <c r="AO101" i="2"/>
  <c r="AO744" i="2"/>
  <c r="AO793" i="2"/>
  <c r="AO618" i="2"/>
  <c r="AM676" i="2"/>
  <c r="AN676" i="2" s="1"/>
  <c r="AM798" i="2"/>
  <c r="AN798" i="2" s="1"/>
  <c r="AO185" i="2"/>
  <c r="AO215" i="2"/>
  <c r="AO249" i="2"/>
  <c r="AO932" i="2"/>
  <c r="AO679" i="2"/>
  <c r="AM822" i="2"/>
  <c r="AN822" i="2" s="1"/>
  <c r="AO792" i="2"/>
  <c r="AO265" i="2"/>
  <c r="AO123" i="2"/>
  <c r="AO921" i="2"/>
  <c r="AO131" i="2"/>
  <c r="AO681" i="2"/>
  <c r="AO626" i="2"/>
  <c r="AO628" i="2"/>
  <c r="AO933" i="2"/>
  <c r="AO895" i="2"/>
  <c r="AO619" i="2"/>
  <c r="AO930" i="2"/>
  <c r="AO906" i="2"/>
  <c r="AM454" i="2"/>
  <c r="AN454" i="2" s="1"/>
  <c r="AO378" i="2"/>
  <c r="AO236" i="2"/>
  <c r="AO558" i="2"/>
  <c r="AO565" i="2"/>
  <c r="AO639" i="2"/>
  <c r="AO916" i="2"/>
  <c r="AM504" i="2"/>
  <c r="AN504" i="2" s="1"/>
  <c r="AO20" i="2"/>
  <c r="AO645" i="2"/>
  <c r="AO819" i="2"/>
  <c r="AO292" i="2"/>
  <c r="AO533" i="2"/>
  <c r="AM118" i="2"/>
  <c r="AN118" i="2" s="1"/>
  <c r="AO646" i="2"/>
  <c r="AO452" i="2"/>
  <c r="AO843" i="2"/>
  <c r="AM86" i="2"/>
  <c r="AN86" i="2" s="1"/>
  <c r="AM446" i="2"/>
  <c r="AN446" i="2" s="1"/>
  <c r="AM834" i="2"/>
  <c r="AN834" i="2" s="1"/>
  <c r="AM868" i="2"/>
  <c r="AN868" i="2" s="1"/>
  <c r="AM911" i="2"/>
  <c r="AN911" i="2" s="1"/>
  <c r="AO7" i="2"/>
  <c r="AO219" i="2"/>
  <c r="AO108" i="2"/>
  <c r="AO271" i="2"/>
  <c r="AO342" i="2"/>
  <c r="AO680" i="2"/>
  <c r="AO600" i="2"/>
  <c r="AO462" i="2"/>
  <c r="AO786" i="2"/>
  <c r="AO941" i="2"/>
  <c r="AO282" i="2"/>
  <c r="AO587" i="2"/>
  <c r="AO866" i="2"/>
  <c r="AM235" i="2"/>
  <c r="AN235" i="2" s="1"/>
  <c r="AO590" i="2"/>
  <c r="AO705" i="2"/>
  <c r="AO304" i="2"/>
  <c r="AO938" i="2"/>
  <c r="AO173" i="2"/>
  <c r="AO918" i="2"/>
  <c r="AO657" i="2"/>
  <c r="AO208" i="2"/>
  <c r="AO348" i="2"/>
  <c r="AO664" i="2"/>
  <c r="AO266" i="2"/>
  <c r="AO699" i="2"/>
  <c r="AO830" i="2"/>
  <c r="AO594" i="2"/>
  <c r="AO783" i="2"/>
  <c r="AO495" i="2"/>
  <c r="AO474" i="2"/>
  <c r="AM650" i="2"/>
  <c r="AN650" i="2" s="1"/>
  <c r="AM511" i="2"/>
  <c r="AN511" i="2" s="1"/>
  <c r="AM808" i="2"/>
  <c r="AN808" i="2" s="1"/>
  <c r="AO344" i="2"/>
  <c r="AO417" i="2"/>
  <c r="AO856" i="2"/>
  <c r="AO496" i="2"/>
  <c r="AO788" i="2"/>
  <c r="AO289" i="2"/>
  <c r="AO588" i="2"/>
  <c r="AO319" i="2"/>
  <c r="AO838" i="2"/>
  <c r="AO869" i="2"/>
  <c r="AO889" i="2"/>
  <c r="AO106" i="2"/>
  <c r="AO702" i="2"/>
  <c r="AO255" i="2"/>
  <c r="AO668" i="2"/>
  <c r="AO693" i="2"/>
  <c r="AO55" i="2"/>
  <c r="AO213" i="2"/>
  <c r="AO147" i="2"/>
  <c r="AO172" i="2"/>
  <c r="AO608" i="2"/>
  <c r="AO850" i="2"/>
  <c r="AO69" i="2"/>
  <c r="AO197" i="2"/>
  <c r="AO277" i="2"/>
  <c r="AO760" i="2"/>
  <c r="AO572" i="2"/>
  <c r="AO73" i="2"/>
  <c r="AM901" i="2"/>
  <c r="AN901" i="2" s="1"/>
  <c r="AM45" i="2"/>
  <c r="AN45" i="2" s="1"/>
  <c r="AM517" i="2"/>
  <c r="AN517" i="2" s="1"/>
  <c r="AM751" i="2"/>
  <c r="AN751" i="2" s="1"/>
  <c r="AM923" i="2"/>
  <c r="AN923" i="2" s="1"/>
  <c r="AO424" i="2"/>
  <c r="AO415" i="2"/>
  <c r="AO426" i="2"/>
  <c r="AO862" i="2"/>
  <c r="AO700" i="2"/>
  <c r="AO522" i="2"/>
  <c r="AO767" i="2"/>
  <c r="AO472" i="2"/>
  <c r="AO672" i="2"/>
  <c r="AM620" i="2"/>
  <c r="AN620" i="2" s="1"/>
  <c r="AO364" i="2"/>
  <c r="AO493" i="2"/>
  <c r="AO614" i="2"/>
  <c r="AO848" i="2"/>
  <c r="AO829" i="2"/>
  <c r="AO929" i="2"/>
  <c r="AO310" i="2"/>
  <c r="AO709" i="2"/>
  <c r="AO502" i="2"/>
  <c r="AO59" i="2"/>
  <c r="AO858" i="2"/>
  <c r="AM455" i="2"/>
  <c r="AN455" i="2" s="1"/>
  <c r="AO209" i="2"/>
  <c r="AO35" i="2"/>
  <c r="AM936" i="2"/>
  <c r="AN936" i="2" s="1"/>
  <c r="AO820" i="2"/>
  <c r="AO763" i="2"/>
  <c r="AO836" i="2"/>
  <c r="AO670" i="2"/>
  <c r="AO242" i="2"/>
  <c r="AO34" i="2"/>
  <c r="AM832" i="2"/>
  <c r="AN832" i="2" s="1"/>
  <c r="AO601" i="2"/>
  <c r="AM365" i="2"/>
  <c r="AN365" i="2" s="1"/>
  <c r="AO433" i="2"/>
  <c r="AO37" i="2"/>
  <c r="AO126" i="2"/>
  <c r="AO899" i="2"/>
  <c r="AO846" i="2"/>
  <c r="AO64" i="2"/>
  <c r="AO222" i="2"/>
  <c r="AO425" i="2"/>
  <c r="AO430" i="2"/>
  <c r="AO530" i="2"/>
  <c r="AO636" i="2"/>
  <c r="AO861" i="2"/>
  <c r="AO625" i="2"/>
  <c r="AO864" i="2"/>
  <c r="AO768" i="2"/>
  <c r="AO673" i="2"/>
  <c r="AO739" i="2"/>
  <c r="AO370" i="2"/>
  <c r="AO330" i="2"/>
  <c r="AO505" i="2"/>
  <c r="AO510" i="2"/>
  <c r="AO660" i="2"/>
  <c r="AO133" i="2"/>
  <c r="AO497" i="2"/>
  <c r="AO438" i="2"/>
  <c r="AO756" i="2"/>
  <c r="AO919" i="2"/>
  <c r="AO769" i="2"/>
  <c r="AO775" i="2"/>
  <c r="AO285" i="2"/>
  <c r="AM692" i="2"/>
  <c r="AN692" i="2" s="1"/>
  <c r="AM781" i="2"/>
  <c r="AN781" i="2" s="1"/>
  <c r="AM724" i="2"/>
  <c r="AN724" i="2" s="1"/>
  <c r="AM897" i="2"/>
  <c r="AN897" i="2" s="1"/>
  <c r="AO62" i="2"/>
  <c r="AO305" i="2"/>
  <c r="AO450" i="2"/>
  <c r="AO644" i="2"/>
  <c r="AO431" i="2"/>
  <c r="AO575" i="2"/>
  <c r="AO633" i="2"/>
  <c r="AO865" i="2"/>
  <c r="AO749" i="2"/>
  <c r="AO687" i="2"/>
  <c r="AO32" i="2"/>
  <c r="AO384" i="2"/>
  <c r="AO525" i="2"/>
  <c r="AO849" i="2"/>
  <c r="AO913" i="2"/>
  <c r="AO761" i="2"/>
  <c r="AO61" i="2"/>
  <c r="AO746" i="2"/>
  <c r="AO268" i="2"/>
  <c r="AO908" i="2"/>
  <c r="AO902" i="2"/>
  <c r="AO708" i="2"/>
  <c r="AO920" i="2"/>
  <c r="AO67" i="2"/>
  <c r="AO806" i="2"/>
  <c r="AM458" i="2"/>
  <c r="AN458" i="2" s="1"/>
  <c r="AO130" i="2"/>
  <c r="AO791" i="2"/>
  <c r="AO16" i="2"/>
  <c r="AO30" i="2"/>
  <c r="AM513" i="2"/>
  <c r="AN513" i="2" s="1"/>
  <c r="AM171" i="2"/>
  <c r="AN171" i="2" s="1"/>
  <c r="AM652" i="2"/>
  <c r="AN652" i="2" s="1"/>
  <c r="AM725" i="2"/>
  <c r="AN725" i="2" s="1"/>
  <c r="AM728" i="2"/>
  <c r="AN728" i="2" s="1"/>
  <c r="AM774" i="2"/>
  <c r="AN774" i="2" s="1"/>
  <c r="AM757" i="2"/>
  <c r="AN757" i="2" s="1"/>
  <c r="AM736" i="2"/>
  <c r="AN736" i="2" s="1"/>
  <c r="AM755" i="2"/>
  <c r="AN755" i="2" s="1"/>
  <c r="AO43" i="2"/>
  <c r="AO153" i="2"/>
  <c r="AO311" i="2"/>
  <c r="AO306" i="2"/>
  <c r="AO402" i="2"/>
  <c r="AO463" i="2"/>
  <c r="AO295" i="2"/>
  <c r="AO779" i="2"/>
  <c r="AO873" i="2"/>
  <c r="AO883" i="2"/>
  <c r="AO727" i="2"/>
  <c r="AO553" i="2"/>
  <c r="AO817" i="2"/>
  <c r="AM119" i="2"/>
  <c r="AN119" i="2" s="1"/>
  <c r="AM473" i="2"/>
  <c r="AN473" i="2" s="1"/>
  <c r="AM662" i="2"/>
  <c r="AN662" i="2" s="1"/>
  <c r="AO445" i="2"/>
  <c r="AO854" i="2"/>
  <c r="AO329" i="2"/>
  <c r="AO678" i="2"/>
  <c r="AO84" i="2"/>
  <c r="AO49" i="2"/>
  <c r="AO682" i="2"/>
  <c r="AO914" i="2"/>
  <c r="AO272" i="2"/>
  <c r="AM514" i="2"/>
  <c r="AN514" i="2" s="1"/>
  <c r="AO66" i="2"/>
  <c r="AO395" i="2"/>
  <c r="AM184" i="2"/>
  <c r="AN184" i="2" s="1"/>
  <c r="AO490" i="2"/>
  <c r="AM102" i="2"/>
  <c r="AN102" i="2" s="1"/>
  <c r="AM146" i="2"/>
  <c r="AN146" i="2" s="1"/>
  <c r="AM354" i="2"/>
  <c r="AN354" i="2" s="1"/>
  <c r="AM842" i="2"/>
  <c r="AN842" i="2" s="1"/>
  <c r="AO52" i="2"/>
  <c r="AO40" i="2"/>
  <c r="AO256" i="2"/>
  <c r="AO499" i="2"/>
  <c r="AO885" i="2"/>
  <c r="AO464" i="2"/>
  <c r="AO564" i="2"/>
  <c r="AO555" i="2"/>
  <c r="AM74" i="2"/>
  <c r="AN74" i="2" s="1"/>
  <c r="AM487" i="2"/>
  <c r="AN487" i="2" s="1"/>
  <c r="AO537" i="2"/>
  <c r="AO389" i="2"/>
  <c r="AO927" i="2"/>
  <c r="AO855" i="2"/>
  <c r="AO785" i="2"/>
  <c r="AO280" i="2"/>
  <c r="AO352" i="2"/>
  <c r="AO443" i="2"/>
  <c r="AO460" i="2"/>
  <c r="AO740" i="2"/>
  <c r="AO440" i="2"/>
  <c r="AO85" i="2"/>
  <c r="AM51" i="2"/>
  <c r="AN51" i="2" s="1"/>
  <c r="AM63" i="2"/>
  <c r="AN63" i="2" s="1"/>
  <c r="AM762" i="2"/>
  <c r="AN762" i="2" s="1"/>
  <c r="AM27" i="2"/>
  <c r="AN27" i="2" s="1"/>
  <c r="AM738" i="2"/>
  <c r="AN738" i="2" s="1"/>
  <c r="AM10" i="2"/>
  <c r="AN10" i="2" s="1"/>
  <c r="AM9" i="2"/>
  <c r="AN9" i="2" s="1"/>
  <c r="AM696" i="2"/>
  <c r="AN696" i="2" s="1"/>
  <c r="AO24" i="2"/>
  <c r="AO27" i="2"/>
  <c r="AM730" i="2"/>
  <c r="AN730" i="2" s="1"/>
  <c r="AM547" i="2"/>
  <c r="AN547" i="2" s="1"/>
  <c r="AO63" i="2"/>
  <c r="AM22" i="2"/>
  <c r="AN22" i="2" s="1"/>
  <c r="AM109" i="2"/>
  <c r="AN109" i="2" s="1"/>
  <c r="AM484" i="2"/>
  <c r="AN484" i="2" s="1"/>
  <c r="AM155" i="2"/>
  <c r="AN155" i="2" s="1"/>
  <c r="AM448" i="2"/>
  <c r="AN448" i="2" s="1"/>
  <c r="AM640" i="2"/>
  <c r="AN640" i="2" s="1"/>
  <c r="AM663" i="2"/>
  <c r="AN663" i="2" s="1"/>
  <c r="AM718" i="2"/>
  <c r="AN718" i="2" s="1"/>
  <c r="AM381" i="2"/>
  <c r="AN381" i="2" s="1"/>
  <c r="AM107" i="2"/>
  <c r="AN107" i="2" s="1"/>
  <c r="AM397" i="2"/>
  <c r="AN397" i="2" s="1"/>
  <c r="AM759" i="2"/>
  <c r="AN759" i="2" s="1"/>
  <c r="AM439" i="2"/>
  <c r="AN439" i="2" s="1"/>
  <c r="AM231" i="2"/>
  <c r="AN231" i="2" s="1"/>
  <c r="AM715" i="2"/>
  <c r="AN715" i="2" s="1"/>
  <c r="AM603" i="2"/>
  <c r="AN603" i="2" s="1"/>
  <c r="AO640" i="2"/>
  <c r="AO439" i="2"/>
  <c r="AO397" i="2"/>
  <c r="AM396" i="2"/>
  <c r="AN396" i="2" s="1"/>
  <c r="AM853" i="2"/>
  <c r="AN853" i="2" s="1"/>
  <c r="AM261" i="2"/>
  <c r="AN261" i="2" s="1"/>
  <c r="AM31" i="2"/>
  <c r="AN31" i="2" s="1"/>
  <c r="AM516" i="2"/>
  <c r="AN516" i="2" s="1"/>
  <c r="AM223" i="2"/>
  <c r="AN223" i="2" s="1"/>
  <c r="AM805" i="2"/>
  <c r="AN805" i="2" s="1"/>
  <c r="AM870" i="2"/>
  <c r="AN870" i="2" s="1"/>
  <c r="AM690" i="2"/>
  <c r="AN690" i="2" s="1"/>
  <c r="AM548" i="2"/>
  <c r="AN548" i="2" s="1"/>
  <c r="AM13" i="2"/>
  <c r="AN13" i="2" s="1"/>
  <c r="AO22" i="2"/>
  <c r="AM283" i="2"/>
  <c r="AN283" i="2" s="1"/>
  <c r="AM519" i="2"/>
  <c r="AN519" i="2" s="1"/>
  <c r="AM750" i="2"/>
  <c r="AN750" i="2" s="1"/>
  <c r="AM852" i="2"/>
  <c r="AN852" i="2" s="1"/>
  <c r="AM795" i="2"/>
  <c r="AN795" i="2" s="1"/>
  <c r="AM148" i="2"/>
  <c r="AN148" i="2" s="1"/>
  <c r="AM613" i="2"/>
  <c r="AN613" i="2" s="1"/>
  <c r="AM262" i="2"/>
  <c r="AN262" i="2" s="1"/>
  <c r="AM799" i="2"/>
  <c r="AN799" i="2" s="1"/>
  <c r="AM878" i="2"/>
  <c r="AN878" i="2" s="1"/>
  <c r="AM394" i="2"/>
  <c r="AN394" i="2" s="1"/>
  <c r="AM651" i="2"/>
  <c r="AN651" i="2" s="1"/>
  <c r="AM635" i="2"/>
  <c r="AN635" i="2" s="1"/>
  <c r="AM875" i="2"/>
  <c r="AN875" i="2" s="1"/>
  <c r="AM688" i="2"/>
  <c r="AN688" i="2" s="1"/>
  <c r="AM387" i="2"/>
  <c r="AN387" i="2" s="1"/>
  <c r="AM489" i="2"/>
  <c r="AN489" i="2" s="1"/>
  <c r="AM810" i="2"/>
  <c r="AN810" i="2" s="1"/>
  <c r="AM706" i="2"/>
  <c r="AN706" i="2" s="1"/>
  <c r="AM595" i="2"/>
  <c r="AN595" i="2" s="1"/>
  <c r="AM684" i="2"/>
  <c r="AN684" i="2" s="1"/>
  <c r="AM818" i="2"/>
  <c r="AN818" i="2" s="1"/>
  <c r="AM777" i="2"/>
  <c r="AN777" i="2" s="1"/>
  <c r="AM831" i="2"/>
  <c r="AN831" i="2" s="1"/>
  <c r="AM388" i="2"/>
  <c r="AN388" i="2" s="1"/>
  <c r="AO548" i="2"/>
  <c r="AO706" i="2"/>
  <c r="AO777" i="2"/>
  <c r="AO831" i="2"/>
  <c r="AO394" i="2"/>
  <c r="AO261" i="2"/>
  <c r="AO613" i="2"/>
  <c r="AO690" i="2"/>
  <c r="AO516" i="2"/>
  <c r="AO148" i="2"/>
  <c r="AO759" i="2"/>
  <c r="AO519" i="2"/>
  <c r="AO852" i="2"/>
  <c r="AM24" i="2"/>
  <c r="AN24" i="2" s="1"/>
  <c r="AO262" i="2"/>
  <c r="AO388" i="2"/>
  <c r="AO387" i="2"/>
  <c r="AM5" i="2"/>
  <c r="AN5" i="2" s="1"/>
  <c r="AO595" i="2"/>
  <c r="AO684" i="2"/>
  <c r="AO875" i="2"/>
  <c r="AO688" i="2"/>
  <c r="AM372" i="2"/>
  <c r="AN372" i="2" s="1"/>
  <c r="AO372" i="2"/>
  <c r="AO10" i="2"/>
  <c r="AM420" i="2"/>
  <c r="AN420" i="2" s="1"/>
  <c r="AO420" i="2"/>
  <c r="AO717" i="2"/>
  <c r="AM717" i="2"/>
  <c r="AN717" i="2" s="1"/>
  <c r="AO799" i="2"/>
  <c r="AO810" i="2"/>
  <c r="AO429" i="2"/>
  <c r="AM429" i="2"/>
  <c r="AN429" i="2" s="1"/>
  <c r="AO581" i="2"/>
  <c r="AM581" i="2"/>
  <c r="AN581" i="2" s="1"/>
  <c r="AO451" i="2"/>
  <c r="AM451" i="2"/>
  <c r="AN451" i="2" s="1"/>
  <c r="AO723" i="2"/>
  <c r="AM723" i="2"/>
  <c r="AN723" i="2" s="1"/>
  <c r="AM656" i="2"/>
  <c r="AN656" i="2" s="1"/>
  <c r="AO656" i="2"/>
  <c r="AO120" i="2"/>
  <c r="AM120" i="2"/>
  <c r="AN120" i="2" s="1"/>
  <c r="AO790" i="2"/>
  <c r="AM790" i="2"/>
  <c r="AN790" i="2" s="1"/>
  <c r="AO528" i="2"/>
  <c r="AM528" i="2"/>
  <c r="AN528" i="2" s="1"/>
  <c r="AO477" i="2"/>
  <c r="AM477" i="2"/>
  <c r="AN477" i="2" s="1"/>
  <c r="AO841" i="2"/>
  <c r="AM841" i="2"/>
  <c r="AN841" i="2" s="1"/>
  <c r="AO805" i="2"/>
  <c r="AO190" i="2"/>
  <c r="AM190" i="2"/>
  <c r="AN190" i="2" s="1"/>
  <c r="AO465" i="2"/>
  <c r="AM465" i="2"/>
  <c r="AN465" i="2" s="1"/>
  <c r="AO770" i="2"/>
  <c r="AM770" i="2"/>
  <c r="AN770" i="2" s="1"/>
  <c r="AO448" i="2"/>
  <c r="AO663" i="2"/>
  <c r="AO818" i="2"/>
  <c r="AO870" i="2"/>
  <c r="AO151" i="2"/>
  <c r="AM151" i="2"/>
  <c r="AN151" i="2" s="1"/>
  <c r="AO137" i="2"/>
  <c r="AM137" i="2"/>
  <c r="AN137" i="2" s="1"/>
  <c r="AM90" i="2"/>
  <c r="AN90" i="2" s="1"/>
  <c r="AO90" i="2"/>
  <c r="AO48" i="2"/>
  <c r="AM48" i="2"/>
  <c r="AN48" i="2" s="1"/>
  <c r="AM297" i="2"/>
  <c r="AN297" i="2" s="1"/>
  <c r="AO297" i="2"/>
  <c r="AO754" i="2"/>
  <c r="AM754" i="2"/>
  <c r="AN754" i="2" s="1"/>
  <c r="AM346" i="2"/>
  <c r="AN346" i="2" s="1"/>
  <c r="AO346" i="2"/>
  <c r="AM609" i="2"/>
  <c r="AN609" i="2" s="1"/>
  <c r="AO609" i="2"/>
  <c r="AO877" i="2"/>
  <c r="AM877" i="2"/>
  <c r="AN877" i="2" s="1"/>
  <c r="AO795" i="2"/>
  <c r="AO114" i="2"/>
  <c r="AM114" i="2"/>
  <c r="AN114" i="2" s="1"/>
  <c r="AO36" i="2"/>
  <c r="AM36" i="2"/>
  <c r="AN36" i="2" s="1"/>
  <c r="AM335" i="2"/>
  <c r="AN335" i="2" s="1"/>
  <c r="AO335" i="2"/>
  <c r="AO355" i="2"/>
  <c r="AM355" i="2"/>
  <c r="AN355" i="2" s="1"/>
  <c r="AM807" i="2"/>
  <c r="AN807" i="2" s="1"/>
  <c r="AO807" i="2"/>
  <c r="AM823" i="2"/>
  <c r="AN823" i="2" s="1"/>
  <c r="AO823" i="2"/>
  <c r="AO409" i="2"/>
  <c r="AM409" i="2"/>
  <c r="AN409" i="2" s="1"/>
  <c r="AO935" i="2"/>
  <c r="AM935" i="2"/>
  <c r="AN935" i="2" s="1"/>
  <c r="AO937" i="2"/>
  <c r="AM937" i="2"/>
  <c r="AN937" i="2" s="1"/>
  <c r="AO501" i="2"/>
  <c r="AM501" i="2"/>
  <c r="AN501" i="2" s="1"/>
  <c r="AO13" i="2"/>
  <c r="AO19" i="2"/>
  <c r="AM19" i="2"/>
  <c r="AN19" i="2" s="1"/>
  <c r="AM12" i="2"/>
  <c r="AN12" i="2" s="1"/>
  <c r="AO14" i="2"/>
  <c r="AM14" i="2"/>
  <c r="AN14" i="2" s="1"/>
  <c r="AO12" i="2"/>
  <c r="AM18" i="2"/>
  <c r="AN18" i="2" s="1"/>
  <c r="AO18" i="2"/>
  <c r="AM218" i="2"/>
  <c r="AN218" i="2" s="1"/>
  <c r="AO218" i="2"/>
  <c r="AM391" i="2"/>
  <c r="AN391" i="2" s="1"/>
  <c r="AO391" i="2"/>
  <c r="AO701" i="2"/>
  <c r="AM701" i="2"/>
  <c r="AN701" i="2" s="1"/>
  <c r="AO631" i="2"/>
  <c r="AM631" i="2"/>
  <c r="AN631" i="2" s="1"/>
  <c r="AM21" i="2"/>
  <c r="AN21" i="2" s="1"/>
  <c r="AO21" i="2"/>
  <c r="AM95" i="2"/>
  <c r="AN95" i="2" s="1"/>
  <c r="AO95" i="2"/>
  <c r="AM103" i="2"/>
  <c r="AN103" i="2" s="1"/>
  <c r="AO103" i="2"/>
  <c r="AM94" i="2"/>
  <c r="AN94" i="2" s="1"/>
  <c r="AO94" i="2"/>
  <c r="AM233" i="2"/>
  <c r="AN233" i="2" s="1"/>
  <c r="AO233" i="2"/>
  <c r="AM204" i="2"/>
  <c r="AN204" i="2" s="1"/>
  <c r="AO204" i="2"/>
  <c r="AM225" i="2"/>
  <c r="AN225" i="2" s="1"/>
  <c r="AO225" i="2"/>
  <c r="AM320" i="2"/>
  <c r="AN320" i="2" s="1"/>
  <c r="AO320" i="2"/>
  <c r="AM177" i="2"/>
  <c r="AN177" i="2" s="1"/>
  <c r="AO177" i="2"/>
  <c r="AM290" i="2"/>
  <c r="AN290" i="2" s="1"/>
  <c r="AO290" i="2"/>
  <c r="AM317" i="2"/>
  <c r="AN317" i="2" s="1"/>
  <c r="AO317" i="2"/>
  <c r="AO333" i="2"/>
  <c r="AM333" i="2"/>
  <c r="AN333" i="2" s="1"/>
  <c r="AM363" i="2"/>
  <c r="AN363" i="2" s="1"/>
  <c r="AO363" i="2"/>
  <c r="AO416" i="2"/>
  <c r="AM416" i="2"/>
  <c r="AN416" i="2" s="1"/>
  <c r="AM437" i="2"/>
  <c r="AN437" i="2" s="1"/>
  <c r="AO437" i="2"/>
  <c r="AM444" i="2"/>
  <c r="AN444" i="2" s="1"/>
  <c r="AO444" i="2"/>
  <c r="AO488" i="2"/>
  <c r="AM488" i="2"/>
  <c r="AN488" i="2" s="1"/>
  <c r="AO480" i="2"/>
  <c r="AM480" i="2"/>
  <c r="AN480" i="2" s="1"/>
  <c r="AM554" i="2"/>
  <c r="AN554" i="2" s="1"/>
  <c r="AO554" i="2"/>
  <c r="AM535" i="2"/>
  <c r="AN535" i="2" s="1"/>
  <c r="AO535" i="2"/>
  <c r="AO707" i="2"/>
  <c r="AM707" i="2"/>
  <c r="AN707" i="2" s="1"/>
  <c r="AO731" i="2"/>
  <c r="AM731" i="2"/>
  <c r="AN731" i="2" s="1"/>
  <c r="AO655" i="2"/>
  <c r="AM655" i="2"/>
  <c r="AN655" i="2" s="1"/>
  <c r="AM804" i="2"/>
  <c r="AN804" i="2" s="1"/>
  <c r="AO804" i="2"/>
  <c r="AM515" i="2"/>
  <c r="AN515" i="2" s="1"/>
  <c r="AO515" i="2"/>
  <c r="AM924" i="2"/>
  <c r="AN924" i="2" s="1"/>
  <c r="AO924" i="2"/>
  <c r="AO227" i="2"/>
  <c r="AM227" i="2"/>
  <c r="AN227" i="2" s="1"/>
  <c r="AM412" i="2"/>
  <c r="AN412" i="2" s="1"/>
  <c r="AO412" i="2"/>
  <c r="AM486" i="2"/>
  <c r="AN486" i="2" s="1"/>
  <c r="AO486" i="2"/>
  <c r="AM607" i="2"/>
  <c r="AN607" i="2" s="1"/>
  <c r="AO607" i="2"/>
  <c r="AM719" i="2"/>
  <c r="AN719" i="2" s="1"/>
  <c r="AO719" i="2"/>
  <c r="AM100" i="2"/>
  <c r="AN100" i="2" s="1"/>
  <c r="AO100" i="2"/>
  <c r="AM187" i="2"/>
  <c r="AN187" i="2" s="1"/>
  <c r="AO187" i="2"/>
  <c r="AM239" i="2"/>
  <c r="AN239" i="2" s="1"/>
  <c r="AO239" i="2"/>
  <c r="AM230" i="2"/>
  <c r="AN230" i="2" s="1"/>
  <c r="AO230" i="2"/>
  <c r="AO202" i="2"/>
  <c r="AM202" i="2"/>
  <c r="AN202" i="2" s="1"/>
  <c r="AM158" i="2"/>
  <c r="AN158" i="2" s="1"/>
  <c r="AO158" i="2"/>
  <c r="AO157" i="2"/>
  <c r="AM157" i="2"/>
  <c r="AN157" i="2" s="1"/>
  <c r="AM326" i="2"/>
  <c r="AN326" i="2" s="1"/>
  <c r="AO326" i="2"/>
  <c r="AM298" i="2"/>
  <c r="AN298" i="2" s="1"/>
  <c r="AO298" i="2"/>
  <c r="AM246" i="2"/>
  <c r="AN246" i="2" s="1"/>
  <c r="AO246" i="2"/>
  <c r="AM259" i="2"/>
  <c r="AN259" i="2" s="1"/>
  <c r="AO259" i="2"/>
  <c r="AM313" i="2"/>
  <c r="AN313" i="2" s="1"/>
  <c r="AO313" i="2"/>
  <c r="AO324" i="2"/>
  <c r="AM324" i="2"/>
  <c r="AN324" i="2" s="1"/>
  <c r="AM274" i="2"/>
  <c r="AN274" i="2" s="1"/>
  <c r="AO274" i="2"/>
  <c r="AM334" i="2"/>
  <c r="AN334" i="2" s="1"/>
  <c r="AO334" i="2"/>
  <c r="AM398" i="2"/>
  <c r="AN398" i="2" s="1"/>
  <c r="AO398" i="2"/>
  <c r="AM405" i="2"/>
  <c r="AN405" i="2" s="1"/>
  <c r="AO405" i="2"/>
  <c r="AO379" i="2"/>
  <c r="AM379" i="2"/>
  <c r="AN379" i="2" s="1"/>
  <c r="AM327" i="2"/>
  <c r="AN327" i="2" s="1"/>
  <c r="AO327" i="2"/>
  <c r="AM457" i="2"/>
  <c r="AN457" i="2" s="1"/>
  <c r="AO457" i="2"/>
  <c r="AO482" i="2"/>
  <c r="AM482" i="2"/>
  <c r="AN482" i="2" s="1"/>
  <c r="AM580" i="2"/>
  <c r="AN580" i="2" s="1"/>
  <c r="AO580" i="2"/>
  <c r="AM584" i="2"/>
  <c r="AN584" i="2" s="1"/>
  <c r="AO584" i="2"/>
  <c r="AM527" i="2"/>
  <c r="AN527" i="2" s="1"/>
  <c r="AO527" i="2"/>
  <c r="AM563" i="2"/>
  <c r="AN563" i="2" s="1"/>
  <c r="AO563" i="2"/>
  <c r="AM722" i="2"/>
  <c r="AN722" i="2" s="1"/>
  <c r="AO722" i="2"/>
  <c r="AM816" i="2"/>
  <c r="AN816" i="2" s="1"/>
  <c r="AO816" i="2"/>
  <c r="AM747" i="2"/>
  <c r="AN747" i="2" s="1"/>
  <c r="AO747" i="2"/>
  <c r="AM536" i="2"/>
  <c r="AN536" i="2" s="1"/>
  <c r="AO536" i="2"/>
  <c r="AM900" i="2"/>
  <c r="AN900" i="2" s="1"/>
  <c r="AO900" i="2"/>
  <c r="AO77" i="2"/>
  <c r="AM77" i="2"/>
  <c r="AN77" i="2" s="1"/>
  <c r="AM373" i="2"/>
  <c r="AN373" i="2" s="1"/>
  <c r="AO373" i="2"/>
  <c r="AO432" i="2"/>
  <c r="AM432" i="2"/>
  <c r="AN432" i="2" s="1"/>
  <c r="AO579" i="2"/>
  <c r="AM579" i="2"/>
  <c r="AN579" i="2" s="1"/>
  <c r="AM541" i="2"/>
  <c r="AN541" i="2" s="1"/>
  <c r="AO541" i="2"/>
  <c r="AM794" i="2"/>
  <c r="AN794" i="2" s="1"/>
  <c r="AO794" i="2"/>
  <c r="AM815" i="2"/>
  <c r="AN815" i="2" s="1"/>
  <c r="AO815" i="2"/>
  <c r="AM879" i="2"/>
  <c r="AN879" i="2" s="1"/>
  <c r="AO879" i="2"/>
  <c r="AO80" i="2"/>
  <c r="AM80" i="2"/>
  <c r="AN80" i="2" s="1"/>
  <c r="AO111" i="2"/>
  <c r="AM111" i="2"/>
  <c r="AN111" i="2" s="1"/>
  <c r="AO41" i="2"/>
  <c r="AM41" i="2"/>
  <c r="AN41" i="2" s="1"/>
  <c r="AM91" i="2"/>
  <c r="AN91" i="2" s="1"/>
  <c r="AO91" i="2"/>
  <c r="AO88" i="2"/>
  <c r="AM88" i="2"/>
  <c r="AN88" i="2" s="1"/>
  <c r="AM87" i="2"/>
  <c r="AN87" i="2" s="1"/>
  <c r="AO87" i="2"/>
  <c r="AO113" i="2"/>
  <c r="AM113" i="2"/>
  <c r="AN113" i="2" s="1"/>
  <c r="AM193" i="2"/>
  <c r="AN193" i="2" s="1"/>
  <c r="AO193" i="2"/>
  <c r="AM124" i="2"/>
  <c r="AN124" i="2" s="1"/>
  <c r="AO124" i="2"/>
  <c r="AM180" i="2"/>
  <c r="AN180" i="2" s="1"/>
  <c r="AO180" i="2"/>
  <c r="AM245" i="2"/>
  <c r="AN245" i="2" s="1"/>
  <c r="AO245" i="2"/>
  <c r="AO188" i="2"/>
  <c r="AM188" i="2"/>
  <c r="AN188" i="2" s="1"/>
  <c r="AM232" i="2"/>
  <c r="AN232" i="2" s="1"/>
  <c r="AO232" i="2"/>
  <c r="AM169" i="2"/>
  <c r="AN169" i="2" s="1"/>
  <c r="AO169" i="2"/>
  <c r="AM294" i="2"/>
  <c r="AN294" i="2" s="1"/>
  <c r="AO294" i="2"/>
  <c r="AM181" i="2"/>
  <c r="AN181" i="2" s="1"/>
  <c r="AO181" i="2"/>
  <c r="AM241" i="2"/>
  <c r="AN241" i="2" s="1"/>
  <c r="AO241" i="2"/>
  <c r="AM238" i="2"/>
  <c r="AN238" i="2" s="1"/>
  <c r="AO238" i="2"/>
  <c r="AO332" i="2"/>
  <c r="AM332" i="2"/>
  <c r="AN332" i="2" s="1"/>
  <c r="AM303" i="2"/>
  <c r="AN303" i="2" s="1"/>
  <c r="AO303" i="2"/>
  <c r="AO331" i="2"/>
  <c r="AM331" i="2"/>
  <c r="AN331" i="2" s="1"/>
  <c r="AM377" i="2"/>
  <c r="AN377" i="2" s="1"/>
  <c r="AO377" i="2"/>
  <c r="AM279" i="2"/>
  <c r="AN279" i="2" s="1"/>
  <c r="AO279" i="2"/>
  <c r="AM385" i="2"/>
  <c r="AN385" i="2" s="1"/>
  <c r="AO385" i="2"/>
  <c r="AM589" i="2"/>
  <c r="AN589" i="2" s="1"/>
  <c r="AO589" i="2"/>
  <c r="AO551" i="2"/>
  <c r="AM551" i="2"/>
  <c r="AN551" i="2" s="1"/>
  <c r="AM539" i="2"/>
  <c r="AN539" i="2" s="1"/>
  <c r="AO539" i="2"/>
  <c r="AO518" i="2"/>
  <c r="AM518" i="2"/>
  <c r="AN518" i="2" s="1"/>
  <c r="AO659" i="2"/>
  <c r="AM659" i="2"/>
  <c r="AN659" i="2" s="1"/>
  <c r="AM534" i="2"/>
  <c r="AN534" i="2" s="1"/>
  <c r="AO534" i="2"/>
  <c r="AM720" i="2"/>
  <c r="AN720" i="2" s="1"/>
  <c r="AO720" i="2"/>
  <c r="AM828" i="2"/>
  <c r="AN828" i="2" s="1"/>
  <c r="AO828" i="2"/>
  <c r="AM742" i="2"/>
  <c r="AN742" i="2" s="1"/>
  <c r="AO742" i="2"/>
  <c r="AM734" i="2"/>
  <c r="AN734" i="2" s="1"/>
  <c r="AO734" i="2"/>
  <c r="AM827" i="2"/>
  <c r="AN827" i="2" s="1"/>
  <c r="AO827" i="2"/>
  <c r="AM576" i="2"/>
  <c r="AN576" i="2" s="1"/>
  <c r="AO576" i="2"/>
  <c r="AO685" i="2"/>
  <c r="AM685" i="2"/>
  <c r="AN685" i="2" s="1"/>
  <c r="AO796" i="2"/>
  <c r="AM796" i="2"/>
  <c r="AN796" i="2" s="1"/>
  <c r="AM801" i="2"/>
  <c r="AN801" i="2" s="1"/>
  <c r="AO801" i="2"/>
  <c r="AO904" i="2"/>
  <c r="AM904" i="2"/>
  <c r="AN904" i="2" s="1"/>
  <c r="AO881" i="2"/>
  <c r="AM881" i="2"/>
  <c r="AN881" i="2" s="1"/>
  <c r="AM144" i="2"/>
  <c r="AN144" i="2" s="1"/>
  <c r="AO144" i="2"/>
  <c r="AM174" i="2"/>
  <c r="AN174" i="2" s="1"/>
  <c r="AO174" i="2"/>
  <c r="AM314" i="2"/>
  <c r="AN314" i="2" s="1"/>
  <c r="AO314" i="2"/>
  <c r="AO374" i="2"/>
  <c r="AM374" i="2"/>
  <c r="AN374" i="2" s="1"/>
  <c r="AM556" i="2"/>
  <c r="AN556" i="2" s="1"/>
  <c r="AO556" i="2"/>
  <c r="AO524" i="2"/>
  <c r="AM524" i="2"/>
  <c r="AN524" i="2" s="1"/>
  <c r="AM648" i="2"/>
  <c r="AN648" i="2" s="1"/>
  <c r="AO648" i="2"/>
  <c r="AM57" i="2"/>
  <c r="AN57" i="2" s="1"/>
  <c r="AO57" i="2"/>
  <c r="AM78" i="2"/>
  <c r="AN78" i="2" s="1"/>
  <c r="AO78" i="2"/>
  <c r="AO83" i="2"/>
  <c r="AM83" i="2"/>
  <c r="AN83" i="2" s="1"/>
  <c r="AM98" i="2"/>
  <c r="AN98" i="2" s="1"/>
  <c r="AO98" i="2"/>
  <c r="AO82" i="2"/>
  <c r="AM82" i="2"/>
  <c r="AN82" i="2" s="1"/>
  <c r="AM105" i="2"/>
  <c r="AN105" i="2" s="1"/>
  <c r="AO105" i="2"/>
  <c r="AM199" i="2"/>
  <c r="AN199" i="2" s="1"/>
  <c r="AO199" i="2"/>
  <c r="AM128" i="2"/>
  <c r="AN128" i="2" s="1"/>
  <c r="AO128" i="2"/>
  <c r="AO251" i="2"/>
  <c r="AM251" i="2"/>
  <c r="AN251" i="2" s="1"/>
  <c r="AM140" i="2"/>
  <c r="AN140" i="2" s="1"/>
  <c r="AO140" i="2"/>
  <c r="AM211" i="2"/>
  <c r="AN211" i="2" s="1"/>
  <c r="AO211" i="2"/>
  <c r="AO186" i="2"/>
  <c r="AM186" i="2"/>
  <c r="AN186" i="2" s="1"/>
  <c r="AM301" i="2"/>
  <c r="AN301" i="2" s="1"/>
  <c r="AO301" i="2"/>
  <c r="AM309" i="2"/>
  <c r="AN309" i="2" s="1"/>
  <c r="AO309" i="2"/>
  <c r="AM263" i="2"/>
  <c r="AN263" i="2" s="1"/>
  <c r="AO263" i="2"/>
  <c r="AO345" i="2"/>
  <c r="AM345" i="2"/>
  <c r="AN345" i="2" s="1"/>
  <c r="AM410" i="2"/>
  <c r="AN410" i="2" s="1"/>
  <c r="AO410" i="2"/>
  <c r="AO336" i="2"/>
  <c r="AM336" i="2"/>
  <c r="AN336" i="2" s="1"/>
  <c r="AM322" i="2"/>
  <c r="AN322" i="2" s="1"/>
  <c r="AO322" i="2"/>
  <c r="AM421" i="2"/>
  <c r="AN421" i="2" s="1"/>
  <c r="AO421" i="2"/>
  <c r="AM359" i="2"/>
  <c r="AN359" i="2" s="1"/>
  <c r="AO359" i="2"/>
  <c r="AM299" i="2"/>
  <c r="AN299" i="2" s="1"/>
  <c r="AO299" i="2"/>
  <c r="AM341" i="2"/>
  <c r="AN341" i="2" s="1"/>
  <c r="AO341" i="2"/>
  <c r="AM376" i="2"/>
  <c r="AN376" i="2" s="1"/>
  <c r="AO376" i="2"/>
  <c r="AM353" i="2"/>
  <c r="AN353" i="2" s="1"/>
  <c r="AO353" i="2"/>
  <c r="AM498" i="2"/>
  <c r="AN498" i="2" s="1"/>
  <c r="AO498" i="2"/>
  <c r="AM449" i="2"/>
  <c r="AN449" i="2" s="1"/>
  <c r="AO449" i="2"/>
  <c r="AM538" i="2"/>
  <c r="AN538" i="2" s="1"/>
  <c r="AO538" i="2"/>
  <c r="AM542" i="2"/>
  <c r="AN542" i="2" s="1"/>
  <c r="AO542" i="2"/>
  <c r="AM562" i="2"/>
  <c r="AN562" i="2" s="1"/>
  <c r="AO562" i="2"/>
  <c r="AM641" i="2"/>
  <c r="AN641" i="2" s="1"/>
  <c r="AO641" i="2"/>
  <c r="AO661" i="2"/>
  <c r="AM661" i="2"/>
  <c r="AN661" i="2" s="1"/>
  <c r="AO649" i="2"/>
  <c r="AM649" i="2"/>
  <c r="AN649" i="2" s="1"/>
  <c r="AM745" i="2"/>
  <c r="AN745" i="2" s="1"/>
  <c r="AO745" i="2"/>
  <c r="AM627" i="2"/>
  <c r="AN627" i="2" s="1"/>
  <c r="AO627" i="2"/>
  <c r="AO703" i="2"/>
  <c r="AM703" i="2"/>
  <c r="AN703" i="2" s="1"/>
  <c r="AM578" i="2"/>
  <c r="AN578" i="2" s="1"/>
  <c r="AO578" i="2"/>
  <c r="AM741" i="2"/>
  <c r="AN741" i="2" s="1"/>
  <c r="AO741" i="2"/>
  <c r="AM825" i="2"/>
  <c r="AN825" i="2" s="1"/>
  <c r="AO825" i="2"/>
  <c r="AM863" i="2"/>
  <c r="AN863" i="2" s="1"/>
  <c r="AO863" i="2"/>
  <c r="AO909" i="2"/>
  <c r="AM909" i="2"/>
  <c r="AN909" i="2" s="1"/>
  <c r="AO634" i="2"/>
  <c r="AM634" i="2"/>
  <c r="AN634" i="2" s="1"/>
  <c r="AM809" i="2"/>
  <c r="AN809" i="2" s="1"/>
  <c r="AO809" i="2"/>
  <c r="AM931" i="2"/>
  <c r="AN931" i="2" s="1"/>
  <c r="AO931" i="2"/>
  <c r="AO778" i="2"/>
  <c r="AM778" i="2"/>
  <c r="AN778" i="2" s="1"/>
  <c r="AM312" i="2"/>
  <c r="AN312" i="2" s="1"/>
  <c r="AO312" i="2"/>
  <c r="AM369" i="2"/>
  <c r="AN369" i="2" s="1"/>
  <c r="AO369" i="2"/>
  <c r="AM545" i="2"/>
  <c r="AN545" i="2" s="1"/>
  <c r="AO545" i="2"/>
  <c r="AO721" i="2"/>
  <c r="AM721" i="2"/>
  <c r="AN721" i="2" s="1"/>
  <c r="AM72" i="2"/>
  <c r="AN72" i="2" s="1"/>
  <c r="AO72" i="2"/>
  <c r="AO28" i="2"/>
  <c r="AM28" i="2"/>
  <c r="AN28" i="2" s="1"/>
  <c r="AO68" i="2"/>
  <c r="AM68" i="2"/>
  <c r="AN68" i="2" s="1"/>
  <c r="AO58" i="2"/>
  <c r="AM58" i="2"/>
  <c r="AN58" i="2" s="1"/>
  <c r="AM117" i="2"/>
  <c r="AN117" i="2" s="1"/>
  <c r="AO117" i="2"/>
  <c r="AM205" i="2"/>
  <c r="AN205" i="2" s="1"/>
  <c r="AO205" i="2"/>
  <c r="AO129" i="2"/>
  <c r="AM129" i="2"/>
  <c r="AN129" i="2" s="1"/>
  <c r="AO139" i="2"/>
  <c r="AM139" i="2"/>
  <c r="AN139" i="2" s="1"/>
  <c r="AM161" i="2"/>
  <c r="AN161" i="2" s="1"/>
  <c r="AO161" i="2"/>
  <c r="AO257" i="2"/>
  <c r="AM257" i="2"/>
  <c r="AN257" i="2" s="1"/>
  <c r="AM189" i="2"/>
  <c r="AN189" i="2" s="1"/>
  <c r="AO189" i="2"/>
  <c r="AO220" i="2"/>
  <c r="AM220" i="2"/>
  <c r="AN220" i="2" s="1"/>
  <c r="AM170" i="2"/>
  <c r="AN170" i="2" s="1"/>
  <c r="AO170" i="2"/>
  <c r="AO234" i="2"/>
  <c r="AM234" i="2"/>
  <c r="AN234" i="2" s="1"/>
  <c r="AM264" i="2"/>
  <c r="AN264" i="2" s="1"/>
  <c r="AO264" i="2"/>
  <c r="AM183" i="2"/>
  <c r="AN183" i="2" s="1"/>
  <c r="AO183" i="2"/>
  <c r="AM247" i="2"/>
  <c r="AN247" i="2" s="1"/>
  <c r="AO247" i="2"/>
  <c r="AO318" i="2"/>
  <c r="AM318" i="2"/>
  <c r="AN318" i="2" s="1"/>
  <c r="AO293" i="2"/>
  <c r="AM293" i="2"/>
  <c r="AN293" i="2" s="1"/>
  <c r="AM380" i="2"/>
  <c r="AN380" i="2" s="1"/>
  <c r="AO380" i="2"/>
  <c r="AM435" i="2"/>
  <c r="AN435" i="2" s="1"/>
  <c r="AO435" i="2"/>
  <c r="AO500" i="2"/>
  <c r="AM500" i="2"/>
  <c r="AN500" i="2" s="1"/>
  <c r="AM358" i="2"/>
  <c r="AN358" i="2" s="1"/>
  <c r="AO358" i="2"/>
  <c r="AO492" i="2"/>
  <c r="AM492" i="2"/>
  <c r="AN492" i="2" s="1"/>
  <c r="AM599" i="2"/>
  <c r="AN599" i="2" s="1"/>
  <c r="AO599" i="2"/>
  <c r="AO593" i="2"/>
  <c r="AM593" i="2"/>
  <c r="AN593" i="2" s="1"/>
  <c r="AO630" i="2"/>
  <c r="AM630" i="2"/>
  <c r="AN630" i="2" s="1"/>
  <c r="AM569" i="2"/>
  <c r="AN569" i="2" s="1"/>
  <c r="AO569" i="2"/>
  <c r="AM624" i="2"/>
  <c r="AN624" i="2" s="1"/>
  <c r="AO624" i="2"/>
  <c r="AM851" i="2"/>
  <c r="AN851" i="2" s="1"/>
  <c r="AO851" i="2"/>
  <c r="AM926" i="2"/>
  <c r="AN926" i="2" s="1"/>
  <c r="AO926" i="2"/>
  <c r="AO915" i="2"/>
  <c r="AM915" i="2"/>
  <c r="AN915" i="2" s="1"/>
  <c r="AM764" i="2"/>
  <c r="AN764" i="2" s="1"/>
  <c r="AO764" i="2"/>
  <c r="AM92" i="2"/>
  <c r="AN92" i="2" s="1"/>
  <c r="AO92" i="2"/>
  <c r="AM110" i="2"/>
  <c r="AN110" i="2" s="1"/>
  <c r="AO110" i="2"/>
  <c r="AM54" i="2"/>
  <c r="AN54" i="2" s="1"/>
  <c r="AO54" i="2"/>
  <c r="AO81" i="2"/>
  <c r="AM81" i="2"/>
  <c r="AN81" i="2" s="1"/>
  <c r="AM116" i="2"/>
  <c r="AN116" i="2" s="1"/>
  <c r="AO116" i="2"/>
  <c r="AO127" i="2"/>
  <c r="AM127" i="2"/>
  <c r="AN127" i="2" s="1"/>
  <c r="AM122" i="2"/>
  <c r="AN122" i="2" s="1"/>
  <c r="AO122" i="2"/>
  <c r="AO29" i="2"/>
  <c r="AM29" i="2"/>
  <c r="AN29" i="2" s="1"/>
  <c r="AM141" i="2"/>
  <c r="AN141" i="2" s="1"/>
  <c r="AO141" i="2"/>
  <c r="AO149" i="2"/>
  <c r="AM149" i="2"/>
  <c r="AN149" i="2" s="1"/>
  <c r="AO125" i="2"/>
  <c r="AM125" i="2"/>
  <c r="AN125" i="2" s="1"/>
  <c r="AM217" i="2"/>
  <c r="AN217" i="2" s="1"/>
  <c r="AO217" i="2"/>
  <c r="AO198" i="2"/>
  <c r="AM198" i="2"/>
  <c r="AN198" i="2" s="1"/>
  <c r="AM275" i="2"/>
  <c r="AN275" i="2" s="1"/>
  <c r="AO275" i="2"/>
  <c r="AM321" i="2"/>
  <c r="AN321" i="2" s="1"/>
  <c r="AO321" i="2"/>
  <c r="AO325" i="2"/>
  <c r="AM325" i="2"/>
  <c r="AN325" i="2" s="1"/>
  <c r="AO300" i="2"/>
  <c r="AM300" i="2"/>
  <c r="AN300" i="2" s="1"/>
  <c r="AM339" i="2"/>
  <c r="AN339" i="2" s="1"/>
  <c r="AO339" i="2"/>
  <c r="AM343" i="2"/>
  <c r="AN343" i="2" s="1"/>
  <c r="AO343" i="2"/>
  <c r="AM434" i="2"/>
  <c r="AN434" i="2" s="1"/>
  <c r="AO434" i="2"/>
  <c r="AM408" i="2"/>
  <c r="AN408" i="2" s="1"/>
  <c r="AO408" i="2"/>
  <c r="AO494" i="2"/>
  <c r="AM494" i="2"/>
  <c r="AN494" i="2" s="1"/>
  <c r="AM557" i="2"/>
  <c r="AN557" i="2" s="1"/>
  <c r="AO557" i="2"/>
  <c r="AM598" i="2"/>
  <c r="AN598" i="2" s="1"/>
  <c r="AO598" i="2"/>
  <c r="AM596" i="2"/>
  <c r="AN596" i="2" s="1"/>
  <c r="AO596" i="2"/>
  <c r="AM546" i="2"/>
  <c r="AN546" i="2" s="1"/>
  <c r="AO546" i="2"/>
  <c r="AM698" i="2"/>
  <c r="AN698" i="2" s="1"/>
  <c r="AO698" i="2"/>
  <c r="AM585" i="2"/>
  <c r="AN585" i="2" s="1"/>
  <c r="AO585" i="2"/>
  <c r="AM642" i="2"/>
  <c r="AN642" i="2" s="1"/>
  <c r="AO642" i="2"/>
  <c r="AM726" i="2"/>
  <c r="AN726" i="2" s="1"/>
  <c r="AO726" i="2"/>
  <c r="AM629" i="2"/>
  <c r="AN629" i="2" s="1"/>
  <c r="AO629" i="2"/>
  <c r="AM753" i="2"/>
  <c r="AN753" i="2" s="1"/>
  <c r="AO753" i="2"/>
  <c r="AM773" i="2"/>
  <c r="AN773" i="2" s="1"/>
  <c r="AO773" i="2"/>
  <c r="AM839" i="2"/>
  <c r="AN839" i="2" s="1"/>
  <c r="AO839" i="2"/>
  <c r="AM821" i="2"/>
  <c r="AN821" i="2" s="1"/>
  <c r="AO821" i="2"/>
  <c r="AO867" i="2"/>
  <c r="AM867" i="2"/>
  <c r="AN867" i="2" s="1"/>
  <c r="AM845" i="2"/>
  <c r="AN845" i="2" s="1"/>
  <c r="AO845" i="2"/>
  <c r="AM748" i="2"/>
  <c r="AN748" i="2" s="1"/>
  <c r="AO748" i="2"/>
  <c r="AM888" i="2"/>
  <c r="AN888" i="2" s="1"/>
  <c r="AO888" i="2"/>
  <c r="AM168" i="2"/>
  <c r="AN168" i="2" s="1"/>
  <c r="AO168" i="2"/>
  <c r="AO121" i="2"/>
  <c r="AM121" i="2"/>
  <c r="AN121" i="2" s="1"/>
  <c r="AO11" i="2"/>
  <c r="AM11" i="2"/>
  <c r="AN11" i="2" s="1"/>
  <c r="AO60" i="2"/>
  <c r="AM60" i="2"/>
  <c r="AN60" i="2" s="1"/>
  <c r="AO46" i="2"/>
  <c r="AM46" i="2"/>
  <c r="AN46" i="2" s="1"/>
  <c r="AM134" i="2"/>
  <c r="AN134" i="2" s="1"/>
  <c r="AO134" i="2"/>
  <c r="AO143" i="2"/>
  <c r="AM143" i="2"/>
  <c r="AN143" i="2" s="1"/>
  <c r="AM214" i="2"/>
  <c r="AN214" i="2" s="1"/>
  <c r="AO214" i="2"/>
  <c r="AM228" i="2"/>
  <c r="AN228" i="2" s="1"/>
  <c r="AO228" i="2"/>
  <c r="AM201" i="2"/>
  <c r="AN201" i="2" s="1"/>
  <c r="AO201" i="2"/>
  <c r="AO200" i="2"/>
  <c r="AM200" i="2"/>
  <c r="AN200" i="2" s="1"/>
  <c r="AM276" i="2"/>
  <c r="AN276" i="2" s="1"/>
  <c r="AO276" i="2"/>
  <c r="AM278" i="2"/>
  <c r="AN278" i="2" s="1"/>
  <c r="AO278" i="2"/>
  <c r="AO270" i="2"/>
  <c r="AM270" i="2"/>
  <c r="AN270" i="2" s="1"/>
  <c r="AM284" i="2"/>
  <c r="AN284" i="2" s="1"/>
  <c r="AO284" i="2"/>
  <c r="AM337" i="2"/>
  <c r="AN337" i="2" s="1"/>
  <c r="AO337" i="2"/>
  <c r="AO393" i="2"/>
  <c r="AM393" i="2"/>
  <c r="AN393" i="2" s="1"/>
  <c r="AM362" i="2"/>
  <c r="AN362" i="2" s="1"/>
  <c r="AO362" i="2"/>
  <c r="AM411" i="2"/>
  <c r="AN411" i="2" s="1"/>
  <c r="AO411" i="2"/>
  <c r="AO506" i="2"/>
  <c r="AM506" i="2"/>
  <c r="AN506" i="2" s="1"/>
  <c r="AO567" i="2"/>
  <c r="AM567" i="2"/>
  <c r="AN567" i="2" s="1"/>
  <c r="AM509" i="2"/>
  <c r="AN509" i="2" s="1"/>
  <c r="AO509" i="2"/>
  <c r="AM602" i="2"/>
  <c r="AN602" i="2" s="1"/>
  <c r="AO602" i="2"/>
  <c r="AO671" i="2"/>
  <c r="AM671" i="2"/>
  <c r="AN671" i="2" s="1"/>
  <c r="AM647" i="2"/>
  <c r="AN647" i="2" s="1"/>
  <c r="AO647" i="2"/>
  <c r="AM732" i="2"/>
  <c r="AN732" i="2" s="1"/>
  <c r="AO732" i="2"/>
  <c r="AM765" i="2"/>
  <c r="AN765" i="2" s="1"/>
  <c r="AO765" i="2"/>
  <c r="AO772" i="2"/>
  <c r="AM772" i="2"/>
  <c r="AN772" i="2" s="1"/>
  <c r="AM833" i="2"/>
  <c r="AN833" i="2" s="1"/>
  <c r="AO833" i="2"/>
  <c r="AM874" i="2"/>
  <c r="AN874" i="2" s="1"/>
  <c r="AO874" i="2"/>
  <c r="AM940" i="2"/>
  <c r="AN940" i="2" s="1"/>
  <c r="AO940" i="2"/>
  <c r="AO891" i="2"/>
  <c r="AM891" i="2"/>
  <c r="AN891" i="2" s="1"/>
  <c r="AO47" i="2"/>
  <c r="AM47" i="2"/>
  <c r="AN47" i="2" s="1"/>
  <c r="AM93" i="2"/>
  <c r="AN93" i="2" s="1"/>
  <c r="AO93" i="2"/>
  <c r="AM591" i="2"/>
  <c r="AN591" i="2" s="1"/>
  <c r="AO591" i="2"/>
  <c r="AM6" i="2"/>
  <c r="AN6" i="2" s="1"/>
  <c r="AO6" i="2"/>
  <c r="AO89" i="2"/>
  <c r="AM89" i="2"/>
  <c r="AN89" i="2" s="1"/>
  <c r="AO17" i="2"/>
  <c r="AM17" i="2"/>
  <c r="AN17" i="2" s="1"/>
  <c r="AO65" i="2"/>
  <c r="AM65" i="2"/>
  <c r="AN65" i="2" s="1"/>
  <c r="AO145" i="2"/>
  <c r="AM145" i="2"/>
  <c r="AN145" i="2" s="1"/>
  <c r="AM237" i="2"/>
  <c r="AN237" i="2" s="1"/>
  <c r="AO237" i="2"/>
  <c r="AO175" i="2"/>
  <c r="AM175" i="2"/>
  <c r="AN175" i="2" s="1"/>
  <c r="AM166" i="2"/>
  <c r="AN166" i="2" s="1"/>
  <c r="AO166" i="2"/>
  <c r="AO210" i="2"/>
  <c r="AM210" i="2"/>
  <c r="AN210" i="2" s="1"/>
  <c r="AM195" i="2"/>
  <c r="AN195" i="2" s="1"/>
  <c r="AO195" i="2"/>
  <c r="AM316" i="2"/>
  <c r="AN316" i="2" s="1"/>
  <c r="AO316" i="2"/>
  <c r="AM224" i="2"/>
  <c r="AN224" i="2" s="1"/>
  <c r="AO224" i="2"/>
  <c r="AO357" i="2"/>
  <c r="AM357" i="2"/>
  <c r="AN357" i="2" s="1"/>
  <c r="AM399" i="2"/>
  <c r="AN399" i="2" s="1"/>
  <c r="AO399" i="2"/>
  <c r="AM267" i="2"/>
  <c r="AN267" i="2" s="1"/>
  <c r="AO267" i="2"/>
  <c r="AO356" i="2"/>
  <c r="AM356" i="2"/>
  <c r="AN356" i="2" s="1"/>
  <c r="AO349" i="2"/>
  <c r="AM349" i="2"/>
  <c r="AN349" i="2" s="1"/>
  <c r="AM400" i="2"/>
  <c r="AN400" i="2" s="1"/>
  <c r="AO400" i="2"/>
  <c r="AM328" i="2"/>
  <c r="AN328" i="2" s="1"/>
  <c r="AO328" i="2"/>
  <c r="AM401" i="2"/>
  <c r="AN401" i="2" s="1"/>
  <c r="AO401" i="2"/>
  <c r="AM347" i="2"/>
  <c r="AN347" i="2" s="1"/>
  <c r="AO347" i="2"/>
  <c r="AM360" i="2"/>
  <c r="AN360" i="2" s="1"/>
  <c r="AO360" i="2"/>
  <c r="AM604" i="2"/>
  <c r="AN604" i="2" s="1"/>
  <c r="AO604" i="2"/>
  <c r="AO544" i="2"/>
  <c r="AM544" i="2"/>
  <c r="AN544" i="2" s="1"/>
  <c r="AO512" i="2"/>
  <c r="AM512" i="2"/>
  <c r="AN512" i="2" s="1"/>
  <c r="AM570" i="2"/>
  <c r="AN570" i="2" s="1"/>
  <c r="AO570" i="2"/>
  <c r="AO606" i="2"/>
  <c r="AM606" i="2"/>
  <c r="AN606" i="2" s="1"/>
  <c r="AM427" i="2"/>
  <c r="AN427" i="2" s="1"/>
  <c r="AO427" i="2"/>
  <c r="AM571" i="2"/>
  <c r="AN571" i="2" s="1"/>
  <c r="AO571" i="2"/>
  <c r="AM704" i="2"/>
  <c r="AN704" i="2" s="1"/>
  <c r="AO704" i="2"/>
  <c r="AO638" i="2"/>
  <c r="AM638" i="2"/>
  <c r="AN638" i="2" s="1"/>
  <c r="AO677" i="2"/>
  <c r="AM677" i="2"/>
  <c r="AN677" i="2" s="1"/>
  <c r="AM716" i="2"/>
  <c r="AN716" i="2" s="1"/>
  <c r="AO716" i="2"/>
  <c r="AM653" i="2"/>
  <c r="AN653" i="2" s="1"/>
  <c r="AO653" i="2"/>
  <c r="AM782" i="2"/>
  <c r="AN782" i="2" s="1"/>
  <c r="AO782" i="2"/>
  <c r="AM665" i="2"/>
  <c r="AN665" i="2" s="1"/>
  <c r="AO665" i="2"/>
  <c r="AM615" i="2"/>
  <c r="AN615" i="2" s="1"/>
  <c r="AO615" i="2"/>
  <c r="AM813" i="2"/>
  <c r="AN813" i="2" s="1"/>
  <c r="AO813" i="2"/>
  <c r="AO766" i="2"/>
  <c r="AM766" i="2"/>
  <c r="AN766" i="2" s="1"/>
  <c r="AM884" i="2"/>
  <c r="AN884" i="2" s="1"/>
  <c r="AO884" i="2"/>
  <c r="AM840" i="2"/>
  <c r="AN840" i="2" s="1"/>
  <c r="AO840" i="2"/>
  <c r="AM912" i="2"/>
  <c r="AN912" i="2" s="1"/>
  <c r="AO912" i="2"/>
  <c r="AO53" i="2"/>
  <c r="AM53" i="2"/>
  <c r="AN53" i="2" s="1"/>
  <c r="AM138" i="2"/>
  <c r="AN138" i="2" s="1"/>
  <c r="AO138" i="2"/>
  <c r="AM150" i="2"/>
  <c r="AN150" i="2" s="1"/>
  <c r="AO150" i="2"/>
  <c r="AM156" i="2"/>
  <c r="AN156" i="2" s="1"/>
  <c r="AO156" i="2"/>
  <c r="AM42" i="2"/>
  <c r="AN42" i="2" s="1"/>
  <c r="AO42" i="2"/>
  <c r="AM164" i="2"/>
  <c r="AN164" i="2" s="1"/>
  <c r="AO164" i="2"/>
  <c r="AM38" i="2"/>
  <c r="AN38" i="2" s="1"/>
  <c r="AO38" i="2"/>
  <c r="AO23" i="2"/>
  <c r="AM23" i="2"/>
  <c r="AN23" i="2" s="1"/>
  <c r="AM178" i="2"/>
  <c r="AN178" i="2" s="1"/>
  <c r="AO178" i="2"/>
  <c r="AM240" i="2"/>
  <c r="AN240" i="2" s="1"/>
  <c r="AO240" i="2"/>
  <c r="AM244" i="2"/>
  <c r="AN244" i="2" s="1"/>
  <c r="AO244" i="2"/>
  <c r="AM136" i="2"/>
  <c r="AN136" i="2" s="1"/>
  <c r="AO136" i="2"/>
  <c r="AO243" i="2"/>
  <c r="AM243" i="2"/>
  <c r="AN243" i="2" s="1"/>
  <c r="AO286" i="2"/>
  <c r="AM286" i="2"/>
  <c r="AN286" i="2" s="1"/>
  <c r="AM307" i="2"/>
  <c r="AN307" i="2" s="1"/>
  <c r="AO307" i="2"/>
  <c r="AM281" i="2"/>
  <c r="AN281" i="2" s="1"/>
  <c r="AO281" i="2"/>
  <c r="AO258" i="2"/>
  <c r="AM258" i="2"/>
  <c r="AN258" i="2" s="1"/>
  <c r="AO351" i="2"/>
  <c r="AM351" i="2"/>
  <c r="AN351" i="2" s="1"/>
  <c r="AM226" i="2"/>
  <c r="AN226" i="2" s="1"/>
  <c r="AO226" i="2"/>
  <c r="AM273" i="2"/>
  <c r="AN273" i="2" s="1"/>
  <c r="AO273" i="2"/>
  <c r="AM291" i="2"/>
  <c r="AN291" i="2" s="1"/>
  <c r="AO291" i="2"/>
  <c r="AM447" i="2"/>
  <c r="AN447" i="2" s="1"/>
  <c r="AO447" i="2"/>
  <c r="AM382" i="2"/>
  <c r="AN382" i="2" s="1"/>
  <c r="AO382" i="2"/>
  <c r="AO361" i="2"/>
  <c r="AM361" i="2"/>
  <c r="AN361" i="2" s="1"/>
  <c r="AM404" i="2"/>
  <c r="AN404" i="2" s="1"/>
  <c r="AO404" i="2"/>
  <c r="AM340" i="2"/>
  <c r="AN340" i="2" s="1"/>
  <c r="AO340" i="2"/>
  <c r="AM392" i="2"/>
  <c r="AN392" i="2" s="1"/>
  <c r="AO392" i="2"/>
  <c r="AM413" i="2"/>
  <c r="AN413" i="2" s="1"/>
  <c r="AO413" i="2"/>
  <c r="AO476" i="2"/>
  <c r="AM476" i="2"/>
  <c r="AN476" i="2" s="1"/>
  <c r="AO468" i="2"/>
  <c r="AM468" i="2"/>
  <c r="AN468" i="2" s="1"/>
  <c r="AM568" i="2"/>
  <c r="AN568" i="2" s="1"/>
  <c r="AO568" i="2"/>
  <c r="AM582" i="2"/>
  <c r="AN582" i="2" s="1"/>
  <c r="AO582" i="2"/>
  <c r="AO574" i="2"/>
  <c r="AM574" i="2"/>
  <c r="AN574" i="2" s="1"/>
  <c r="AM521" i="2"/>
  <c r="AN521" i="2" s="1"/>
  <c r="AO521" i="2"/>
  <c r="AM583" i="2"/>
  <c r="AN583" i="2" s="1"/>
  <c r="AO583" i="2"/>
  <c r="AM566" i="2"/>
  <c r="AN566" i="2" s="1"/>
  <c r="AO566" i="2"/>
  <c r="AO683" i="2"/>
  <c r="AM683" i="2"/>
  <c r="AN683" i="2" s="1"/>
  <c r="AM550" i="2"/>
  <c r="AN550" i="2" s="1"/>
  <c r="AO550" i="2"/>
  <c r="AM592" i="2"/>
  <c r="AN592" i="2" s="1"/>
  <c r="AO592" i="2"/>
  <c r="AM621" i="2"/>
  <c r="AN621" i="2" s="1"/>
  <c r="AO621" i="2"/>
  <c r="AO667" i="2"/>
  <c r="AM667" i="2"/>
  <c r="AN667" i="2" s="1"/>
  <c r="AO713" i="2"/>
  <c r="AM713" i="2"/>
  <c r="AN713" i="2" s="1"/>
  <c r="AM803" i="2"/>
  <c r="AN803" i="2" s="1"/>
  <c r="AO803" i="2"/>
  <c r="AO643" i="2"/>
  <c r="AM643" i="2"/>
  <c r="AN643" i="2" s="1"/>
  <c r="AM928" i="2"/>
  <c r="AN928" i="2" s="1"/>
  <c r="AO928" i="2"/>
  <c r="AM882" i="2"/>
  <c r="AN882" i="2" s="1"/>
  <c r="AO882" i="2"/>
  <c r="AM922" i="2"/>
  <c r="AN922" i="2" s="1"/>
  <c r="AO922" i="2"/>
  <c r="AO905" i="2"/>
  <c r="AM905" i="2"/>
  <c r="AN905" i="2" s="1"/>
  <c r="AM886" i="2"/>
  <c r="AN886" i="2" s="1"/>
  <c r="AO886" i="2"/>
  <c r="AM104" i="2"/>
  <c r="AN104" i="2" s="1"/>
  <c r="AO104" i="2"/>
  <c r="AM132" i="2"/>
  <c r="AN132" i="2" s="1"/>
  <c r="AO132" i="2"/>
  <c r="AO70" i="2"/>
  <c r="AM70" i="2"/>
  <c r="AN70" i="2" s="1"/>
  <c r="AO97" i="2"/>
  <c r="AM97" i="2"/>
  <c r="AN97" i="2" s="1"/>
  <c r="AO76" i="2"/>
  <c r="AM76" i="2"/>
  <c r="AN76" i="2" s="1"/>
  <c r="AM162" i="2"/>
  <c r="AN162" i="2" s="1"/>
  <c r="AO162" i="2"/>
  <c r="AM26" i="2"/>
  <c r="AN26" i="2" s="1"/>
  <c r="AO26" i="2"/>
  <c r="AM176" i="2"/>
  <c r="AN176" i="2" s="1"/>
  <c r="AO176" i="2"/>
  <c r="AM192" i="2"/>
  <c r="AN192" i="2" s="1"/>
  <c r="AO192" i="2"/>
  <c r="AM96" i="2"/>
  <c r="AN96" i="2" s="1"/>
  <c r="AO96" i="2"/>
  <c r="AO250" i="2"/>
  <c r="AM250" i="2"/>
  <c r="AN250" i="2" s="1"/>
  <c r="AO302" i="2"/>
  <c r="AM302" i="2"/>
  <c r="AN302" i="2" s="1"/>
  <c r="AM269" i="2"/>
  <c r="AN269" i="2" s="1"/>
  <c r="AO269" i="2"/>
  <c r="AO287" i="2"/>
  <c r="AM287" i="2"/>
  <c r="AN287" i="2" s="1"/>
  <c r="AO288" i="2"/>
  <c r="AM288" i="2"/>
  <c r="AN288" i="2" s="1"/>
  <c r="AM453" i="2"/>
  <c r="AN453" i="2" s="1"/>
  <c r="AO453" i="2"/>
  <c r="AM368" i="2"/>
  <c r="AN368" i="2" s="1"/>
  <c r="AO368" i="2"/>
  <c r="AM386" i="2"/>
  <c r="AN386" i="2" s="1"/>
  <c r="AO386" i="2"/>
  <c r="AM414" i="2"/>
  <c r="AN414" i="2" s="1"/>
  <c r="AO414" i="2"/>
  <c r="AM406" i="2"/>
  <c r="AN406" i="2" s="1"/>
  <c r="AO406" i="2"/>
  <c r="AM418" i="2"/>
  <c r="AN418" i="2" s="1"/>
  <c r="AO418" i="2"/>
  <c r="AO470" i="2"/>
  <c r="AM470" i="2"/>
  <c r="AN470" i="2" s="1"/>
  <c r="AM503" i="2"/>
  <c r="AN503" i="2" s="1"/>
  <c r="AO503" i="2"/>
  <c r="AM531" i="2"/>
  <c r="AN531" i="2" s="1"/>
  <c r="AO531" i="2"/>
  <c r="AM586" i="2"/>
  <c r="AN586" i="2" s="1"/>
  <c r="AO586" i="2"/>
  <c r="AO611" i="2"/>
  <c r="AM611" i="2"/>
  <c r="AN611" i="2" s="1"/>
  <c r="AM710" i="2"/>
  <c r="AN710" i="2" s="1"/>
  <c r="AO710" i="2"/>
  <c r="AO689" i="2"/>
  <c r="AM689" i="2"/>
  <c r="AN689" i="2" s="1"/>
  <c r="AM654" i="2"/>
  <c r="AN654" i="2" s="1"/>
  <c r="AO654" i="2"/>
  <c r="AM771" i="2"/>
  <c r="AN771" i="2" s="1"/>
  <c r="AO771" i="2"/>
  <c r="AM837" i="2"/>
  <c r="AN837" i="2" s="1"/>
  <c r="AO837" i="2"/>
  <c r="AO903" i="2"/>
  <c r="AM903" i="2"/>
  <c r="AN903" i="2" s="1"/>
  <c r="AM910" i="2"/>
  <c r="AN910" i="2" s="1"/>
  <c r="AO910" i="2"/>
  <c r="AM253" i="2"/>
  <c r="AN253" i="2" s="1"/>
  <c r="AO253" i="2"/>
  <c r="AO441" i="2"/>
  <c r="AM441" i="2"/>
  <c r="AN441" i="2" s="1"/>
  <c r="AM8" i="2"/>
  <c r="AN8" i="2" s="1"/>
  <c r="AO8" i="2"/>
  <c r="AO71" i="2"/>
  <c r="AM71" i="2"/>
  <c r="AN71" i="2" s="1"/>
  <c r="AM75" i="2"/>
  <c r="AN75" i="2" s="1"/>
  <c r="AO75" i="2"/>
  <c r="AM221" i="2"/>
  <c r="AN221" i="2" s="1"/>
  <c r="AO221" i="2"/>
  <c r="AO216" i="2"/>
  <c r="AM216" i="2"/>
  <c r="AN216" i="2" s="1"/>
  <c r="AM207" i="2"/>
  <c r="AN207" i="2" s="1"/>
  <c r="AO207" i="2"/>
  <c r="AO308" i="2"/>
  <c r="AM308" i="2"/>
  <c r="AN308" i="2" s="1"/>
  <c r="AM338" i="2"/>
  <c r="AN338" i="2" s="1"/>
  <c r="AO338" i="2"/>
  <c r="AM296" i="2"/>
  <c r="AN296" i="2" s="1"/>
  <c r="AO296" i="2"/>
  <c r="AM252" i="2"/>
  <c r="AN252" i="2" s="1"/>
  <c r="AO252" i="2"/>
  <c r="AO315" i="2"/>
  <c r="AM315" i="2"/>
  <c r="AN315" i="2" s="1"/>
  <c r="AO423" i="2"/>
  <c r="AM423" i="2"/>
  <c r="AN423" i="2" s="1"/>
  <c r="AO367" i="2"/>
  <c r="AM367" i="2"/>
  <c r="AN367" i="2" s="1"/>
  <c r="AO422" i="2"/>
  <c r="AM422" i="2"/>
  <c r="AN422" i="2" s="1"/>
  <c r="AM428" i="2"/>
  <c r="AN428" i="2" s="1"/>
  <c r="AO428" i="2"/>
  <c r="AM419" i="2"/>
  <c r="AN419" i="2" s="1"/>
  <c r="AO419" i="2"/>
  <c r="AM573" i="2"/>
  <c r="AN573" i="2" s="1"/>
  <c r="AO573" i="2"/>
  <c r="AM552" i="2"/>
  <c r="AN552" i="2" s="1"/>
  <c r="AO552" i="2"/>
  <c r="AM549" i="2"/>
  <c r="AN549" i="2" s="1"/>
  <c r="AO549" i="2"/>
  <c r="AM532" i="2"/>
  <c r="AN532" i="2" s="1"/>
  <c r="AO532" i="2"/>
  <c r="AM612" i="2"/>
  <c r="AN612" i="2" s="1"/>
  <c r="AO612" i="2"/>
  <c r="AM605" i="2"/>
  <c r="AN605" i="2" s="1"/>
  <c r="AO605" i="2"/>
  <c r="AO695" i="2"/>
  <c r="AM695" i="2"/>
  <c r="AN695" i="2" s="1"/>
  <c r="AM666" i="2"/>
  <c r="AN666" i="2" s="1"/>
  <c r="AO666" i="2"/>
  <c r="AO789" i="2"/>
  <c r="AM789" i="2"/>
  <c r="AN789" i="2" s="1"/>
  <c r="AO697" i="2"/>
  <c r="AM697" i="2"/>
  <c r="AN697" i="2" s="1"/>
  <c r="AM737" i="2"/>
  <c r="AN737" i="2" s="1"/>
  <c r="AO737" i="2"/>
  <c r="AM857" i="2"/>
  <c r="AN857" i="2" s="1"/>
  <c r="AO857" i="2"/>
  <c r="AO844" i="2"/>
  <c r="AM844" i="2"/>
  <c r="AN844" i="2" s="1"/>
  <c r="AM876" i="2"/>
  <c r="AN876" i="2" s="1"/>
  <c r="AO876" i="2"/>
  <c r="AM898" i="2"/>
  <c r="AN898" i="2" s="1"/>
  <c r="AO898" i="2"/>
  <c r="AO917" i="2"/>
  <c r="AM917" i="2"/>
  <c r="AN917" i="2" s="1"/>
  <c r="AO893" i="2"/>
  <c r="AM893" i="2"/>
  <c r="AN893" i="2" s="1"/>
  <c r="AO9" i="2" l="1"/>
  <c r="AO5" i="2"/>
  <c r="C17" i="10"/>
  <c r="C7" i="10"/>
  <c r="AO15" i="2"/>
  <c r="U943" i="10"/>
  <c r="T943" i="10" s="1"/>
  <c r="U942" i="10"/>
  <c r="T942" i="10" s="1"/>
  <c r="AM311" i="2"/>
  <c r="AN311" i="2" s="1"/>
  <c r="AM25" i="2"/>
  <c r="AN25" i="2" s="1"/>
  <c r="AM292" i="2"/>
  <c r="AN292" i="2" s="1"/>
  <c r="AM478" i="2"/>
  <c r="AN478" i="2" s="1"/>
  <c r="AM209" i="2"/>
  <c r="AN209" i="2" s="1"/>
  <c r="AM938" i="2"/>
  <c r="AN938" i="2" s="1"/>
  <c r="AM679" i="2"/>
  <c r="AN679" i="2" s="1"/>
  <c r="AM838" i="2"/>
  <c r="AN838" i="2" s="1"/>
  <c r="AM626" i="2"/>
  <c r="AN626" i="2" s="1"/>
  <c r="AM229" i="2"/>
  <c r="AN229" i="2" s="1"/>
  <c r="AM530" i="2"/>
  <c r="AN530" i="2" s="1"/>
  <c r="AM614" i="2"/>
  <c r="AN614" i="2" s="1"/>
  <c r="AM108" i="2"/>
  <c r="AN108" i="2" s="1"/>
  <c r="AM106" i="2"/>
  <c r="AN106" i="2" s="1"/>
  <c r="AM929" i="2"/>
  <c r="AN929" i="2" s="1"/>
  <c r="AM197" i="2"/>
  <c r="AN197" i="2" s="1"/>
  <c r="AM62" i="2"/>
  <c r="AN62" i="2" s="1"/>
  <c r="AM889" i="2"/>
  <c r="AN889" i="2" s="1"/>
  <c r="AM344" i="2"/>
  <c r="AN344" i="2" s="1"/>
  <c r="AM769" i="2"/>
  <c r="AN769" i="2" s="1"/>
  <c r="AM617" i="2"/>
  <c r="AN617" i="2" s="1"/>
  <c r="AM256" i="2"/>
  <c r="AN256" i="2" s="1"/>
  <c r="AM672" i="2"/>
  <c r="AN672" i="2" s="1"/>
  <c r="AM836" i="2"/>
  <c r="AN836" i="2" s="1"/>
  <c r="AM746" i="2"/>
  <c r="AN746" i="2" s="1"/>
  <c r="AM892" i="2"/>
  <c r="AN892" i="2" s="1"/>
  <c r="AM370" i="2"/>
  <c r="AN370" i="2" s="1"/>
  <c r="AM575" i="2"/>
  <c r="AN575" i="2" s="1"/>
  <c r="AM147" i="2"/>
  <c r="AN147" i="2" s="1"/>
  <c r="AM733" i="2"/>
  <c r="AN733" i="2" s="1"/>
  <c r="AM61" i="2"/>
  <c r="AN61" i="2" s="1"/>
  <c r="AM553" i="2"/>
  <c r="AN553" i="2" s="1"/>
  <c r="AM636" i="2"/>
  <c r="AN636" i="2" s="1"/>
  <c r="AM862" i="2"/>
  <c r="AN862" i="2" s="1"/>
  <c r="AM445" i="2"/>
  <c r="AN445" i="2" s="1"/>
  <c r="AM505" i="2"/>
  <c r="AN505" i="2" s="1"/>
  <c r="AM687" i="2"/>
  <c r="AN687" i="2" s="1"/>
  <c r="AM496" i="2"/>
  <c r="AN496" i="2" s="1"/>
  <c r="AM533" i="2"/>
  <c r="AN533" i="2" s="1"/>
  <c r="AM646" i="2"/>
  <c r="AN646" i="2" s="1"/>
  <c r="AM933" i="2"/>
  <c r="AN933" i="2" s="1"/>
  <c r="AM668" i="2"/>
  <c r="AN668" i="2" s="1"/>
  <c r="AM69" i="2"/>
  <c r="AN69" i="2" s="1"/>
  <c r="AM705" i="2"/>
  <c r="AN705" i="2" s="1"/>
  <c r="AM856" i="2"/>
  <c r="AN856" i="2" s="1"/>
  <c r="AM469" i="2"/>
  <c r="AN469" i="2" s="1"/>
  <c r="AM622" i="2"/>
  <c r="AN622" i="2" s="1"/>
  <c r="AM84" i="2"/>
  <c r="AN84" i="2" s="1"/>
  <c r="AM712" i="2"/>
  <c r="AN712" i="2" s="1"/>
  <c r="AM763" i="2"/>
  <c r="AN763" i="2" s="1"/>
  <c r="AM628" i="2"/>
  <c r="AN628" i="2" s="1"/>
  <c r="AM115" i="2"/>
  <c r="AN115" i="2" s="1"/>
  <c r="AM788" i="2"/>
  <c r="AN788" i="2" s="1"/>
  <c r="AM415" i="2"/>
  <c r="AN415" i="2" s="1"/>
  <c r="AM835" i="2"/>
  <c r="AN835" i="2" s="1"/>
  <c r="AM474" i="2"/>
  <c r="AN474" i="2" s="1"/>
  <c r="AM59" i="2"/>
  <c r="AN59" i="2" s="1"/>
  <c r="AM681" i="2"/>
  <c r="AN681" i="2" s="1"/>
  <c r="AM673" i="2"/>
  <c r="AN673" i="2" s="1"/>
  <c r="AM495" i="2"/>
  <c r="AN495" i="2" s="1"/>
  <c r="AM101" i="2"/>
  <c r="AN101" i="2" s="1"/>
  <c r="AM756" i="2"/>
  <c r="AN756" i="2" s="1"/>
  <c r="AM208" i="2"/>
  <c r="AN208" i="2" s="1"/>
  <c r="AM306" i="2"/>
  <c r="AN306" i="2" s="1"/>
  <c r="AM786" i="2"/>
  <c r="AN786" i="2" s="1"/>
  <c r="AM463" i="2"/>
  <c r="AN463" i="2" s="1"/>
  <c r="AM783" i="2"/>
  <c r="AN783" i="2" s="1"/>
  <c r="AM159" i="2"/>
  <c r="AN159" i="2" s="1"/>
  <c r="AM880" i="2"/>
  <c r="AN880" i="2" s="1"/>
  <c r="AM55" i="2"/>
  <c r="AN55" i="2" s="1"/>
  <c r="AM758" i="2"/>
  <c r="AN758" i="2" s="1"/>
  <c r="AM502" i="2"/>
  <c r="AN502" i="2" s="1"/>
  <c r="AM443" i="2"/>
  <c r="AN443" i="2" s="1"/>
  <c r="AM67" i="2"/>
  <c r="AN67" i="2" s="1"/>
  <c r="AM131" i="2"/>
  <c r="AN131" i="2" s="1"/>
  <c r="AM32" i="2"/>
  <c r="AN32" i="2" s="1"/>
  <c r="AM848" i="2"/>
  <c r="AN848" i="2" s="1"/>
  <c r="AM319" i="2"/>
  <c r="AN319" i="2" s="1"/>
  <c r="AM761" i="2"/>
  <c r="AN761" i="2" s="1"/>
  <c r="AM941" i="2"/>
  <c r="AN941" i="2" s="1"/>
  <c r="AM927" i="2"/>
  <c r="AN927" i="2" s="1"/>
  <c r="AM271" i="2"/>
  <c r="AN271" i="2" s="1"/>
  <c r="AM700" i="2"/>
  <c r="AN700" i="2" s="1"/>
  <c r="AM384" i="2"/>
  <c r="AN384" i="2" s="1"/>
  <c r="AM510" i="2"/>
  <c r="AN510" i="2" s="1"/>
  <c r="AM864" i="2"/>
  <c r="AN864" i="2" s="1"/>
  <c r="AM206" i="2"/>
  <c r="AN206" i="2" s="1"/>
  <c r="AM266" i="2"/>
  <c r="AN266" i="2" s="1"/>
  <c r="AM49" i="2"/>
  <c r="AN49" i="2" s="1"/>
  <c r="AM44" i="2"/>
  <c r="AN44" i="2" s="1"/>
  <c r="AM861" i="2"/>
  <c r="AN861" i="2" s="1"/>
  <c r="AM66" i="2"/>
  <c r="AN66" i="2" s="1"/>
  <c r="AM464" i="2"/>
  <c r="AN464" i="2" s="1"/>
  <c r="AM130" i="2"/>
  <c r="AN130" i="2" s="1"/>
  <c r="AM739" i="2"/>
  <c r="AN739" i="2" s="1"/>
  <c r="AM430" i="2"/>
  <c r="AN430" i="2" s="1"/>
  <c r="AM426" i="2"/>
  <c r="AN426" i="2" s="1"/>
  <c r="AM431" i="2"/>
  <c r="AN431" i="2" s="1"/>
  <c r="AM846" i="2"/>
  <c r="AN846" i="2" s="1"/>
  <c r="AM213" i="2"/>
  <c r="AN213" i="2" s="1"/>
  <c r="AM85" i="2"/>
  <c r="AN85" i="2" s="1"/>
  <c r="AM644" i="2"/>
  <c r="AN644" i="2" s="1"/>
  <c r="AM172" i="2"/>
  <c r="AN172" i="2" s="1"/>
  <c r="AM64" i="2"/>
  <c r="AN64" i="2" s="1"/>
  <c r="AM601" i="2"/>
  <c r="AN601" i="2" s="1"/>
  <c r="AM310" i="2"/>
  <c r="AN310" i="2" s="1"/>
  <c r="AM471" i="2"/>
  <c r="AN471" i="2" s="1"/>
  <c r="AM760" i="2"/>
  <c r="AN760" i="2" s="1"/>
  <c r="AM645" i="2"/>
  <c r="AN645" i="2" s="1"/>
  <c r="AM657" i="2"/>
  <c r="AN657" i="2" s="1"/>
  <c r="AM389" i="2"/>
  <c r="AN389" i="2" s="1"/>
  <c r="AM920" i="2"/>
  <c r="AN920" i="2" s="1"/>
  <c r="AM919" i="2"/>
  <c r="AN919" i="2" s="1"/>
  <c r="AM866" i="2"/>
  <c r="AN866" i="2" s="1"/>
  <c r="AM364" i="2"/>
  <c r="AN364" i="2" s="1"/>
  <c r="AM934" i="2"/>
  <c r="AN934" i="2" s="1"/>
  <c r="AM126" i="2"/>
  <c r="AN126" i="2" s="1"/>
  <c r="AM916" i="2"/>
  <c r="AN916" i="2" s="1"/>
  <c r="AM590" i="2"/>
  <c r="AN590" i="2" s="1"/>
  <c r="AM7" i="2"/>
  <c r="AN7" i="2" s="1"/>
  <c r="AM669" i="2"/>
  <c r="AN669" i="2" s="1"/>
  <c r="AM780" i="2"/>
  <c r="AN780" i="2" s="1"/>
  <c r="AM660" i="2"/>
  <c r="AN660" i="2" s="1"/>
  <c r="AM597" i="2"/>
  <c r="AN597" i="2" s="1"/>
  <c r="AM600" i="2"/>
  <c r="AN600" i="2" s="1"/>
  <c r="AM255" i="2"/>
  <c r="AN255" i="2" s="1"/>
  <c r="AM289" i="2"/>
  <c r="AN289" i="2" s="1"/>
  <c r="AM594" i="2"/>
  <c r="AN594" i="2" s="1"/>
  <c r="AM433" i="2"/>
  <c r="AN433" i="2" s="1"/>
  <c r="AM930" i="2"/>
  <c r="AN930" i="2" s="1"/>
  <c r="AM272" i="2"/>
  <c r="AN272" i="2" s="1"/>
  <c r="AM918" i="2"/>
  <c r="AN918" i="2" s="1"/>
  <c r="AM883" i="2"/>
  <c r="AN883" i="2" s="1"/>
  <c r="AM670" i="2"/>
  <c r="AN670" i="2" s="1"/>
  <c r="AM830" i="2"/>
  <c r="AN830" i="2" s="1"/>
  <c r="AM215" i="2"/>
  <c r="AN215" i="2" s="1"/>
  <c r="AM776" i="2"/>
  <c r="AN776" i="2" s="1"/>
  <c r="AM123" i="2"/>
  <c r="AN123" i="2" s="1"/>
  <c r="AM785" i="2"/>
  <c r="AN785" i="2" s="1"/>
  <c r="AM561" i="2"/>
  <c r="AN561" i="2" s="1"/>
  <c r="AM873" i="2"/>
  <c r="AN873" i="2" s="1"/>
  <c r="AM699" i="2"/>
  <c r="AN699" i="2" s="1"/>
  <c r="AM619" i="2"/>
  <c r="AN619" i="2" s="1"/>
  <c r="AM854" i="2"/>
  <c r="AN854" i="2" s="1"/>
  <c r="AM608" i="2"/>
  <c r="AN608" i="2" s="1"/>
  <c r="AM565" i="2"/>
  <c r="AN565" i="2" s="1"/>
  <c r="AM265" i="2"/>
  <c r="AN265" i="2" s="1"/>
  <c r="AM932" i="2"/>
  <c r="AN932" i="2" s="1"/>
  <c r="AM775" i="2"/>
  <c r="AN775" i="2" s="1"/>
  <c r="AM152" i="2"/>
  <c r="AN152" i="2" s="1"/>
  <c r="AM133" i="2"/>
  <c r="AN133" i="2" s="1"/>
  <c r="AM564" i="2"/>
  <c r="AN564" i="2" s="1"/>
  <c r="AM558" i="2"/>
  <c r="AN558" i="2" s="1"/>
  <c r="AM623" i="2"/>
  <c r="AN623" i="2" s="1"/>
  <c r="AO163" i="2"/>
  <c r="AM163" i="2"/>
  <c r="AN163" i="2" s="1"/>
  <c r="AM740" i="2"/>
  <c r="AN740" i="2" s="1"/>
  <c r="AM633" i="2"/>
  <c r="AN633" i="2" s="1"/>
  <c r="AM242" i="2"/>
  <c r="AN242" i="2" s="1"/>
  <c r="AM493" i="2"/>
  <c r="AN493" i="2" s="1"/>
  <c r="AO711" i="2"/>
  <c r="AM711" i="2"/>
  <c r="AN711" i="2" s="1"/>
  <c r="AM342" i="2"/>
  <c r="AN342" i="2" s="1"/>
  <c r="AM507" i="2"/>
  <c r="AN507" i="2" s="1"/>
  <c r="AM282" i="2"/>
  <c r="AN282" i="2" s="1"/>
  <c r="AM865" i="2"/>
  <c r="AN865" i="2" s="1"/>
  <c r="AM35" i="2"/>
  <c r="AN35" i="2" s="1"/>
  <c r="AM268" i="2"/>
  <c r="AN268" i="2" s="1"/>
  <c r="AM768" i="2"/>
  <c r="AN768" i="2" s="1"/>
  <c r="AM869" i="2"/>
  <c r="AN869" i="2" s="1"/>
  <c r="AM490" i="2"/>
  <c r="AN490" i="2" s="1"/>
  <c r="AM456" i="2"/>
  <c r="AN456" i="2" s="1"/>
  <c r="AM452" i="2"/>
  <c r="AN452" i="2" s="1"/>
  <c r="AM352" i="2"/>
  <c r="AN352" i="2" s="1"/>
  <c r="AM537" i="2"/>
  <c r="AN537" i="2" s="1"/>
  <c r="AM914" i="2"/>
  <c r="AN914" i="2" s="1"/>
  <c r="AM329" i="2"/>
  <c r="AN329" i="2" s="1"/>
  <c r="AM779" i="2"/>
  <c r="AN779" i="2" s="1"/>
  <c r="AO872" i="2"/>
  <c r="AM872" i="2"/>
  <c r="AN872" i="2" s="1"/>
  <c r="AM73" i="2"/>
  <c r="AN73" i="2" s="1"/>
  <c r="AM20" i="2"/>
  <c r="AN20" i="2" s="1"/>
  <c r="AM895" i="2"/>
  <c r="AN895" i="2" s="1"/>
  <c r="AM618" i="2"/>
  <c r="AN618" i="2" s="1"/>
  <c r="AM906" i="2"/>
  <c r="AN906" i="2" s="1"/>
  <c r="AM112" i="2"/>
  <c r="AN112" i="2" s="1"/>
  <c r="AM285" i="2"/>
  <c r="AN285" i="2" s="1"/>
  <c r="AM37" i="2"/>
  <c r="AN37" i="2" s="1"/>
  <c r="AO802" i="2"/>
  <c r="AM802" i="2"/>
  <c r="AN802" i="2" s="1"/>
  <c r="AM450" i="2"/>
  <c r="AN450" i="2" s="1"/>
  <c r="AM820" i="2"/>
  <c r="AN820" i="2" s="1"/>
  <c r="AM52" i="2"/>
  <c r="AN52" i="2" s="1"/>
  <c r="AM173" i="2"/>
  <c r="AN173" i="2" s="1"/>
  <c r="AM744" i="2"/>
  <c r="AN744" i="2" s="1"/>
  <c r="AM16" i="2"/>
  <c r="AN16" i="2" s="1"/>
  <c r="AM625" i="2"/>
  <c r="AN625" i="2" s="1"/>
  <c r="AM708" i="2"/>
  <c r="AN708" i="2" s="1"/>
  <c r="AM222" i="2"/>
  <c r="AN222" i="2" s="1"/>
  <c r="AM885" i="2"/>
  <c r="AN885" i="2" s="1"/>
  <c r="AM749" i="2"/>
  <c r="AN749" i="2" s="1"/>
  <c r="AM425" i="2"/>
  <c r="AN425" i="2" s="1"/>
  <c r="AM587" i="2"/>
  <c r="AN587" i="2" s="1"/>
  <c r="AM850" i="2"/>
  <c r="AN850" i="2" s="1"/>
  <c r="AM440" i="2"/>
  <c r="AN440" i="2" s="1"/>
  <c r="AM280" i="2"/>
  <c r="AN280" i="2" s="1"/>
  <c r="AM499" i="2"/>
  <c r="AN499" i="2" s="1"/>
  <c r="AM817" i="2"/>
  <c r="AN817" i="2" s="1"/>
  <c r="AM295" i="2"/>
  <c r="AN295" i="2" s="1"/>
  <c r="AM43" i="2"/>
  <c r="AN43" i="2" s="1"/>
  <c r="AM572" i="2"/>
  <c r="AN572" i="2" s="1"/>
  <c r="AM378" i="2"/>
  <c r="AN378" i="2" s="1"/>
  <c r="AM249" i="2"/>
  <c r="AN249" i="2" s="1"/>
  <c r="AM793" i="2"/>
  <c r="AN793" i="2" s="1"/>
  <c r="AM639" i="2"/>
  <c r="AN639" i="2" s="1"/>
  <c r="AM260" i="2"/>
  <c r="AN260" i="2" s="1"/>
  <c r="AM30" i="2"/>
  <c r="AN30" i="2" s="1"/>
  <c r="AM680" i="2"/>
  <c r="AN680" i="2" s="1"/>
  <c r="AM849" i="2"/>
  <c r="AN849" i="2" s="1"/>
  <c r="AM330" i="2"/>
  <c r="AN330" i="2" s="1"/>
  <c r="AM902" i="2"/>
  <c r="AN902" i="2" s="1"/>
  <c r="AM462" i="2"/>
  <c r="AN462" i="2" s="1"/>
  <c r="AM792" i="2"/>
  <c r="AN792" i="2" s="1"/>
  <c r="AM402" i="2"/>
  <c r="AN402" i="2" s="1"/>
  <c r="AM588" i="2"/>
  <c r="AN588" i="2" s="1"/>
  <c r="AM858" i="2"/>
  <c r="AN858" i="2" s="1"/>
  <c r="AO752" i="2"/>
  <c r="AM752" i="2"/>
  <c r="AN752" i="2" s="1"/>
  <c r="AM791" i="2"/>
  <c r="AN791" i="2" s="1"/>
  <c r="AM819" i="2"/>
  <c r="AN819" i="2" s="1"/>
  <c r="AM375" i="2"/>
  <c r="AN375" i="2" s="1"/>
  <c r="AO871" i="2"/>
  <c r="AM871" i="2"/>
  <c r="AN871" i="2" s="1"/>
  <c r="AO559" i="2"/>
  <c r="AM559" i="2"/>
  <c r="AN559" i="2" s="1"/>
  <c r="AO847" i="2"/>
  <c r="AM847" i="2"/>
  <c r="AN847" i="2" s="1"/>
  <c r="AM727" i="2"/>
  <c r="AN727" i="2" s="1"/>
  <c r="AM693" i="2"/>
  <c r="AN693" i="2" s="1"/>
  <c r="AM497" i="2"/>
  <c r="AN497" i="2" s="1"/>
  <c r="AM40" i="2"/>
  <c r="AN40" i="2" s="1"/>
  <c r="AM153" i="2"/>
  <c r="AN153" i="2" s="1"/>
  <c r="AM438" i="2"/>
  <c r="AN438" i="2" s="1"/>
  <c r="AM664" i="2"/>
  <c r="AN664" i="2" s="1"/>
  <c r="AO860" i="2"/>
  <c r="AM860" i="2"/>
  <c r="AN860" i="2" s="1"/>
  <c r="AM811" i="2"/>
  <c r="AN811" i="2" s="1"/>
  <c r="AM305" i="2"/>
  <c r="AN305" i="2" s="1"/>
  <c r="AM709" i="2"/>
  <c r="AN709" i="2" s="1"/>
  <c r="AM702" i="2"/>
  <c r="AN702" i="2" s="1"/>
  <c r="AM855" i="2"/>
  <c r="AN855" i="2" s="1"/>
  <c r="AM555" i="2"/>
  <c r="AN555" i="2" s="1"/>
  <c r="AM806" i="2"/>
  <c r="AN806" i="2" s="1"/>
  <c r="AO390" i="2"/>
  <c r="AM390" i="2"/>
  <c r="AN390" i="2" s="1"/>
  <c r="AO729" i="2"/>
  <c r="AM729" i="2"/>
  <c r="AN729" i="2" s="1"/>
  <c r="AM277" i="2"/>
  <c r="AN277" i="2" s="1"/>
  <c r="AM417" i="2"/>
  <c r="AN417" i="2" s="1"/>
  <c r="AM185" i="2"/>
  <c r="AN185" i="2" s="1"/>
  <c r="AM323" i="2"/>
  <c r="AN323" i="2" s="1"/>
  <c r="AM475" i="2"/>
  <c r="AN475" i="2" s="1"/>
  <c r="AM616" i="2"/>
  <c r="AN616" i="2" s="1"/>
  <c r="AM907" i="2"/>
  <c r="AN907" i="2" s="1"/>
  <c r="AM890" i="2"/>
  <c r="AN890" i="2" s="1"/>
  <c r="AO179" i="2"/>
  <c r="AM179" i="2"/>
  <c r="AN179" i="2" s="1"/>
  <c r="AM525" i="2"/>
  <c r="AN525" i="2" s="1"/>
  <c r="AO79" i="2"/>
  <c r="AM79" i="2"/>
  <c r="AN79" i="2" s="1"/>
  <c r="AM913" i="2"/>
  <c r="AN913" i="2" s="1"/>
  <c r="AM896" i="2"/>
  <c r="AN896" i="2" s="1"/>
  <c r="AM522" i="2"/>
  <c r="AN522" i="2" s="1"/>
  <c r="AM304" i="2"/>
  <c r="AN304" i="2" s="1"/>
  <c r="AM348" i="2"/>
  <c r="AN348" i="2" s="1"/>
  <c r="AO481" i="2"/>
  <c r="AM481" i="2"/>
  <c r="AN481" i="2" s="1"/>
  <c r="AM236" i="2"/>
  <c r="AN236" i="2" s="1"/>
  <c r="AM921" i="2"/>
  <c r="AN921" i="2" s="1"/>
  <c r="AM843" i="2"/>
  <c r="AN843" i="2" s="1"/>
  <c r="AM219" i="2"/>
  <c r="AN219" i="2" s="1"/>
  <c r="AM350" i="2"/>
  <c r="AN350" i="2" s="1"/>
  <c r="AM682" i="2"/>
  <c r="AN682" i="2" s="1"/>
  <c r="AM899" i="2"/>
  <c r="AN899" i="2" s="1"/>
  <c r="AM472" i="2"/>
  <c r="AN472" i="2" s="1"/>
  <c r="AM395" i="2"/>
  <c r="AN395" i="2" s="1"/>
  <c r="AM460" i="2"/>
  <c r="AN460" i="2" s="1"/>
  <c r="AM829" i="2"/>
  <c r="AN829" i="2" s="1"/>
  <c r="AM826" i="2"/>
  <c r="AN826" i="2" s="1"/>
  <c r="AO735" i="2"/>
  <c r="AM735" i="2"/>
  <c r="AN735" i="2" s="1"/>
  <c r="AM908" i="2"/>
  <c r="AN908" i="2" s="1"/>
  <c r="AM34" i="2"/>
  <c r="AN34" i="2" s="1"/>
  <c r="AM767" i="2"/>
  <c r="AN767" i="2" s="1"/>
  <c r="AM424" i="2"/>
  <c r="AN424" i="2" s="1"/>
  <c r="AM678" i="2"/>
  <c r="AN678" i="2" s="1"/>
  <c r="AE4" i="2"/>
  <c r="AJ4" i="2" s="1"/>
  <c r="AH4" i="2"/>
  <c r="AI4" i="2"/>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353" i="10"/>
  <c r="B354" i="10"/>
  <c r="B355" i="10"/>
  <c r="B356" i="10"/>
  <c r="B357" i="10"/>
  <c r="B358" i="10"/>
  <c r="B359" i="10"/>
  <c r="B360" i="10"/>
  <c r="B361" i="10"/>
  <c r="B362" i="10"/>
  <c r="B363" i="10"/>
  <c r="B364" i="10"/>
  <c r="B365" i="10"/>
  <c r="B366" i="10"/>
  <c r="B367" i="10"/>
  <c r="B368" i="10"/>
  <c r="B369" i="10"/>
  <c r="B370" i="10"/>
  <c r="B371" i="10"/>
  <c r="B372" i="10"/>
  <c r="B373" i="10"/>
  <c r="B374" i="10"/>
  <c r="B375" i="10"/>
  <c r="B376" i="10"/>
  <c r="B377" i="10"/>
  <c r="B378" i="10"/>
  <c r="B379" i="10"/>
  <c r="B380" i="10"/>
  <c r="B381" i="10"/>
  <c r="B382" i="10"/>
  <c r="B383" i="10"/>
  <c r="B384" i="10"/>
  <c r="B385" i="10"/>
  <c r="B386" i="10"/>
  <c r="B387" i="10"/>
  <c r="B388" i="10"/>
  <c r="B389" i="10"/>
  <c r="B390" i="10"/>
  <c r="B391" i="10"/>
  <c r="B392" i="10"/>
  <c r="B393" i="10"/>
  <c r="B394" i="10"/>
  <c r="B395" i="10"/>
  <c r="B396" i="10"/>
  <c r="B397" i="10"/>
  <c r="B398" i="10"/>
  <c r="B399" i="10"/>
  <c r="B400" i="10"/>
  <c r="B401" i="10"/>
  <c r="B402" i="10"/>
  <c r="B403" i="10"/>
  <c r="B404" i="10"/>
  <c r="B405" i="10"/>
  <c r="B406" i="10"/>
  <c r="B407" i="10"/>
  <c r="B408" i="10"/>
  <c r="B409" i="10"/>
  <c r="B410" i="10"/>
  <c r="B411" i="10"/>
  <c r="B412" i="10"/>
  <c r="B413" i="10"/>
  <c r="B414" i="10"/>
  <c r="B415" i="10"/>
  <c r="B416" i="10"/>
  <c r="B417" i="10"/>
  <c r="B418" i="10"/>
  <c r="B419" i="10"/>
  <c r="B420" i="10"/>
  <c r="B421" i="10"/>
  <c r="B422" i="10"/>
  <c r="B423" i="10"/>
  <c r="B424" i="10"/>
  <c r="B425" i="10"/>
  <c r="B426" i="10"/>
  <c r="B427" i="10"/>
  <c r="B428" i="10"/>
  <c r="B429" i="10"/>
  <c r="B430" i="10"/>
  <c r="B431" i="10"/>
  <c r="B432" i="10"/>
  <c r="B433" i="10"/>
  <c r="B434" i="10"/>
  <c r="B435" i="10"/>
  <c r="B436" i="10"/>
  <c r="B437" i="10"/>
  <c r="B438" i="10"/>
  <c r="B439" i="10"/>
  <c r="B440" i="10"/>
  <c r="B441" i="10"/>
  <c r="B442" i="10"/>
  <c r="B443" i="10"/>
  <c r="B444" i="10"/>
  <c r="B445" i="10"/>
  <c r="B446" i="10"/>
  <c r="B447" i="10"/>
  <c r="B448" i="10"/>
  <c r="B449" i="10"/>
  <c r="B450" i="10"/>
  <c r="B451" i="10"/>
  <c r="B452" i="10"/>
  <c r="B453" i="10"/>
  <c r="B454" i="10"/>
  <c r="B455" i="10"/>
  <c r="B456" i="10"/>
  <c r="B457" i="10"/>
  <c r="B458" i="10"/>
  <c r="B459" i="10"/>
  <c r="B460" i="10"/>
  <c r="B461" i="10"/>
  <c r="B462" i="10"/>
  <c r="B463" i="10"/>
  <c r="B464" i="10"/>
  <c r="B465" i="10"/>
  <c r="B466" i="10"/>
  <c r="B467" i="10"/>
  <c r="B468" i="10"/>
  <c r="B469" i="10"/>
  <c r="B470" i="10"/>
  <c r="B471" i="10"/>
  <c r="B472" i="10"/>
  <c r="B473" i="10"/>
  <c r="B474" i="10"/>
  <c r="B475" i="10"/>
  <c r="B476" i="10"/>
  <c r="B477" i="10"/>
  <c r="B478" i="10"/>
  <c r="B479" i="10"/>
  <c r="B480" i="10"/>
  <c r="B481" i="10"/>
  <c r="B482" i="10"/>
  <c r="B483" i="10"/>
  <c r="B484" i="10"/>
  <c r="B485" i="10"/>
  <c r="B486" i="10"/>
  <c r="B487" i="10"/>
  <c r="B488" i="10"/>
  <c r="B489" i="10"/>
  <c r="B490" i="10"/>
  <c r="B491" i="10"/>
  <c r="B492" i="10"/>
  <c r="B493" i="10"/>
  <c r="B494" i="10"/>
  <c r="B495" i="10"/>
  <c r="B496" i="10"/>
  <c r="B497" i="10"/>
  <c r="B498" i="10"/>
  <c r="B499" i="10"/>
  <c r="B500" i="10"/>
  <c r="B501" i="10"/>
  <c r="B502" i="10"/>
  <c r="B503" i="10"/>
  <c r="B504" i="10"/>
  <c r="B505" i="10"/>
  <c r="B506" i="10"/>
  <c r="B507" i="10"/>
  <c r="B508" i="10"/>
  <c r="B509" i="10"/>
  <c r="B510" i="10"/>
  <c r="B511" i="10"/>
  <c r="B512" i="10"/>
  <c r="B513" i="10"/>
  <c r="B514" i="10"/>
  <c r="B515" i="10"/>
  <c r="B516" i="10"/>
  <c r="B517" i="10"/>
  <c r="B518" i="10"/>
  <c r="B519" i="10"/>
  <c r="B520" i="10"/>
  <c r="B521" i="10"/>
  <c r="B522" i="10"/>
  <c r="B523" i="10"/>
  <c r="B524" i="10"/>
  <c r="B525" i="10"/>
  <c r="B526" i="10"/>
  <c r="B527" i="10"/>
  <c r="B528" i="10"/>
  <c r="B529" i="10"/>
  <c r="B530" i="10"/>
  <c r="B531" i="10"/>
  <c r="B532" i="10"/>
  <c r="B533" i="10"/>
  <c r="B534" i="10"/>
  <c r="B535" i="10"/>
  <c r="B536" i="10"/>
  <c r="B537" i="10"/>
  <c r="B538" i="10"/>
  <c r="B539" i="10"/>
  <c r="B540" i="10"/>
  <c r="B541" i="10"/>
  <c r="B542" i="10"/>
  <c r="B543" i="10"/>
  <c r="B544" i="10"/>
  <c r="B545" i="10"/>
  <c r="B546" i="10"/>
  <c r="B547" i="10"/>
  <c r="B548" i="10"/>
  <c r="B549" i="10"/>
  <c r="B550" i="10"/>
  <c r="B551" i="10"/>
  <c r="B552" i="10"/>
  <c r="B553" i="10"/>
  <c r="B554" i="10"/>
  <c r="B555" i="10"/>
  <c r="B556" i="10"/>
  <c r="B557" i="10"/>
  <c r="B558" i="10"/>
  <c r="B559" i="10"/>
  <c r="B560" i="10"/>
  <c r="B561" i="10"/>
  <c r="B562" i="10"/>
  <c r="B563" i="10"/>
  <c r="B564" i="10"/>
  <c r="B565" i="10"/>
  <c r="B566" i="10"/>
  <c r="B567" i="10"/>
  <c r="B568" i="10"/>
  <c r="B569" i="10"/>
  <c r="B570" i="10"/>
  <c r="B571" i="10"/>
  <c r="B572" i="10"/>
  <c r="B573" i="10"/>
  <c r="B574" i="10"/>
  <c r="B575" i="10"/>
  <c r="B576" i="10"/>
  <c r="B577" i="10"/>
  <c r="B578" i="10"/>
  <c r="B579" i="10"/>
  <c r="B580" i="10"/>
  <c r="B581" i="10"/>
  <c r="B582" i="10"/>
  <c r="B583" i="10"/>
  <c r="B584" i="10"/>
  <c r="B585" i="10"/>
  <c r="B586" i="10"/>
  <c r="B587" i="10"/>
  <c r="B588" i="10"/>
  <c r="B589" i="10"/>
  <c r="B590" i="10"/>
  <c r="B591" i="10"/>
  <c r="B592" i="10"/>
  <c r="B593" i="10"/>
  <c r="B594" i="10"/>
  <c r="B595" i="10"/>
  <c r="B596" i="10"/>
  <c r="B597" i="10"/>
  <c r="B598" i="10"/>
  <c r="B599" i="10"/>
  <c r="B600" i="10"/>
  <c r="B601" i="10"/>
  <c r="B602" i="10"/>
  <c r="B603" i="10"/>
  <c r="B604" i="10"/>
  <c r="B605" i="10"/>
  <c r="B606" i="10"/>
  <c r="B607" i="10"/>
  <c r="B608" i="10"/>
  <c r="B609" i="10"/>
  <c r="B610" i="10"/>
  <c r="B611" i="10"/>
  <c r="B612" i="10"/>
  <c r="B613" i="10"/>
  <c r="B614" i="10"/>
  <c r="B615" i="10"/>
  <c r="B616" i="10"/>
  <c r="B617" i="10"/>
  <c r="B618" i="10"/>
  <c r="B619" i="10"/>
  <c r="B620" i="10"/>
  <c r="B621" i="10"/>
  <c r="B622" i="10"/>
  <c r="B623" i="10"/>
  <c r="B624" i="10"/>
  <c r="B625" i="10"/>
  <c r="B626" i="10"/>
  <c r="B627" i="10"/>
  <c r="B628" i="10"/>
  <c r="B629" i="10"/>
  <c r="B630" i="10"/>
  <c r="B631" i="10"/>
  <c r="B632" i="10"/>
  <c r="B633" i="10"/>
  <c r="B634" i="10"/>
  <c r="B635" i="10"/>
  <c r="B636" i="10"/>
  <c r="B637" i="10"/>
  <c r="B638" i="10"/>
  <c r="B639" i="10"/>
  <c r="B640" i="10"/>
  <c r="B641" i="10"/>
  <c r="B642" i="10"/>
  <c r="B643" i="10"/>
  <c r="B644" i="10"/>
  <c r="B645" i="10"/>
  <c r="B646" i="10"/>
  <c r="B647" i="10"/>
  <c r="B648" i="10"/>
  <c r="B649" i="10"/>
  <c r="B650" i="10"/>
  <c r="B651" i="10"/>
  <c r="B652" i="10"/>
  <c r="B653" i="10"/>
  <c r="B654" i="10"/>
  <c r="B655" i="10"/>
  <c r="B656" i="10"/>
  <c r="B657" i="10"/>
  <c r="B658" i="10"/>
  <c r="B659" i="10"/>
  <c r="B660" i="10"/>
  <c r="B661" i="10"/>
  <c r="B662" i="10"/>
  <c r="B663" i="10"/>
  <c r="B664" i="10"/>
  <c r="B665" i="10"/>
  <c r="B666" i="10"/>
  <c r="B667" i="10"/>
  <c r="B668" i="10"/>
  <c r="B669" i="10"/>
  <c r="B670" i="10"/>
  <c r="B671" i="10"/>
  <c r="B672" i="10"/>
  <c r="B673" i="10"/>
  <c r="B674" i="10"/>
  <c r="B675" i="10"/>
  <c r="B676" i="10"/>
  <c r="B677" i="10"/>
  <c r="B678" i="10"/>
  <c r="B679" i="10"/>
  <c r="B680" i="10"/>
  <c r="B681" i="10"/>
  <c r="B682" i="10"/>
  <c r="B683" i="10"/>
  <c r="B684" i="10"/>
  <c r="B685" i="10"/>
  <c r="B686" i="10"/>
  <c r="B687" i="10"/>
  <c r="B688" i="10"/>
  <c r="B689" i="10"/>
  <c r="B690" i="10"/>
  <c r="B691" i="10"/>
  <c r="B692" i="10"/>
  <c r="B693" i="10"/>
  <c r="B694" i="10"/>
  <c r="B695" i="10"/>
  <c r="B696" i="10"/>
  <c r="B697" i="10"/>
  <c r="B698" i="10"/>
  <c r="B699" i="10"/>
  <c r="B700" i="10"/>
  <c r="B701" i="10"/>
  <c r="B702" i="10"/>
  <c r="B703" i="10"/>
  <c r="B704" i="10"/>
  <c r="B705" i="10"/>
  <c r="B706" i="10"/>
  <c r="B707" i="10"/>
  <c r="B708" i="10"/>
  <c r="B709" i="10"/>
  <c r="B710" i="10"/>
  <c r="B711" i="10"/>
  <c r="B712" i="10"/>
  <c r="B713" i="10"/>
  <c r="B714" i="10"/>
  <c r="B715" i="10"/>
  <c r="B716" i="10"/>
  <c r="B717" i="10"/>
  <c r="B718" i="10"/>
  <c r="B719" i="10"/>
  <c r="B720" i="10"/>
  <c r="B721" i="10"/>
  <c r="B722" i="10"/>
  <c r="B723" i="10"/>
  <c r="B724" i="10"/>
  <c r="B725" i="10"/>
  <c r="B726" i="10"/>
  <c r="B727" i="10"/>
  <c r="B728" i="10"/>
  <c r="B729" i="10"/>
  <c r="B730" i="10"/>
  <c r="B731" i="10"/>
  <c r="B732" i="10"/>
  <c r="B733" i="10"/>
  <c r="B734" i="10"/>
  <c r="B735" i="10"/>
  <c r="B736" i="10"/>
  <c r="B737" i="10"/>
  <c r="B738" i="10"/>
  <c r="B739" i="10"/>
  <c r="B740" i="10"/>
  <c r="B741" i="10"/>
  <c r="B742" i="10"/>
  <c r="B743" i="10"/>
  <c r="B744" i="10"/>
  <c r="B745" i="10"/>
  <c r="B746" i="10"/>
  <c r="B747" i="10"/>
  <c r="B748" i="10"/>
  <c r="B749" i="10"/>
  <c r="B750" i="10"/>
  <c r="B751" i="10"/>
  <c r="B752" i="10"/>
  <c r="B753" i="10"/>
  <c r="B754" i="10"/>
  <c r="B755" i="10"/>
  <c r="B756" i="10"/>
  <c r="B757" i="10"/>
  <c r="B758" i="10"/>
  <c r="B759" i="10"/>
  <c r="B760" i="10"/>
  <c r="B761" i="10"/>
  <c r="B762" i="10"/>
  <c r="B763" i="10"/>
  <c r="B764" i="10"/>
  <c r="B765" i="10"/>
  <c r="B766" i="10"/>
  <c r="B767" i="10"/>
  <c r="B768" i="10"/>
  <c r="B769" i="10"/>
  <c r="B770" i="10"/>
  <c r="B771" i="10"/>
  <c r="B772" i="10"/>
  <c r="B773" i="10"/>
  <c r="B774" i="10"/>
  <c r="B775" i="10"/>
  <c r="B776" i="10"/>
  <c r="B777" i="10"/>
  <c r="B778" i="10"/>
  <c r="B779" i="10"/>
  <c r="B780" i="10"/>
  <c r="B781" i="10"/>
  <c r="B782" i="10"/>
  <c r="B783" i="10"/>
  <c r="B784" i="10"/>
  <c r="B785" i="10"/>
  <c r="B786" i="10"/>
  <c r="B787" i="10"/>
  <c r="B788" i="10"/>
  <c r="B789" i="10"/>
  <c r="B790" i="10"/>
  <c r="B791" i="10"/>
  <c r="B792" i="10"/>
  <c r="B793" i="10"/>
  <c r="B794" i="10"/>
  <c r="B795" i="10"/>
  <c r="B796" i="10"/>
  <c r="B797" i="10"/>
  <c r="B798" i="10"/>
  <c r="B799" i="10"/>
  <c r="B800" i="10"/>
  <c r="B801" i="10"/>
  <c r="B802" i="10"/>
  <c r="B803" i="10"/>
  <c r="B804" i="10"/>
  <c r="B805" i="10"/>
  <c r="B806" i="10"/>
  <c r="B807" i="10"/>
  <c r="B808" i="10"/>
  <c r="B809" i="10"/>
  <c r="B810" i="10"/>
  <c r="B811" i="10"/>
  <c r="B812" i="10"/>
  <c r="B813" i="10"/>
  <c r="B814" i="10"/>
  <c r="B815" i="10"/>
  <c r="B816" i="10"/>
  <c r="B817" i="10"/>
  <c r="B818" i="10"/>
  <c r="B819" i="10"/>
  <c r="B820" i="10"/>
  <c r="B821" i="10"/>
  <c r="B822" i="10"/>
  <c r="B823" i="10"/>
  <c r="B824" i="10"/>
  <c r="B825" i="10"/>
  <c r="B826" i="10"/>
  <c r="B827" i="10"/>
  <c r="B828" i="10"/>
  <c r="B829" i="10"/>
  <c r="B830" i="10"/>
  <c r="B831" i="10"/>
  <c r="B832" i="10"/>
  <c r="B833" i="10"/>
  <c r="B834" i="10"/>
  <c r="B835" i="10"/>
  <c r="B836" i="10"/>
  <c r="B837" i="10"/>
  <c r="B838" i="10"/>
  <c r="B839" i="10"/>
  <c r="B840" i="10"/>
  <c r="B841" i="10"/>
  <c r="B842" i="10"/>
  <c r="B843" i="10"/>
  <c r="B844" i="10"/>
  <c r="B845" i="10"/>
  <c r="B846" i="10"/>
  <c r="B847" i="10"/>
  <c r="B848" i="10"/>
  <c r="B849" i="10"/>
  <c r="B850" i="10"/>
  <c r="B851" i="10"/>
  <c r="B852" i="10"/>
  <c r="B853" i="10"/>
  <c r="B854" i="10"/>
  <c r="B855" i="10"/>
  <c r="B856" i="10"/>
  <c r="B857" i="10"/>
  <c r="B858" i="10"/>
  <c r="B859" i="10"/>
  <c r="B860" i="10"/>
  <c r="B861" i="10"/>
  <c r="B862" i="10"/>
  <c r="B863" i="10"/>
  <c r="B864" i="10"/>
  <c r="B865" i="10"/>
  <c r="B866" i="10"/>
  <c r="B867" i="10"/>
  <c r="B868" i="10"/>
  <c r="B869" i="10"/>
  <c r="B870" i="10"/>
  <c r="B871" i="10"/>
  <c r="B872" i="10"/>
  <c r="B873" i="10"/>
  <c r="B874" i="10"/>
  <c r="B875" i="10"/>
  <c r="B876" i="10"/>
  <c r="B877" i="10"/>
  <c r="B878" i="10"/>
  <c r="B879" i="10"/>
  <c r="B880" i="10"/>
  <c r="B881" i="10"/>
  <c r="B882" i="10"/>
  <c r="B883" i="10"/>
  <c r="B884" i="10"/>
  <c r="B885" i="10"/>
  <c r="B886" i="10"/>
  <c r="B887" i="10"/>
  <c r="B888" i="10"/>
  <c r="B889" i="10"/>
  <c r="B890" i="10"/>
  <c r="B891" i="10"/>
  <c r="B892" i="10"/>
  <c r="B893" i="10"/>
  <c r="B894" i="10"/>
  <c r="B895" i="10"/>
  <c r="B896" i="10"/>
  <c r="B897" i="10"/>
  <c r="B898" i="10"/>
  <c r="B899" i="10"/>
  <c r="B900" i="10"/>
  <c r="B901" i="10"/>
  <c r="B902" i="10"/>
  <c r="B903" i="10"/>
  <c r="B904" i="10"/>
  <c r="B905" i="10"/>
  <c r="B906" i="10"/>
  <c r="B907" i="10"/>
  <c r="B908" i="10"/>
  <c r="B909" i="10"/>
  <c r="B910" i="10"/>
  <c r="B911" i="10"/>
  <c r="B912" i="10"/>
  <c r="B913" i="10"/>
  <c r="B914" i="10"/>
  <c r="B915" i="10"/>
  <c r="B916" i="10"/>
  <c r="B917" i="10"/>
  <c r="B918" i="10"/>
  <c r="B919" i="10"/>
  <c r="B920" i="10"/>
  <c r="B921" i="10"/>
  <c r="B922" i="10"/>
  <c r="B923" i="10"/>
  <c r="B924" i="10"/>
  <c r="B925" i="10"/>
  <c r="B926" i="10"/>
  <c r="B927" i="10"/>
  <c r="B928" i="10"/>
  <c r="B929" i="10"/>
  <c r="B930" i="10"/>
  <c r="B931" i="10"/>
  <c r="B932" i="10"/>
  <c r="B933" i="10"/>
  <c r="B934" i="10"/>
  <c r="B935" i="10"/>
  <c r="B936" i="10"/>
  <c r="B937" i="10"/>
  <c r="B938" i="10"/>
  <c r="B939" i="10"/>
  <c r="B940" i="10"/>
  <c r="B941" i="10"/>
  <c r="B8" i="10"/>
  <c r="B9" i="10"/>
  <c r="B10" i="10"/>
  <c r="B11" i="10"/>
  <c r="B7" i="10"/>
  <c r="AE3" i="10"/>
  <c r="AD3" i="10"/>
  <c r="AC3" i="10"/>
  <c r="Y3" i="10"/>
  <c r="Z3" i="10"/>
  <c r="AA3" i="10"/>
  <c r="AB3" i="10"/>
  <c r="X3" i="10"/>
  <c r="T4" i="10"/>
  <c r="K44" i="10"/>
  <c r="I48" i="10"/>
  <c r="S69" i="10"/>
  <c r="Q77" i="10"/>
  <c r="E109" i="10"/>
  <c r="G113" i="10"/>
  <c r="S117" i="10"/>
  <c r="G121" i="10"/>
  <c r="Q123" i="10"/>
  <c r="O131" i="10"/>
  <c r="S148" i="10"/>
  <c r="M152" i="10"/>
  <c r="I153" i="10"/>
  <c r="Q156" i="10"/>
  <c r="S157" i="10"/>
  <c r="Q160" i="10"/>
  <c r="E168" i="10"/>
  <c r="I179" i="10"/>
  <c r="Q194" i="10"/>
  <c r="M213" i="10"/>
  <c r="K217" i="10"/>
  <c r="Q223" i="10"/>
  <c r="S229" i="10"/>
  <c r="Q233" i="10"/>
  <c r="K235" i="10"/>
  <c r="I237" i="10"/>
  <c r="M243" i="10"/>
  <c r="O245" i="10"/>
  <c r="S247" i="10"/>
  <c r="K262" i="10"/>
  <c r="M263" i="10"/>
  <c r="G273" i="10"/>
  <c r="Q275" i="10"/>
  <c r="K279" i="10"/>
  <c r="Q285" i="10"/>
  <c r="S287" i="10"/>
  <c r="E291" i="10"/>
  <c r="M293" i="10"/>
  <c r="K295" i="10"/>
  <c r="K299" i="10"/>
  <c r="E301" i="10"/>
  <c r="I303" i="10"/>
  <c r="M307" i="10"/>
  <c r="Q309" i="10"/>
  <c r="S311" i="10"/>
  <c r="G319" i="10"/>
  <c r="M328" i="10"/>
  <c r="Q329" i="10"/>
  <c r="G333" i="10"/>
  <c r="S336" i="10"/>
  <c r="Q337" i="10"/>
  <c r="I340" i="10"/>
  <c r="Q350" i="10"/>
  <c r="Q352" i="10"/>
  <c r="Q353" i="10"/>
  <c r="S355" i="10"/>
  <c r="S358" i="10"/>
  <c r="O362" i="10"/>
  <c r="E367" i="10"/>
  <c r="Q369" i="10"/>
  <c r="S372" i="10"/>
  <c r="Q374" i="10"/>
  <c r="O375" i="10"/>
  <c r="O376" i="10"/>
  <c r="S381" i="10"/>
  <c r="S383" i="10"/>
  <c r="E385" i="10"/>
  <c r="I387" i="10"/>
  <c r="G389" i="10"/>
  <c r="M412" i="10"/>
  <c r="E418" i="10"/>
  <c r="G420" i="10"/>
  <c r="K540" i="10"/>
  <c r="Q542" i="10"/>
  <c r="Q544" i="10"/>
  <c r="Q547" i="10"/>
  <c r="S552" i="10"/>
  <c r="E564" i="10"/>
  <c r="O569" i="10"/>
  <c r="K575" i="10"/>
  <c r="E584" i="10"/>
  <c r="Q588" i="10"/>
  <c r="E669" i="10"/>
  <c r="E741" i="10"/>
  <c r="Q777" i="10"/>
  <c r="Q783" i="10"/>
  <c r="O795" i="10"/>
  <c r="G851" i="10"/>
  <c r="Q888" i="10"/>
  <c r="Q901" i="10"/>
  <c r="S86" i="10"/>
  <c r="I308" i="10"/>
  <c r="S143" i="10"/>
  <c r="M25" i="10"/>
  <c r="M27" i="10"/>
  <c r="Q339" i="10"/>
  <c r="I344" i="10"/>
  <c r="O47" i="10"/>
  <c r="E83" i="10"/>
  <c r="S50" i="10"/>
  <c r="E606" i="10"/>
  <c r="S477" i="10"/>
  <c r="Q538" i="10"/>
  <c r="K99" i="10"/>
  <c r="S29" i="10"/>
  <c r="S708" i="10"/>
  <c r="Q598" i="10"/>
  <c r="K566" i="10"/>
  <c r="S193" i="10"/>
  <c r="K518" i="10"/>
  <c r="I242" i="10"/>
  <c r="E848" i="10"/>
  <c r="S252" i="10"/>
  <c r="Q93" i="10"/>
  <c r="K485" i="10"/>
  <c r="Q479" i="10"/>
  <c r="I183" i="10"/>
  <c r="E111" i="10"/>
  <c r="O586" i="10"/>
  <c r="E139" i="10"/>
  <c r="K103" i="10"/>
  <c r="K16" i="10"/>
  <c r="S238" i="10"/>
  <c r="M119" i="10"/>
  <c r="Q161" i="10"/>
  <c r="S141" i="10"/>
  <c r="G562" i="10"/>
  <c r="M204" i="10"/>
  <c r="O435" i="10"/>
  <c r="K26" i="10"/>
  <c r="G529" i="10"/>
  <c r="Q912" i="10"/>
  <c r="M696" i="10"/>
  <c r="Q852" i="10"/>
  <c r="E504" i="10"/>
  <c r="M668" i="10"/>
  <c r="G618" i="10"/>
  <c r="O530" i="10"/>
  <c r="E642" i="10"/>
  <c r="I632" i="10"/>
  <c r="S483" i="10"/>
  <c r="E568" i="10"/>
  <c r="S486" i="10"/>
  <c r="E162" i="10"/>
  <c r="K364" i="10"/>
  <c r="O116" i="10"/>
  <c r="S95" i="10"/>
  <c r="G66" i="10"/>
  <c r="Q129" i="10"/>
  <c r="S199" i="10"/>
  <c r="K84" i="10"/>
  <c r="G145" i="10"/>
  <c r="G115" i="10"/>
  <c r="G104" i="10"/>
  <c r="K202" i="10"/>
  <c r="E56" i="10"/>
  <c r="S380" i="10"/>
  <c r="E239" i="10"/>
  <c r="S258" i="10"/>
  <c r="O118" i="10"/>
  <c r="M49" i="10"/>
  <c r="M854" i="10"/>
  <c r="G720" i="10"/>
  <c r="E842" i="10"/>
  <c r="S875" i="10"/>
  <c r="S488" i="10"/>
  <c r="S594" i="10"/>
  <c r="Q638" i="10"/>
  <c r="G602" i="10"/>
  <c r="G422" i="10"/>
  <c r="S427" i="10"/>
  <c r="I338" i="10"/>
  <c r="Q294" i="10"/>
  <c r="O216" i="10"/>
  <c r="E255" i="10"/>
  <c r="E195" i="10"/>
  <c r="M207" i="10"/>
  <c r="G165" i="10"/>
  <c r="E163" i="10"/>
  <c r="I187" i="10"/>
  <c r="S176" i="10"/>
  <c r="S154" i="10"/>
  <c r="M58" i="10"/>
  <c r="E46" i="10"/>
  <c r="G32" i="10"/>
  <c r="O72" i="10"/>
  <c r="G706" i="10"/>
  <c r="E191" i="10"/>
  <c r="I652" i="10"/>
  <c r="M855" i="10"/>
  <c r="G36" i="10"/>
  <c r="S490" i="10"/>
  <c r="O260" i="10"/>
  <c r="I712" i="10"/>
  <c r="M297" i="10"/>
  <c r="Q531" i="10"/>
  <c r="K499" i="10"/>
  <c r="E45" i="10"/>
  <c r="E107" i="10"/>
  <c r="S737" i="10"/>
  <c r="I558" i="10"/>
  <c r="S502" i="10"/>
  <c r="G276" i="10"/>
  <c r="O608" i="10"/>
  <c r="K757" i="10"/>
  <c r="K288" i="10"/>
  <c r="Q304" i="10"/>
  <c r="S155" i="10"/>
  <c r="E475" i="10"/>
  <c r="S147" i="10"/>
  <c r="S105" i="10"/>
  <c r="S40" i="10"/>
  <c r="E497" i="10"/>
  <c r="I177" i="10"/>
  <c r="E449" i="10"/>
  <c r="Q236" i="10"/>
  <c r="Q809" i="10"/>
  <c r="M200" i="10"/>
  <c r="M268" i="10"/>
  <c r="M536" i="10"/>
  <c r="G226" i="10"/>
  <c r="I807" i="10"/>
  <c r="G614" i="10"/>
  <c r="S274" i="10"/>
  <c r="E395" i="10"/>
  <c r="O10" i="10"/>
  <c r="G197" i="10"/>
  <c r="O511" i="10"/>
  <c r="E509" i="10"/>
  <c r="M648" i="10"/>
  <c r="G773" i="10"/>
  <c r="K62" i="10"/>
  <c r="K320" i="10"/>
  <c r="G22" i="10"/>
  <c r="K76" i="10"/>
  <c r="K503" i="10"/>
  <c r="I265" i="10"/>
  <c r="I421" i="10"/>
  <c r="Q481" i="10"/>
  <c r="Q545" i="10"/>
  <c r="S789" i="10"/>
  <c r="M174" i="10"/>
  <c r="Q78" i="10"/>
  <c r="G206" i="10"/>
  <c r="K292" i="10"/>
  <c r="S495" i="10"/>
  <c r="E484" i="10"/>
  <c r="S624" i="10"/>
  <c r="K836" i="10"/>
  <c r="S640" i="10"/>
  <c r="Q81" i="10"/>
  <c r="S71" i="10"/>
  <c r="M660" i="10"/>
  <c r="Q761" i="10"/>
  <c r="O286" i="10"/>
  <c r="K192" i="10"/>
  <c r="I290" i="10"/>
  <c r="S181" i="10"/>
  <c r="G158" i="10"/>
  <c r="I856" i="10"/>
  <c r="K626" i="10"/>
  <c r="K125" i="10"/>
  <c r="O88" i="10"/>
  <c r="E98" i="10"/>
  <c r="O240" i="10"/>
  <c r="S520" i="10"/>
  <c r="M266" i="10"/>
  <c r="S208" i="10"/>
  <c r="E87" i="10"/>
  <c r="S501" i="10"/>
  <c r="G151" i="10"/>
  <c r="S159" i="10"/>
  <c r="I393" i="10"/>
  <c r="I413" i="10"/>
  <c r="K254" i="10"/>
  <c r="M636" i="10"/>
  <c r="G415" i="10"/>
  <c r="S846" i="10"/>
  <c r="K33" i="10"/>
  <c r="I170" i="10"/>
  <c r="O348" i="10"/>
  <c r="O269" i="10"/>
  <c r="I533" i="10"/>
  <c r="S508" i="10"/>
  <c r="G219" i="10"/>
  <c r="Q185" i="10"/>
  <c r="M133" i="10"/>
  <c r="S172" i="10"/>
  <c r="O85" i="10"/>
  <c r="O747" i="10"/>
  <c r="S553" i="10"/>
  <c r="G64" i="10"/>
  <c r="G256" i="10"/>
  <c r="S403" i="10"/>
  <c r="E560" i="10"/>
  <c r="Q186" i="10"/>
  <c r="E423" i="10"/>
  <c r="K89" i="10"/>
  <c r="K570" i="10"/>
  <c r="E650" i="10"/>
  <c r="S259" i="10"/>
  <c r="I710" i="10"/>
  <c r="E284" i="10"/>
  <c r="K409" i="10"/>
  <c r="I13" i="10"/>
  <c r="Q190" i="10"/>
  <c r="Q8" i="10"/>
  <c r="R4" i="2"/>
  <c r="Q387" i="10"/>
  <c r="N4" i="2"/>
  <c r="T24" i="4"/>
  <c r="T23" i="4"/>
  <c r="T22" i="4"/>
  <c r="AE15" i="4"/>
  <c r="AE14" i="4"/>
  <c r="AE13" i="4"/>
  <c r="AE7" i="4"/>
  <c r="AE6" i="4"/>
  <c r="AC15" i="4"/>
  <c r="AC14" i="4"/>
  <c r="AC13" i="4"/>
  <c r="AC7" i="4"/>
  <c r="AC6" i="4"/>
  <c r="AA15" i="4"/>
  <c r="AA14" i="4"/>
  <c r="AA13" i="4"/>
  <c r="AA7" i="4"/>
  <c r="AA6" i="4"/>
  <c r="B2" i="2"/>
  <c r="Q4" i="2"/>
  <c r="P4" i="2"/>
  <c r="G3" i="8"/>
  <c r="F3" i="8" s="1"/>
  <c r="R25" i="4"/>
  <c r="B25" i="4"/>
  <c r="S19" i="4"/>
  <c r="C19" i="4"/>
  <c r="AF15" i="4"/>
  <c r="AD15" i="4"/>
  <c r="AB15" i="4"/>
  <c r="Z15" i="4"/>
  <c r="P15" i="4"/>
  <c r="N15" i="4"/>
  <c r="L15" i="4"/>
  <c r="J15" i="4"/>
  <c r="AF14" i="4"/>
  <c r="AD14" i="4"/>
  <c r="AB14" i="4"/>
  <c r="Z14" i="4"/>
  <c r="P14" i="4"/>
  <c r="N14" i="4"/>
  <c r="L14" i="4"/>
  <c r="J14" i="4"/>
  <c r="AF13" i="4"/>
  <c r="AD13" i="4"/>
  <c r="AB13" i="4"/>
  <c r="Z13" i="4"/>
  <c r="P13" i="4"/>
  <c r="N13" i="4"/>
  <c r="L13" i="4"/>
  <c r="J13" i="4"/>
  <c r="AF7" i="4"/>
  <c r="AD7" i="4"/>
  <c r="AB7" i="4"/>
  <c r="Z7" i="4"/>
  <c r="P7" i="4"/>
  <c r="N7" i="4"/>
  <c r="L7" i="4"/>
  <c r="J7" i="4"/>
  <c r="AF6" i="4"/>
  <c r="AD6" i="4"/>
  <c r="AB6" i="4"/>
  <c r="Z6" i="4"/>
  <c r="P6" i="4"/>
  <c r="N6" i="4"/>
  <c r="L6" i="4"/>
  <c r="J6" i="4"/>
  <c r="B25" i="3"/>
  <c r="B20" i="3"/>
  <c r="F15" i="3"/>
  <c r="C15" i="3"/>
  <c r="E15" i="3" s="1"/>
  <c r="B15" i="3"/>
  <c r="F14" i="3"/>
  <c r="C14" i="3"/>
  <c r="E14" i="3" s="1"/>
  <c r="B14" i="3"/>
  <c r="F13" i="3"/>
  <c r="C13" i="3"/>
  <c r="E13" i="3" s="1"/>
  <c r="B13" i="3"/>
  <c r="F12" i="3"/>
  <c r="C12" i="3"/>
  <c r="E12" i="3" s="1"/>
  <c r="B12" i="3"/>
  <c r="F11" i="3"/>
  <c r="C11" i="3"/>
  <c r="E11" i="3" s="1"/>
  <c r="B11" i="3"/>
  <c r="F10" i="3"/>
  <c r="C10" i="3"/>
  <c r="E10" i="3" s="1"/>
  <c r="B10" i="3"/>
  <c r="F9" i="3"/>
  <c r="C9" i="3"/>
  <c r="E9" i="3" s="1"/>
  <c r="B9" i="3"/>
  <c r="F8" i="3"/>
  <c r="C8" i="3"/>
  <c r="E8" i="3" s="1"/>
  <c r="B8" i="3"/>
  <c r="F7" i="3"/>
  <c r="C7" i="3"/>
  <c r="E7" i="3" s="1"/>
  <c r="B7" i="3"/>
  <c r="F6" i="3"/>
  <c r="C6" i="3"/>
  <c r="E6" i="3" s="1"/>
  <c r="B6" i="3"/>
  <c r="F5" i="3"/>
  <c r="C5" i="3"/>
  <c r="E5" i="3" s="1"/>
  <c r="B5" i="3"/>
  <c r="F4" i="3"/>
  <c r="C4" i="3"/>
  <c r="E4" i="3" s="1"/>
  <c r="B4" i="3"/>
  <c r="F3" i="3"/>
  <c r="C3" i="3"/>
  <c r="E3" i="3" s="1"/>
  <c r="B3" i="3"/>
  <c r="I37" i="1"/>
  <c r="I36" i="1"/>
  <c r="I35" i="1"/>
  <c r="I34" i="1"/>
  <c r="I29" i="1"/>
  <c r="I5" i="1"/>
  <c r="I4" i="1"/>
  <c r="I3" i="1"/>
  <c r="G3" i="1"/>
  <c r="B6" i="10"/>
  <c r="I235" i="10" l="1"/>
  <c r="Q696" i="10"/>
  <c r="K333" i="10"/>
  <c r="S333" i="10"/>
  <c r="E179" i="10"/>
  <c r="S179" i="10"/>
  <c r="M143" i="10"/>
  <c r="K741" i="10"/>
  <c r="K340" i="10"/>
  <c r="I115" i="10"/>
  <c r="K268" i="10"/>
  <c r="O217" i="10"/>
  <c r="I239" i="10"/>
  <c r="S362" i="10"/>
  <c r="I375" i="10"/>
  <c r="M344" i="10"/>
  <c r="S344" i="10"/>
  <c r="M340" i="10"/>
  <c r="K239" i="10"/>
  <c r="M235" i="10"/>
  <c r="I98" i="10"/>
  <c r="E117" i="10"/>
  <c r="G179" i="10"/>
  <c r="Q340" i="10"/>
  <c r="M239" i="10"/>
  <c r="O235" i="10"/>
  <c r="I696" i="10"/>
  <c r="G117" i="10"/>
  <c r="K179" i="10"/>
  <c r="O340" i="10"/>
  <c r="O239" i="10"/>
  <c r="S235" i="10"/>
  <c r="G696" i="10"/>
  <c r="K117" i="10"/>
  <c r="M179" i="10"/>
  <c r="G642" i="10"/>
  <c r="S340" i="10"/>
  <c r="Q239" i="10"/>
  <c r="Q235" i="10"/>
  <c r="K696" i="10"/>
  <c r="I117" i="10"/>
  <c r="O179" i="10"/>
  <c r="K642" i="10"/>
  <c r="E268" i="10"/>
  <c r="S239" i="10"/>
  <c r="O696" i="10"/>
  <c r="O117" i="10"/>
  <c r="Q179" i="10"/>
  <c r="G268" i="10"/>
  <c r="O143" i="10"/>
  <c r="S696" i="10"/>
  <c r="K309" i="10"/>
  <c r="G385" i="10"/>
  <c r="I268" i="10"/>
  <c r="I477" i="10"/>
  <c r="G362" i="10"/>
  <c r="I385" i="10"/>
  <c r="E340" i="10"/>
  <c r="O268" i="10"/>
  <c r="G235" i="10"/>
  <c r="E362" i="10"/>
  <c r="Q385" i="10"/>
  <c r="G340" i="10"/>
  <c r="G239" i="10"/>
  <c r="E235" i="10"/>
  <c r="Q650" i="10"/>
  <c r="K362" i="10"/>
  <c r="O385" i="10"/>
  <c r="S385" i="10"/>
  <c r="E116" i="10"/>
  <c r="G47" i="10"/>
  <c r="I156" i="10"/>
  <c r="K338" i="10"/>
  <c r="E156" i="10"/>
  <c r="Q338" i="10"/>
  <c r="G156" i="10"/>
  <c r="O708" i="10"/>
  <c r="M156" i="10"/>
  <c r="K156" i="10"/>
  <c r="K344" i="10"/>
  <c r="O156" i="10"/>
  <c r="Q344" i="10"/>
  <c r="S485" i="10"/>
  <c r="Q854" i="10"/>
  <c r="S350" i="10"/>
  <c r="E254" i="10"/>
  <c r="M262" i="10"/>
  <c r="K162" i="10"/>
  <c r="M47" i="10"/>
  <c r="S608" i="10"/>
  <c r="E69" i="10"/>
  <c r="G69" i="10"/>
  <c r="Q268" i="10"/>
  <c r="O836" i="10"/>
  <c r="O650" i="10"/>
  <c r="S642" i="10"/>
  <c r="S268" i="10"/>
  <c r="K650" i="10"/>
  <c r="Q642" i="10"/>
  <c r="G223" i="10"/>
  <c r="G533" i="10"/>
  <c r="I650" i="10"/>
  <c r="M642" i="10"/>
  <c r="M338" i="10"/>
  <c r="S650" i="10"/>
  <c r="S338" i="10"/>
  <c r="Q256" i="10"/>
  <c r="O213" i="10"/>
  <c r="G508" i="10"/>
  <c r="Q29" i="10"/>
  <c r="Q213" i="10"/>
  <c r="K40" i="10"/>
  <c r="G40" i="10"/>
  <c r="K204" i="10"/>
  <c r="G486" i="10"/>
  <c r="O204" i="10"/>
  <c r="I247" i="10"/>
  <c r="S479" i="10"/>
  <c r="Q247" i="10"/>
  <c r="M652" i="10"/>
  <c r="O652" i="10"/>
  <c r="E552" i="10"/>
  <c r="Q789" i="10"/>
  <c r="Q533" i="10"/>
  <c r="I602" i="10"/>
  <c r="K287" i="10"/>
  <c r="O852" i="10"/>
  <c r="K245" i="10"/>
  <c r="E131" i="10"/>
  <c r="S84" i="10"/>
  <c r="K131" i="10"/>
  <c r="O807" i="10"/>
  <c r="S568" i="10"/>
  <c r="E158" i="10"/>
  <c r="E483" i="10"/>
  <c r="M747" i="10"/>
  <c r="K652" i="10"/>
  <c r="I158" i="10"/>
  <c r="AG4" i="2"/>
  <c r="AK4" i="2" s="1"/>
  <c r="D22" i="1" s="1"/>
  <c r="I254" i="10"/>
  <c r="E640" i="10"/>
  <c r="I427" i="10"/>
  <c r="Q652" i="10"/>
  <c r="Q40" i="10"/>
  <c r="E320" i="10"/>
  <c r="G552" i="10"/>
  <c r="Q204" i="10"/>
  <c r="E372" i="10"/>
  <c r="Q131" i="10"/>
  <c r="G183" i="10"/>
  <c r="M291" i="10"/>
  <c r="M254" i="10"/>
  <c r="Q614" i="10"/>
  <c r="K176" i="10"/>
  <c r="Q486" i="10"/>
  <c r="K508" i="10"/>
  <c r="S204" i="10"/>
  <c r="Q262" i="10"/>
  <c r="O508" i="10"/>
  <c r="G176" i="10"/>
  <c r="G640" i="10"/>
  <c r="K427" i="10"/>
  <c r="S652" i="10"/>
  <c r="K552" i="10"/>
  <c r="E71" i="10"/>
  <c r="K372" i="10"/>
  <c r="S131" i="10"/>
  <c r="E148" i="10"/>
  <c r="Q254" i="10"/>
  <c r="I422" i="10"/>
  <c r="G427" i="10"/>
  <c r="E176" i="10"/>
  <c r="E479" i="10"/>
  <c r="G29" i="10"/>
  <c r="M427" i="10"/>
  <c r="E27" i="10"/>
  <c r="Q552" i="10"/>
  <c r="G71" i="10"/>
  <c r="G350" i="10"/>
  <c r="K568" i="10"/>
  <c r="O372" i="10"/>
  <c r="E807" i="10"/>
  <c r="G148" i="10"/>
  <c r="G569" i="10"/>
  <c r="E422" i="10"/>
  <c r="E427" i="10"/>
  <c r="O40" i="10"/>
  <c r="S213" i="10"/>
  <c r="O254" i="10"/>
  <c r="M486" i="10"/>
  <c r="G479" i="10"/>
  <c r="E29" i="10"/>
  <c r="O427" i="10"/>
  <c r="I27" i="10"/>
  <c r="I71" i="10"/>
  <c r="I350" i="10"/>
  <c r="E533" i="10"/>
  <c r="I148" i="10"/>
  <c r="K422" i="10"/>
  <c r="Q427" i="10"/>
  <c r="K71" i="10"/>
  <c r="K479" i="10"/>
  <c r="K533" i="10"/>
  <c r="G204" i="10"/>
  <c r="O148" i="10"/>
  <c r="G152" i="10"/>
  <c r="M479" i="10"/>
  <c r="M29" i="10"/>
  <c r="E652" i="10"/>
  <c r="S27" i="10"/>
  <c r="K213" i="10"/>
  <c r="O71" i="10"/>
  <c r="K350" i="10"/>
  <c r="M533" i="10"/>
  <c r="E204" i="10"/>
  <c r="G262" i="10"/>
  <c r="Q274" i="10"/>
  <c r="M148" i="10"/>
  <c r="K152" i="10"/>
  <c r="E485" i="10"/>
  <c r="I29" i="10"/>
  <c r="E213" i="10"/>
  <c r="O27" i="10"/>
  <c r="G213" i="10"/>
  <c r="M350" i="10"/>
  <c r="G274" i="10"/>
  <c r="Q747" i="10"/>
  <c r="M245" i="10"/>
  <c r="O479" i="10"/>
  <c r="O29" i="10"/>
  <c r="G652" i="10"/>
  <c r="I213" i="10"/>
  <c r="Q71" i="10"/>
  <c r="O350" i="10"/>
  <c r="O533" i="10"/>
  <c r="I204" i="10"/>
  <c r="G502" i="10"/>
  <c r="I262" i="10"/>
  <c r="O274" i="10"/>
  <c r="Q148" i="10"/>
  <c r="O152" i="10"/>
  <c r="E217" i="10"/>
  <c r="O485" i="10"/>
  <c r="O262" i="10"/>
  <c r="I479" i="10"/>
  <c r="Q27" i="10"/>
  <c r="E350" i="10"/>
  <c r="K148" i="10"/>
  <c r="E152" i="10"/>
  <c r="K29" i="10"/>
  <c r="M71" i="10"/>
  <c r="E40" i="10"/>
  <c r="S533" i="10"/>
  <c r="S152" i="10"/>
  <c r="M485" i="10"/>
  <c r="I10" i="10"/>
  <c r="M4" i="2"/>
  <c r="E223" i="10"/>
  <c r="M395" i="10"/>
  <c r="S104" i="10"/>
  <c r="G10" i="10"/>
  <c r="S273" i="10"/>
  <c r="I486" i="10"/>
  <c r="I284" i="10"/>
  <c r="Q10" i="10"/>
  <c r="K486" i="10"/>
  <c r="I46" i="10"/>
  <c r="O46" i="10"/>
  <c r="I449" i="10"/>
  <c r="Q46" i="10"/>
  <c r="E374" i="10"/>
  <c r="G435" i="10"/>
  <c r="Q435" i="10"/>
  <c r="Q851" i="10"/>
  <c r="S44" i="10"/>
  <c r="M393" i="10"/>
  <c r="G650" i="10"/>
  <c r="Q44" i="10"/>
  <c r="E435" i="10"/>
  <c r="E851" i="10"/>
  <c r="I223" i="10"/>
  <c r="O504" i="10"/>
  <c r="M851" i="10"/>
  <c r="K223" i="10"/>
  <c r="K851" i="10"/>
  <c r="O263" i="10"/>
  <c r="G395" i="10"/>
  <c r="Q252" i="10"/>
  <c r="O851" i="10"/>
  <c r="S395" i="10"/>
  <c r="M374" i="10"/>
  <c r="S851" i="10"/>
  <c r="I412" i="10"/>
  <c r="K374" i="10"/>
  <c r="M104" i="10"/>
  <c r="O374" i="10"/>
  <c r="O104" i="10"/>
  <c r="S374" i="10"/>
  <c r="G199" i="10"/>
  <c r="E632" i="10"/>
  <c r="S256" i="10"/>
  <c r="E199" i="10"/>
  <c r="K706" i="10"/>
  <c r="G632" i="10"/>
  <c r="I761" i="10"/>
  <c r="G186" i="10"/>
  <c r="E720" i="10"/>
  <c r="G367" i="10"/>
  <c r="K481" i="10"/>
  <c r="G504" i="10"/>
  <c r="I269" i="10"/>
  <c r="G78" i="10"/>
  <c r="Q855" i="10"/>
  <c r="E486" i="10"/>
  <c r="I199" i="10"/>
  <c r="O706" i="10"/>
  <c r="Q632" i="10"/>
  <c r="I186" i="10"/>
  <c r="M720" i="10"/>
  <c r="M481" i="10"/>
  <c r="I504" i="10"/>
  <c r="E161" i="10"/>
  <c r="O78" i="10"/>
  <c r="O558" i="10"/>
  <c r="O486" i="10"/>
  <c r="K199" i="10"/>
  <c r="Q706" i="10"/>
  <c r="K632" i="10"/>
  <c r="K186" i="10"/>
  <c r="S638" i="10"/>
  <c r="K504" i="10"/>
  <c r="K237" i="10"/>
  <c r="G161" i="10"/>
  <c r="S78" i="10"/>
  <c r="I777" i="10"/>
  <c r="M199" i="10"/>
  <c r="O632" i="10"/>
  <c r="G252" i="10"/>
  <c r="G258" i="10"/>
  <c r="M186" i="10"/>
  <c r="K161" i="10"/>
  <c r="O199" i="10"/>
  <c r="K147" i="10"/>
  <c r="M632" i="10"/>
  <c r="E252" i="10"/>
  <c r="I258" i="10"/>
  <c r="G194" i="10"/>
  <c r="I159" i="10"/>
  <c r="I161" i="10"/>
  <c r="Q199" i="10"/>
  <c r="E147" i="10"/>
  <c r="S632" i="10"/>
  <c r="I252" i="10"/>
  <c r="K258" i="10"/>
  <c r="K159" i="10"/>
  <c r="M161" i="10"/>
  <c r="O147" i="10"/>
  <c r="K395" i="10"/>
  <c r="K252" i="10"/>
  <c r="M258" i="10"/>
  <c r="Q104" i="10"/>
  <c r="G888" i="10"/>
  <c r="S46" i="10"/>
  <c r="M159" i="10"/>
  <c r="O161" i="10"/>
  <c r="S422" i="10"/>
  <c r="K435" i="10"/>
  <c r="Q147" i="10"/>
  <c r="M252" i="10"/>
  <c r="Q258" i="10"/>
  <c r="S161" i="10"/>
  <c r="M547" i="10"/>
  <c r="O252" i="10"/>
  <c r="I256" i="10"/>
  <c r="S435" i="10"/>
  <c r="E387" i="10"/>
  <c r="Q395" i="10"/>
  <c r="O256" i="10"/>
  <c r="G449" i="10"/>
  <c r="I26" i="10"/>
  <c r="I851" i="10"/>
  <c r="E338" i="10"/>
  <c r="M608" i="10"/>
  <c r="G44" i="10"/>
  <c r="K263" i="10"/>
  <c r="E294" i="10"/>
  <c r="I174" i="10"/>
  <c r="E256" i="10"/>
  <c r="I104" i="10"/>
  <c r="G374" i="10"/>
  <c r="Q720" i="10"/>
  <c r="S503" i="10"/>
  <c r="K273" i="10"/>
  <c r="O757" i="10"/>
  <c r="Q497" i="10"/>
  <c r="Q490" i="10"/>
  <c r="S206" i="10"/>
  <c r="M276" i="10"/>
  <c r="G566" i="10"/>
  <c r="I255" i="10"/>
  <c r="E157" i="10"/>
  <c r="E353" i="10"/>
  <c r="I157" i="10"/>
  <c r="O338" i="10"/>
  <c r="Q608" i="10"/>
  <c r="M44" i="10"/>
  <c r="S174" i="10"/>
  <c r="G761" i="10"/>
  <c r="K104" i="10"/>
  <c r="I374" i="10"/>
  <c r="G56" i="10"/>
  <c r="Q757" i="10"/>
  <c r="E381" i="10"/>
  <c r="I636" i="10"/>
  <c r="K888" i="10"/>
  <c r="O449" i="10"/>
  <c r="G712" i="10"/>
  <c r="I69" i="10"/>
  <c r="G353" i="10"/>
  <c r="M26" i="10"/>
  <c r="E608" i="10"/>
  <c r="Q412" i="10"/>
  <c r="M223" i="10"/>
  <c r="M69" i="10"/>
  <c r="I720" i="10"/>
  <c r="G497" i="10"/>
  <c r="S156" i="10"/>
  <c r="E352" i="10"/>
  <c r="S504" i="10"/>
  <c r="E490" i="10"/>
  <c r="M157" i="10"/>
  <c r="Q449" i="10"/>
  <c r="K608" i="10"/>
  <c r="K353" i="10"/>
  <c r="Q26" i="10"/>
  <c r="G608" i="10"/>
  <c r="O223" i="10"/>
  <c r="E598" i="10"/>
  <c r="O69" i="10"/>
  <c r="K720" i="10"/>
  <c r="M420" i="10"/>
  <c r="E757" i="10"/>
  <c r="K497" i="10"/>
  <c r="K352" i="10"/>
  <c r="I490" i="10"/>
  <c r="K197" i="10"/>
  <c r="O157" i="10"/>
  <c r="K69" i="10"/>
  <c r="K154" i="10"/>
  <c r="G338" i="10"/>
  <c r="I608" i="10"/>
  <c r="S223" i="10"/>
  <c r="S598" i="10"/>
  <c r="E104" i="10"/>
  <c r="Q69" i="10"/>
  <c r="O720" i="10"/>
  <c r="I503" i="10"/>
  <c r="I757" i="10"/>
  <c r="O497" i="10"/>
  <c r="O352" i="10"/>
  <c r="M490" i="10"/>
  <c r="Q202" i="10"/>
  <c r="S888" i="10"/>
  <c r="S449" i="10"/>
  <c r="I185" i="10"/>
  <c r="S720" i="10"/>
  <c r="O503" i="10"/>
  <c r="S497" i="10"/>
  <c r="O490" i="10"/>
  <c r="E206" i="10"/>
  <c r="E16" i="3"/>
  <c r="I38" i="1" s="1"/>
  <c r="Q836" i="10"/>
  <c r="O393" i="10"/>
  <c r="G483" i="10"/>
  <c r="I497" i="10"/>
  <c r="M504" i="10"/>
  <c r="S254" i="10"/>
  <c r="E118" i="10"/>
  <c r="Q508" i="10"/>
  <c r="Q115" i="10"/>
  <c r="Q84" i="10"/>
  <c r="S290" i="10"/>
  <c r="Q485" i="10"/>
  <c r="M602" i="10"/>
  <c r="E226" i="10"/>
  <c r="S836" i="10"/>
  <c r="Q393" i="10"/>
  <c r="I483" i="10"/>
  <c r="E105" i="10"/>
  <c r="G118" i="10"/>
  <c r="E389" i="10"/>
  <c r="G93" i="10"/>
  <c r="K602" i="10"/>
  <c r="I226" i="10"/>
  <c r="E545" i="10"/>
  <c r="S393" i="10"/>
  <c r="M650" i="10"/>
  <c r="K483" i="10"/>
  <c r="G105" i="10"/>
  <c r="M497" i="10"/>
  <c r="Q504" i="10"/>
  <c r="E783" i="10"/>
  <c r="G490" i="10"/>
  <c r="K118" i="10"/>
  <c r="K389" i="10"/>
  <c r="I93" i="10"/>
  <c r="I642" i="10"/>
  <c r="O602" i="10"/>
  <c r="G545" i="10"/>
  <c r="O483" i="10"/>
  <c r="K105" i="10"/>
  <c r="I783" i="10"/>
  <c r="O389" i="10"/>
  <c r="O93" i="10"/>
  <c r="E602" i="10"/>
  <c r="K123" i="10"/>
  <c r="Q602" i="10"/>
  <c r="I545" i="10"/>
  <c r="M483" i="10"/>
  <c r="I105" i="10"/>
  <c r="K783" i="10"/>
  <c r="I389" i="10"/>
  <c r="S93" i="10"/>
  <c r="I107" i="10"/>
  <c r="S602" i="10"/>
  <c r="K545" i="10"/>
  <c r="Q483" i="10"/>
  <c r="G285" i="10"/>
  <c r="E696" i="10"/>
  <c r="M105" i="10"/>
  <c r="I66" i="10"/>
  <c r="G254" i="10"/>
  <c r="M783" i="10"/>
  <c r="K490" i="10"/>
  <c r="M389" i="10"/>
  <c r="I176" i="10"/>
  <c r="O642" i="10"/>
  <c r="M107" i="10"/>
  <c r="M545" i="10"/>
  <c r="E836" i="10"/>
  <c r="K285" i="10"/>
  <c r="G243" i="10"/>
  <c r="E852" i="10"/>
  <c r="O105" i="10"/>
  <c r="S389" i="10"/>
  <c r="O107" i="10"/>
  <c r="O545" i="10"/>
  <c r="G836" i="10"/>
  <c r="E393" i="10"/>
  <c r="Q243" i="10"/>
  <c r="I852" i="10"/>
  <c r="Q105" i="10"/>
  <c r="Q389" i="10"/>
  <c r="Q107" i="10"/>
  <c r="S545" i="10"/>
  <c r="M836" i="10"/>
  <c r="G393" i="10"/>
  <c r="G852" i="10"/>
  <c r="G484" i="10"/>
  <c r="S107" i="10"/>
  <c r="I836" i="10"/>
  <c r="K393" i="10"/>
  <c r="I409" i="10"/>
  <c r="M852" i="10"/>
  <c r="K538" i="10"/>
  <c r="K274" i="10"/>
  <c r="I747" i="10"/>
  <c r="M508" i="10"/>
  <c r="M45" i="10"/>
  <c r="E854" i="10"/>
  <c r="M176" i="10"/>
  <c r="Q422" i="10"/>
  <c r="G84" i="10"/>
  <c r="S538" i="10"/>
  <c r="I84" i="10"/>
  <c r="I50" i="10"/>
  <c r="G381" i="10"/>
  <c r="I499" i="10"/>
  <c r="M242" i="10"/>
  <c r="S540" i="10"/>
  <c r="O242" i="10"/>
  <c r="M168" i="10"/>
  <c r="E50" i="10"/>
  <c r="S288" i="10"/>
  <c r="O168" i="10"/>
  <c r="S531" i="10"/>
  <c r="S809" i="10"/>
  <c r="E77" i="10"/>
  <c r="G669" i="10"/>
  <c r="E242" i="10"/>
  <c r="S511" i="10"/>
  <c r="Q286" i="10"/>
  <c r="I168" i="10"/>
  <c r="E32" i="10"/>
  <c r="G50" i="10"/>
  <c r="M83" i="10"/>
  <c r="O355" i="10"/>
  <c r="K242" i="10"/>
  <c r="K168" i="10"/>
  <c r="E337" i="10"/>
  <c r="E172" i="10"/>
  <c r="K50" i="10"/>
  <c r="E531" i="10"/>
  <c r="K303" i="10"/>
  <c r="S109" i="10"/>
  <c r="G172" i="10"/>
  <c r="S242" i="10"/>
  <c r="G336" i="10"/>
  <c r="I381" i="10"/>
  <c r="Q168" i="10"/>
  <c r="S168" i="10"/>
  <c r="O50" i="10"/>
  <c r="G531" i="10"/>
  <c r="S308" i="10"/>
  <c r="M172" i="10"/>
  <c r="K875" i="10"/>
  <c r="I336" i="10"/>
  <c r="M381" i="10"/>
  <c r="I846" i="10"/>
  <c r="K529" i="10"/>
  <c r="Q242" i="10"/>
  <c r="E336" i="10"/>
  <c r="Q50" i="10"/>
  <c r="I531" i="10"/>
  <c r="I275" i="10"/>
  <c r="I172" i="10"/>
  <c r="M336" i="10"/>
  <c r="O381" i="10"/>
  <c r="M50" i="10"/>
  <c r="O606" i="10"/>
  <c r="K381" i="10"/>
  <c r="K531" i="10"/>
  <c r="K172" i="10"/>
  <c r="K336" i="10"/>
  <c r="K297" i="10"/>
  <c r="Q381" i="10"/>
  <c r="O531" i="10"/>
  <c r="O172" i="10"/>
  <c r="O336" i="10"/>
  <c r="M16" i="10"/>
  <c r="G286" i="10"/>
  <c r="I229" i="10"/>
  <c r="M531" i="10"/>
  <c r="Q172" i="10"/>
  <c r="G242" i="10"/>
  <c r="Q336" i="10"/>
  <c r="I286" i="10"/>
  <c r="G168" i="10"/>
  <c r="S125" i="10"/>
  <c r="G606" i="10"/>
  <c r="E809" i="10"/>
  <c r="S113" i="10"/>
  <c r="O4" i="2"/>
  <c r="S4" i="2" s="1"/>
  <c r="Q15" i="4" s="1"/>
  <c r="E25" i="10"/>
  <c r="I25" i="10"/>
  <c r="Q25" i="10"/>
  <c r="S10" i="10"/>
  <c r="G16" i="10"/>
  <c r="S16" i="10"/>
  <c r="E10" i="10"/>
  <c r="K10" i="10"/>
  <c r="M10" i="10"/>
  <c r="S8" i="10"/>
  <c r="E229" i="10"/>
  <c r="I83" i="10"/>
  <c r="M288" i="10"/>
  <c r="E303" i="10"/>
  <c r="E275" i="10"/>
  <c r="M626" i="10"/>
  <c r="G355" i="10"/>
  <c r="E875" i="10"/>
  <c r="I420" i="10"/>
  <c r="Q133" i="10"/>
  <c r="E846" i="10"/>
  <c r="E529" i="10"/>
  <c r="O160" i="10"/>
  <c r="G229" i="10"/>
  <c r="K83" i="10"/>
  <c r="O288" i="10"/>
  <c r="G303" i="10"/>
  <c r="G77" i="10"/>
  <c r="I606" i="10"/>
  <c r="G275" i="10"/>
  <c r="Q626" i="10"/>
  <c r="K355" i="10"/>
  <c r="O875" i="10"/>
  <c r="I297" i="10"/>
  <c r="K420" i="10"/>
  <c r="S133" i="10"/>
  <c r="G846" i="10"/>
  <c r="I529" i="10"/>
  <c r="M229" i="10"/>
  <c r="O83" i="10"/>
  <c r="Q288" i="10"/>
  <c r="O303" i="10"/>
  <c r="I77" i="10"/>
  <c r="K606" i="10"/>
  <c r="E488" i="10"/>
  <c r="G337" i="10"/>
  <c r="K275" i="10"/>
  <c r="M355" i="10"/>
  <c r="Q297" i="10"/>
  <c r="O420" i="10"/>
  <c r="I236" i="10"/>
  <c r="E383" i="10"/>
  <c r="M846" i="10"/>
  <c r="M529" i="10"/>
  <c r="K229" i="10"/>
  <c r="Q83" i="10"/>
  <c r="G542" i="10"/>
  <c r="M303" i="10"/>
  <c r="K77" i="10"/>
  <c r="M606" i="10"/>
  <c r="G488" i="10"/>
  <c r="I337" i="10"/>
  <c r="S275" i="10"/>
  <c r="Q355" i="10"/>
  <c r="S420" i="10"/>
  <c r="K236" i="10"/>
  <c r="G383" i="10"/>
  <c r="G501" i="10"/>
  <c r="G238" i="10"/>
  <c r="K846" i="10"/>
  <c r="O529" i="10"/>
  <c r="S307" i="10"/>
  <c r="E8" i="10"/>
  <c r="O229" i="10"/>
  <c r="S83" i="10"/>
  <c r="E542" i="10"/>
  <c r="Q303" i="10"/>
  <c r="M77" i="10"/>
  <c r="Q606" i="10"/>
  <c r="I488" i="10"/>
  <c r="K337" i="10"/>
  <c r="M275" i="10"/>
  <c r="Q420" i="10"/>
  <c r="M236" i="10"/>
  <c r="I383" i="10"/>
  <c r="I501" i="10"/>
  <c r="E238" i="10"/>
  <c r="O846" i="10"/>
  <c r="Q529" i="10"/>
  <c r="E901" i="10"/>
  <c r="I8" i="10"/>
  <c r="Q229" i="10"/>
  <c r="K542" i="10"/>
  <c r="S303" i="10"/>
  <c r="O77" i="10"/>
  <c r="S606" i="10"/>
  <c r="K488" i="10"/>
  <c r="M337" i="10"/>
  <c r="O275" i="10"/>
  <c r="G129" i="10"/>
  <c r="K383" i="10"/>
  <c r="I238" i="10"/>
  <c r="Q846" i="10"/>
  <c r="E85" i="10"/>
  <c r="S529" i="10"/>
  <c r="G901" i="10"/>
  <c r="G8" i="10"/>
  <c r="O542" i="10"/>
  <c r="S77" i="10"/>
  <c r="Q488" i="10"/>
  <c r="O337" i="10"/>
  <c r="E129" i="10"/>
  <c r="I233" i="10"/>
  <c r="G200" i="10"/>
  <c r="M383" i="10"/>
  <c r="S151" i="10"/>
  <c r="K238" i="10"/>
  <c r="K85" i="10"/>
  <c r="K901" i="10"/>
  <c r="K8" i="10"/>
  <c r="E288" i="10"/>
  <c r="O488" i="10"/>
  <c r="S337" i="10"/>
  <c r="K129" i="10"/>
  <c r="K200" i="10"/>
  <c r="O383" i="10"/>
  <c r="M238" i="10"/>
  <c r="M901" i="10"/>
  <c r="O8" i="10"/>
  <c r="G288" i="10"/>
  <c r="E155" i="10"/>
  <c r="M488" i="10"/>
  <c r="I129" i="10"/>
  <c r="G626" i="10"/>
  <c r="G308" i="10"/>
  <c r="Q200" i="10"/>
  <c r="Q383" i="10"/>
  <c r="E133" i="10"/>
  <c r="O238" i="10"/>
  <c r="O901" i="10"/>
  <c r="M8" i="10"/>
  <c r="G83" i="10"/>
  <c r="I288" i="10"/>
  <c r="G155" i="10"/>
  <c r="O129" i="10"/>
  <c r="E626" i="10"/>
  <c r="K308" i="10"/>
  <c r="E420" i="10"/>
  <c r="I133" i="10"/>
  <c r="Q238" i="10"/>
  <c r="Q308" i="10"/>
  <c r="K160" i="10"/>
  <c r="K785" i="10"/>
  <c r="S785" i="10"/>
  <c r="E785" i="10"/>
  <c r="Q785" i="10"/>
  <c r="O785" i="10"/>
  <c r="I785" i="10"/>
  <c r="G785" i="10"/>
  <c r="M785" i="10"/>
  <c r="I398" i="10"/>
  <c r="G398" i="10"/>
  <c r="Q398" i="10"/>
  <c r="E398" i="10"/>
  <c r="S398" i="10"/>
  <c r="O398" i="10"/>
  <c r="K398" i="10"/>
  <c r="M398" i="10"/>
  <c r="M360" i="10"/>
  <c r="S360" i="10"/>
  <c r="Q318" i="10"/>
  <c r="G318" i="10"/>
  <c r="E318" i="10"/>
  <c r="I318" i="10"/>
  <c r="O314" i="10"/>
  <c r="S314" i="10"/>
  <c r="Q314" i="10"/>
  <c r="M314" i="10"/>
  <c r="K314" i="10"/>
  <c r="E314" i="10"/>
  <c r="I314" i="10"/>
  <c r="G314" i="10"/>
  <c r="S844" i="10"/>
  <c r="Q844" i="10"/>
  <c r="I35" i="10"/>
  <c r="M35" i="10"/>
  <c r="E35" i="10"/>
  <c r="Q397" i="10"/>
  <c r="K397" i="10"/>
  <c r="G397" i="10"/>
  <c r="Q162" i="10"/>
  <c r="I162" i="10"/>
  <c r="Q568" i="10"/>
  <c r="G568" i="10"/>
  <c r="K530" i="10"/>
  <c r="I530" i="10"/>
  <c r="G783" i="10"/>
  <c r="S783" i="10"/>
  <c r="O783" i="10"/>
  <c r="M777" i="10"/>
  <c r="G777" i="10"/>
  <c r="S588" i="10"/>
  <c r="G588" i="10"/>
  <c r="S80" i="10"/>
  <c r="K80" i="10"/>
  <c r="O578" i="10"/>
  <c r="I578" i="10"/>
  <c r="Q493" i="10"/>
  <c r="G493" i="10"/>
  <c r="E773" i="10"/>
  <c r="Q536" i="10"/>
  <c r="O344" i="10"/>
  <c r="O308" i="10"/>
  <c r="E185" i="10"/>
  <c r="O538" i="10"/>
  <c r="G207" i="10"/>
  <c r="M364" i="10"/>
  <c r="Q562" i="10"/>
  <c r="M78" i="10"/>
  <c r="I78" i="10"/>
  <c r="K773" i="10"/>
  <c r="E761" i="10"/>
  <c r="M308" i="10"/>
  <c r="K185" i="10"/>
  <c r="K493" i="10"/>
  <c r="O133" i="10"/>
  <c r="K133" i="10"/>
  <c r="G133" i="10"/>
  <c r="Q566" i="10"/>
  <c r="I566" i="10"/>
  <c r="M773" i="10"/>
  <c r="G185" i="10"/>
  <c r="S92" i="10"/>
  <c r="K92" i="10"/>
  <c r="I616" i="10"/>
  <c r="S616" i="10"/>
  <c r="K207" i="10"/>
  <c r="E207" i="10"/>
  <c r="Q372" i="10"/>
  <c r="M372" i="10"/>
  <c r="I372" i="10"/>
  <c r="M362" i="10"/>
  <c r="I362" i="10"/>
  <c r="O358" i="10"/>
  <c r="E358" i="10"/>
  <c r="S352" i="10"/>
  <c r="M352" i="10"/>
  <c r="I352" i="10"/>
  <c r="G352" i="10"/>
  <c r="E262" i="10"/>
  <c r="S262" i="10"/>
  <c r="O153" i="10"/>
  <c r="Q153" i="10"/>
  <c r="K153" i="10"/>
  <c r="Q117" i="10"/>
  <c r="M117" i="10"/>
  <c r="K113" i="10"/>
  <c r="Q113" i="10"/>
  <c r="E113" i="10"/>
  <c r="M538" i="10"/>
  <c r="I538" i="10"/>
  <c r="Q569" i="10"/>
  <c r="I569" i="10"/>
  <c r="O197" i="10"/>
  <c r="M197" i="10"/>
  <c r="I197" i="10"/>
  <c r="E197" i="10"/>
  <c r="K640" i="10"/>
  <c r="I155" i="10"/>
  <c r="G809" i="10"/>
  <c r="I773" i="10"/>
  <c r="G598" i="10"/>
  <c r="M294" i="10"/>
  <c r="M761" i="10"/>
  <c r="M185" i="10"/>
  <c r="I32" i="10"/>
  <c r="S197" i="10"/>
  <c r="S578" i="10"/>
  <c r="K35" i="10"/>
  <c r="S25" i="10"/>
  <c r="O25" i="10"/>
  <c r="K25" i="10"/>
  <c r="G25" i="10"/>
  <c r="I640" i="10"/>
  <c r="K155" i="10"/>
  <c r="K809" i="10"/>
  <c r="O773" i="10"/>
  <c r="I598" i="10"/>
  <c r="I294" i="10"/>
  <c r="S761" i="10"/>
  <c r="O185" i="10"/>
  <c r="G586" i="10"/>
  <c r="E397" i="10"/>
  <c r="O32" i="10"/>
  <c r="O35" i="10"/>
  <c r="Q710" i="10"/>
  <c r="Q501" i="10"/>
  <c r="M501" i="10"/>
  <c r="K501" i="10"/>
  <c r="E501" i="10"/>
  <c r="M757" i="10"/>
  <c r="G757" i="10"/>
  <c r="S757" i="10"/>
  <c r="Q16" i="10"/>
  <c r="E16" i="10"/>
  <c r="M640" i="10"/>
  <c r="M155" i="10"/>
  <c r="I809" i="10"/>
  <c r="Q773" i="10"/>
  <c r="K598" i="10"/>
  <c r="K294" i="10"/>
  <c r="S185" i="10"/>
  <c r="I586" i="10"/>
  <c r="I397" i="10"/>
  <c r="K88" i="10"/>
  <c r="E274" i="10"/>
  <c r="M274" i="10"/>
  <c r="Q151" i="10"/>
  <c r="M151" i="10"/>
  <c r="I151" i="10"/>
  <c r="O640" i="10"/>
  <c r="Q155" i="10"/>
  <c r="O809" i="10"/>
  <c r="S773" i="10"/>
  <c r="M598" i="10"/>
  <c r="O294" i="10"/>
  <c r="E344" i="10"/>
  <c r="M586" i="10"/>
  <c r="O568" i="10"/>
  <c r="M397" i="10"/>
  <c r="E151" i="10"/>
  <c r="E616" i="10"/>
  <c r="E170" i="10"/>
  <c r="S747" i="10"/>
  <c r="K747" i="10"/>
  <c r="E747" i="10"/>
  <c r="Q610" i="10"/>
  <c r="O610" i="10"/>
  <c r="E286" i="10"/>
  <c r="S286" i="10"/>
  <c r="M286" i="10"/>
  <c r="S852" i="10"/>
  <c r="K852" i="10"/>
  <c r="E578" i="10"/>
  <c r="Q88" i="10"/>
  <c r="I88" i="10"/>
  <c r="G88" i="10"/>
  <c r="E88" i="10"/>
  <c r="S304" i="10"/>
  <c r="M304" i="10"/>
  <c r="Q640" i="10"/>
  <c r="O155" i="10"/>
  <c r="M809" i="10"/>
  <c r="O598" i="10"/>
  <c r="G344" i="10"/>
  <c r="S586" i="10"/>
  <c r="I568" i="10"/>
  <c r="O397" i="10"/>
  <c r="M88" i="10"/>
  <c r="K151" i="10"/>
  <c r="S101" i="10"/>
  <c r="G101" i="10"/>
  <c r="S807" i="10"/>
  <c r="K807" i="10"/>
  <c r="M46" i="10"/>
  <c r="K46" i="10"/>
  <c r="G46" i="10"/>
  <c r="E244" i="10"/>
  <c r="S244" i="10"/>
  <c r="S348" i="10"/>
  <c r="K348" i="10"/>
  <c r="E308" i="10"/>
  <c r="M568" i="10"/>
  <c r="Q362" i="10"/>
  <c r="G372" i="10"/>
  <c r="I274" i="10"/>
  <c r="S397" i="10"/>
  <c r="K286" i="10"/>
  <c r="S88" i="10"/>
  <c r="O151" i="10"/>
  <c r="G530" i="10"/>
  <c r="E269" i="10"/>
  <c r="G269" i="10"/>
  <c r="K169" i="10"/>
  <c r="M169" i="10"/>
  <c r="G157" i="10"/>
  <c r="K900" i="10"/>
  <c r="E534" i="10"/>
  <c r="Q528" i="10"/>
  <c r="M522" i="10"/>
  <c r="K870" i="10"/>
  <c r="M739" i="10"/>
  <c r="O725" i="10"/>
  <c r="O723" i="10"/>
  <c r="Q717" i="10"/>
  <c r="O695" i="10"/>
  <c r="Q651" i="10"/>
  <c r="O623" i="10"/>
  <c r="Q482" i="10"/>
  <c r="G478" i="10"/>
  <c r="K472" i="10"/>
  <c r="G470" i="10"/>
  <c r="E468" i="10"/>
  <c r="I466" i="10"/>
  <c r="I464" i="10"/>
  <c r="S462" i="10"/>
  <c r="S460" i="10"/>
  <c r="S458" i="10"/>
  <c r="G456" i="10"/>
  <c r="G454" i="10"/>
  <c r="G452" i="10"/>
  <c r="G450" i="10"/>
  <c r="Q448" i="10"/>
  <c r="O444" i="10"/>
  <c r="S442" i="10"/>
  <c r="S440" i="10"/>
  <c r="E438" i="10"/>
  <c r="M436" i="10"/>
  <c r="I434" i="10"/>
  <c r="E24" i="10"/>
  <c r="K157" i="10"/>
  <c r="M74" i="10"/>
  <c r="Q157" i="10"/>
  <c r="S891" i="10"/>
  <c r="Q865" i="10"/>
  <c r="E742" i="10"/>
  <c r="O724" i="10"/>
  <c r="Q31" i="10"/>
  <c r="E84" i="10"/>
  <c r="M847" i="10"/>
  <c r="E843" i="10"/>
  <c r="Q841" i="10"/>
  <c r="Q57" i="10"/>
  <c r="M84" i="10"/>
  <c r="K132" i="10"/>
  <c r="K122" i="10"/>
  <c r="O120" i="10"/>
  <c r="S604" i="10"/>
  <c r="Q604" i="10"/>
  <c r="O604" i="10"/>
  <c r="M604" i="10"/>
  <c r="I604" i="10"/>
  <c r="G604" i="10"/>
  <c r="E604" i="10"/>
  <c r="K604" i="10"/>
  <c r="O54" i="10"/>
  <c r="S54" i="10"/>
  <c r="I54" i="10"/>
  <c r="E495" i="10"/>
  <c r="I376" i="10"/>
  <c r="G384" i="10"/>
  <c r="S384" i="10"/>
  <c r="Q384" i="10"/>
  <c r="K384" i="10"/>
  <c r="E384" i="10"/>
  <c r="O718" i="10"/>
  <c r="G718" i="10"/>
  <c r="G648" i="10"/>
  <c r="S648" i="10"/>
  <c r="Q648" i="10"/>
  <c r="K648" i="10"/>
  <c r="O195" i="10"/>
  <c r="Q195" i="10"/>
  <c r="K453" i="10"/>
  <c r="O453" i="10"/>
  <c r="K467" i="10"/>
  <c r="O467" i="10"/>
  <c r="I193" i="10"/>
  <c r="I40" i="10"/>
  <c r="G495" i="10"/>
  <c r="G795" i="10"/>
  <c r="Q376" i="10"/>
  <c r="M376" i="10"/>
  <c r="K376" i="10"/>
  <c r="E193" i="10"/>
  <c r="I495" i="10"/>
  <c r="K560" i="10"/>
  <c r="E648" i="10"/>
  <c r="I76" i="10"/>
  <c r="Q795" i="10"/>
  <c r="K636" i="10"/>
  <c r="E636" i="10"/>
  <c r="G636" i="10"/>
  <c r="O487" i="10"/>
  <c r="S487" i="10"/>
  <c r="G193" i="10"/>
  <c r="M40" i="10"/>
  <c r="I195" i="10"/>
  <c r="I648" i="10"/>
  <c r="S636" i="10"/>
  <c r="O787" i="10"/>
  <c r="G787" i="10"/>
  <c r="S569" i="10"/>
  <c r="K569" i="10"/>
  <c r="M569" i="10"/>
  <c r="E569" i="10"/>
  <c r="E200" i="10"/>
  <c r="O200" i="10"/>
  <c r="S200" i="10"/>
  <c r="I200" i="10"/>
  <c r="O276" i="10"/>
  <c r="I276" i="10"/>
  <c r="M193" i="10"/>
  <c r="E467" i="10"/>
  <c r="M716" i="10"/>
  <c r="K716" i="10"/>
  <c r="E716" i="10"/>
  <c r="Q396" i="10"/>
  <c r="M396" i="10"/>
  <c r="I396" i="10"/>
  <c r="G396" i="10"/>
  <c r="I147" i="10"/>
  <c r="M147" i="10"/>
  <c r="O258" i="10"/>
  <c r="E258" i="10"/>
  <c r="M129" i="10"/>
  <c r="S129" i="10"/>
  <c r="K193" i="10"/>
  <c r="I467" i="10"/>
  <c r="G195" i="10"/>
  <c r="G260" i="10"/>
  <c r="O648" i="10"/>
  <c r="I718" i="10"/>
  <c r="K256" i="10"/>
  <c r="M256" i="10"/>
  <c r="S85" i="10"/>
  <c r="Q85" i="10"/>
  <c r="I85" i="10"/>
  <c r="G125" i="10"/>
  <c r="Q125" i="10"/>
  <c r="M125" i="10"/>
  <c r="Q856" i="10"/>
  <c r="K856" i="10"/>
  <c r="M131" i="10"/>
  <c r="I131" i="10"/>
  <c r="G131" i="10"/>
  <c r="Q193" i="10"/>
  <c r="G467" i="10"/>
  <c r="G202" i="10"/>
  <c r="K195" i="10"/>
  <c r="I260" i="10"/>
  <c r="G624" i="10"/>
  <c r="I384" i="10"/>
  <c r="O761" i="10"/>
  <c r="K761" i="10"/>
  <c r="O316" i="10"/>
  <c r="K316" i="10"/>
  <c r="O395" i="10"/>
  <c r="I395" i="10"/>
  <c r="G58" i="10"/>
  <c r="S58" i="10"/>
  <c r="I58" i="10"/>
  <c r="G81" i="10"/>
  <c r="K27" i="10"/>
  <c r="O193" i="10"/>
  <c r="M467" i="10"/>
  <c r="E202" i="10"/>
  <c r="M195" i="10"/>
  <c r="K260" i="10"/>
  <c r="E396" i="10"/>
  <c r="E187" i="10"/>
  <c r="M384" i="10"/>
  <c r="K68" i="10"/>
  <c r="I68" i="10"/>
  <c r="O888" i="10"/>
  <c r="M888" i="10"/>
  <c r="I888" i="10"/>
  <c r="E888" i="10"/>
  <c r="S81" i="10"/>
  <c r="G27" i="10"/>
  <c r="Q467" i="10"/>
  <c r="I202" i="10"/>
  <c r="S195" i="10"/>
  <c r="K396" i="10"/>
  <c r="G716" i="10"/>
  <c r="E487" i="10"/>
  <c r="O384" i="10"/>
  <c r="G547" i="10"/>
  <c r="S547" i="10"/>
  <c r="O547" i="10"/>
  <c r="K614" i="10"/>
  <c r="E614" i="10"/>
  <c r="M260" i="10"/>
  <c r="E260" i="10"/>
  <c r="S260" i="10"/>
  <c r="G147" i="10"/>
  <c r="S467" i="10"/>
  <c r="Q260" i="10"/>
  <c r="M453" i="10"/>
  <c r="O396" i="10"/>
  <c r="O716" i="10"/>
  <c r="O68" i="10"/>
  <c r="E360" i="10"/>
  <c r="Q360" i="10"/>
  <c r="I626" i="10"/>
  <c r="S626" i="10"/>
  <c r="O626" i="10"/>
  <c r="M181" i="10"/>
  <c r="Q181" i="10"/>
  <c r="Q807" i="10"/>
  <c r="M807" i="10"/>
  <c r="G807" i="10"/>
  <c r="O202" i="10"/>
  <c r="S202" i="10"/>
  <c r="M202" i="10"/>
  <c r="S396" i="10"/>
  <c r="Q716" i="10"/>
  <c r="Q586" i="10"/>
  <c r="K586" i="10"/>
  <c r="E586" i="10"/>
  <c r="Q348" i="10"/>
  <c r="M348" i="10"/>
  <c r="G348" i="10"/>
  <c r="E503" i="10"/>
  <c r="Q503" i="10"/>
  <c r="M503" i="10"/>
  <c r="G503" i="10"/>
  <c r="S294" i="10"/>
  <c r="G294" i="10"/>
  <c r="O834" i="10"/>
  <c r="S814" i="10"/>
  <c r="G804" i="10"/>
  <c r="Q802" i="10"/>
  <c r="Q796" i="10"/>
  <c r="O792" i="10"/>
  <c r="I782" i="10"/>
  <c r="I774" i="10"/>
  <c r="I679" i="10"/>
  <c r="S671" i="10"/>
  <c r="O667" i="10"/>
  <c r="O659" i="10"/>
  <c r="S655" i="10"/>
  <c r="S643" i="10"/>
  <c r="M639" i="10"/>
  <c r="E635" i="10"/>
  <c r="O621" i="10"/>
  <c r="I615" i="10"/>
  <c r="O613" i="10"/>
  <c r="I611" i="10"/>
  <c r="E593" i="10"/>
  <c r="O591" i="10"/>
  <c r="S581" i="10"/>
  <c r="S579" i="10"/>
  <c r="K577" i="10"/>
  <c r="G571" i="10"/>
  <c r="S561" i="10"/>
  <c r="O557" i="10"/>
  <c r="Q555" i="10"/>
  <c r="G106" i="10"/>
  <c r="Q511" i="10"/>
  <c r="S153" i="10"/>
  <c r="K32" i="10"/>
  <c r="Q197" i="10"/>
  <c r="M206" i="10"/>
  <c r="I304" i="10"/>
  <c r="Q176" i="10"/>
  <c r="O84" i="10"/>
  <c r="S855" i="10"/>
  <c r="M712" i="10"/>
  <c r="M887" i="10"/>
  <c r="K885" i="10"/>
  <c r="I883" i="10"/>
  <c r="S764" i="10"/>
  <c r="Q754" i="10"/>
  <c r="G744" i="10"/>
  <c r="M32" i="10"/>
  <c r="O304" i="10"/>
  <c r="M930" i="10"/>
  <c r="E928" i="10"/>
  <c r="S690" i="10"/>
  <c r="M688" i="10"/>
  <c r="M232" i="10"/>
  <c r="O224" i="10"/>
  <c r="G222" i="10"/>
  <c r="G747" i="10"/>
  <c r="E920" i="10"/>
  <c r="Q592" i="10"/>
  <c r="Q876" i="10"/>
  <c r="S759" i="10"/>
  <c r="M735" i="10"/>
  <c r="Q144" i="10"/>
  <c r="M138" i="10"/>
  <c r="Q134" i="10"/>
  <c r="M59" i="10"/>
  <c r="S211" i="10"/>
  <c r="G209" i="10"/>
  <c r="K203" i="10"/>
  <c r="Q201" i="10"/>
  <c r="M153" i="10"/>
  <c r="O176" i="10"/>
  <c r="Q578" i="10"/>
  <c r="O855" i="10"/>
  <c r="E80" i="10"/>
  <c r="M840" i="10"/>
  <c r="K820" i="10"/>
  <c r="I707" i="10"/>
  <c r="E701" i="10"/>
  <c r="K699" i="10"/>
  <c r="K661" i="10"/>
  <c r="G661" i="10"/>
  <c r="I661" i="10"/>
  <c r="O86" i="10"/>
  <c r="Q357" i="10"/>
  <c r="O357" i="10"/>
  <c r="I357" i="10"/>
  <c r="E357" i="10"/>
  <c r="S357" i="10"/>
  <c r="I423" i="10"/>
  <c r="K423" i="10"/>
  <c r="M423" i="10"/>
  <c r="G423" i="10"/>
  <c r="S423" i="10"/>
  <c r="Q423" i="10"/>
  <c r="O423" i="10"/>
  <c r="S473" i="10"/>
  <c r="E473" i="10"/>
  <c r="S158" i="10"/>
  <c r="O158" i="10"/>
  <c r="Q158" i="10"/>
  <c r="K158" i="10"/>
  <c r="M158" i="10"/>
  <c r="K670" i="10"/>
  <c r="E670" i="10"/>
  <c r="G670" i="10"/>
  <c r="S670" i="10"/>
  <c r="Q670" i="10"/>
  <c r="I527" i="10"/>
  <c r="E527" i="10"/>
  <c r="G527" i="10"/>
  <c r="M527" i="10"/>
  <c r="K527" i="10"/>
  <c r="S848" i="10"/>
  <c r="O848" i="10"/>
  <c r="Q848" i="10"/>
  <c r="I848" i="10"/>
  <c r="G848" i="10"/>
  <c r="M96" i="10"/>
  <c r="S96" i="10"/>
  <c r="M848" i="10"/>
  <c r="K431" i="10"/>
  <c r="I431" i="10"/>
  <c r="G431" i="10"/>
  <c r="Q431" i="10"/>
  <c r="O431" i="10"/>
  <c r="M431" i="10"/>
  <c r="S431" i="10"/>
  <c r="E431" i="10"/>
  <c r="G351" i="10"/>
  <c r="K351" i="10"/>
  <c r="I351" i="10"/>
  <c r="E351" i="10"/>
  <c r="S351" i="10"/>
  <c r="M351" i="10"/>
  <c r="I343" i="10"/>
  <c r="E343" i="10"/>
  <c r="O343" i="10"/>
  <c r="G343" i="10"/>
  <c r="I309" i="10"/>
  <c r="G309" i="10"/>
  <c r="E309" i="10"/>
  <c r="S309" i="10"/>
  <c r="O309" i="10"/>
  <c r="M309" i="10"/>
  <c r="Q263" i="10"/>
  <c r="S263" i="10"/>
  <c r="I263" i="10"/>
  <c r="E263" i="10"/>
  <c r="G263" i="10"/>
  <c r="I86" i="10"/>
  <c r="E86" i="10"/>
  <c r="G86" i="10"/>
  <c r="K86" i="10"/>
  <c r="M86" i="10"/>
  <c r="K848" i="10"/>
  <c r="O527" i="10"/>
  <c r="I70" i="10"/>
  <c r="S70" i="10"/>
  <c r="Q70" i="10"/>
  <c r="O70" i="10"/>
  <c r="E149" i="10"/>
  <c r="O149" i="10"/>
  <c r="M149" i="10"/>
  <c r="K149" i="10"/>
  <c r="I149" i="10"/>
  <c r="O425" i="10"/>
  <c r="Q425" i="10"/>
  <c r="S425" i="10"/>
  <c r="Q527" i="10"/>
  <c r="O669" i="10"/>
  <c r="S669" i="10"/>
  <c r="M669" i="10"/>
  <c r="Q669" i="10"/>
  <c r="K669" i="10"/>
  <c r="I669" i="10"/>
  <c r="I741" i="10"/>
  <c r="M741" i="10"/>
  <c r="G741" i="10"/>
  <c r="S741" i="10"/>
  <c r="O741" i="10"/>
  <c r="Q741" i="10"/>
  <c r="S527" i="10"/>
  <c r="G149" i="10"/>
  <c r="O670" i="10"/>
  <c r="S36" i="10"/>
  <c r="O36" i="10"/>
  <c r="M36" i="10"/>
  <c r="K36" i="10"/>
  <c r="I36" i="10"/>
  <c r="E36" i="10"/>
  <c r="Q36" i="10"/>
  <c r="M511" i="10"/>
  <c r="I511" i="10"/>
  <c r="E511" i="10"/>
  <c r="G511" i="10"/>
  <c r="K511" i="10"/>
  <c r="Q86" i="10"/>
  <c r="M378" i="10"/>
  <c r="O378" i="10"/>
  <c r="I378" i="10"/>
  <c r="O81" i="10"/>
  <c r="G107" i="10"/>
  <c r="O412" i="10"/>
  <c r="I44" i="10"/>
  <c r="O536" i="10"/>
  <c r="S240" i="10"/>
  <c r="E355" i="10"/>
  <c r="K181" i="10"/>
  <c r="I453" i="10"/>
  <c r="E278" i="10"/>
  <c r="I278" i="10"/>
  <c r="S250" i="10"/>
  <c r="O250" i="10"/>
  <c r="E250" i="10"/>
  <c r="G250" i="10"/>
  <c r="S481" i="10"/>
  <c r="O481" i="10"/>
  <c r="G481" i="10"/>
  <c r="E481" i="10"/>
  <c r="I481" i="10"/>
  <c r="O505" i="10"/>
  <c r="Q505" i="10"/>
  <c r="S236" i="10"/>
  <c r="O236" i="10"/>
  <c r="E236" i="10"/>
  <c r="G236" i="10"/>
  <c r="I116" i="10"/>
  <c r="K116" i="10"/>
  <c r="G116" i="10"/>
  <c r="S116" i="10"/>
  <c r="Q116" i="10"/>
  <c r="M116" i="10"/>
  <c r="K107" i="10"/>
  <c r="S412" i="10"/>
  <c r="O44" i="10"/>
  <c r="I355" i="10"/>
  <c r="E186" i="10"/>
  <c r="E795" i="10"/>
  <c r="S795" i="10"/>
  <c r="M795" i="10"/>
  <c r="K795" i="10"/>
  <c r="I795" i="10"/>
  <c r="M386" i="10"/>
  <c r="Q386" i="10"/>
  <c r="S207" i="10"/>
  <c r="Q207" i="10"/>
  <c r="O207" i="10"/>
  <c r="I207" i="10"/>
  <c r="K347" i="10"/>
  <c r="S347" i="10"/>
  <c r="O360" i="10"/>
  <c r="K360" i="10"/>
  <c r="I360" i="10"/>
  <c r="G360" i="10"/>
  <c r="Q43" i="10"/>
  <c r="O43" i="10"/>
  <c r="K43" i="10"/>
  <c r="I43" i="10"/>
  <c r="I175" i="10"/>
  <c r="E175" i="10"/>
  <c r="G175" i="10"/>
  <c r="S175" i="10"/>
  <c r="O175" i="10"/>
  <c r="K175" i="10"/>
  <c r="S453" i="10"/>
  <c r="Q453" i="10"/>
  <c r="G453" i="10"/>
  <c r="E453" i="10"/>
  <c r="O181" i="10"/>
  <c r="I181" i="10"/>
  <c r="G181" i="10"/>
  <c r="E181" i="10"/>
  <c r="S365" i="10"/>
  <c r="E365" i="10"/>
  <c r="O228" i="10"/>
  <c r="M228" i="10"/>
  <c r="K228" i="10"/>
  <c r="E228" i="10"/>
  <c r="Q228" i="10"/>
  <c r="K664" i="10"/>
  <c r="I664" i="10"/>
  <c r="M664" i="10"/>
  <c r="Q375" i="10"/>
  <c r="M375" i="10"/>
  <c r="K375" i="10"/>
  <c r="G375" i="10"/>
  <c r="S367" i="10"/>
  <c r="M367" i="10"/>
  <c r="Q367" i="10"/>
  <c r="I367" i="10"/>
  <c r="M333" i="10"/>
  <c r="O333" i="10"/>
  <c r="I333" i="10"/>
  <c r="E333" i="10"/>
  <c r="Q333" i="10"/>
  <c r="I319" i="10"/>
  <c r="S319" i="10"/>
  <c r="Q319" i="10"/>
  <c r="K319" i="10"/>
  <c r="E319" i="10"/>
  <c r="I301" i="10"/>
  <c r="K301" i="10"/>
  <c r="I299" i="10"/>
  <c r="G299" i="10"/>
  <c r="E299" i="10"/>
  <c r="S299" i="10"/>
  <c r="Q299" i="10"/>
  <c r="O299" i="10"/>
  <c r="M299" i="10"/>
  <c r="O295" i="10"/>
  <c r="Q295" i="10"/>
  <c r="G287" i="10"/>
  <c r="E287" i="10"/>
  <c r="I287" i="10"/>
  <c r="Q287" i="10"/>
  <c r="O287" i="10"/>
  <c r="M287" i="10"/>
  <c r="O285" i="10"/>
  <c r="M285" i="10"/>
  <c r="I285" i="10"/>
  <c r="E285" i="10"/>
  <c r="S285" i="10"/>
  <c r="M273" i="10"/>
  <c r="Q273" i="10"/>
  <c r="I273" i="10"/>
  <c r="E273" i="10"/>
  <c r="O273" i="10"/>
  <c r="E247" i="10"/>
  <c r="G247" i="10"/>
  <c r="O247" i="10"/>
  <c r="M247" i="10"/>
  <c r="K247" i="10"/>
  <c r="Q245" i="10"/>
  <c r="S245" i="10"/>
  <c r="I245" i="10"/>
  <c r="G245" i="10"/>
  <c r="E245" i="10"/>
  <c r="E243" i="10"/>
  <c r="S243" i="10"/>
  <c r="O243" i="10"/>
  <c r="K243" i="10"/>
  <c r="I243" i="10"/>
  <c r="M237" i="10"/>
  <c r="G237" i="10"/>
  <c r="E237" i="10"/>
  <c r="Q237" i="10"/>
  <c r="S237" i="10"/>
  <c r="O237" i="10"/>
  <c r="G233" i="10"/>
  <c r="K233" i="10"/>
  <c r="E233" i="10"/>
  <c r="S233" i="10"/>
  <c r="O233" i="10"/>
  <c r="M233" i="10"/>
  <c r="O225" i="10"/>
  <c r="I225" i="10"/>
  <c r="S217" i="10"/>
  <c r="Q217" i="10"/>
  <c r="I217" i="10"/>
  <c r="E81" i="10"/>
  <c r="E412" i="10"/>
  <c r="K495" i="10"/>
  <c r="K318" i="10"/>
  <c r="S186" i="10"/>
  <c r="K367" i="10"/>
  <c r="E316" i="10"/>
  <c r="Q250" i="10"/>
  <c r="M43" i="10"/>
  <c r="S49" i="10"/>
  <c r="K49" i="10"/>
  <c r="G49" i="10"/>
  <c r="E49" i="10"/>
  <c r="Q220" i="10"/>
  <c r="O220" i="10"/>
  <c r="K81" i="10"/>
  <c r="G412" i="10"/>
  <c r="M495" i="10"/>
  <c r="O318" i="10"/>
  <c r="O186" i="10"/>
  <c r="K418" i="10"/>
  <c r="O367" i="10"/>
  <c r="M409" i="10"/>
  <c r="E409" i="10"/>
  <c r="G409" i="10"/>
  <c r="S409" i="10"/>
  <c r="O409" i="10"/>
  <c r="Q409" i="10"/>
  <c r="E588" i="10"/>
  <c r="I588" i="10"/>
  <c r="O588" i="10"/>
  <c r="M588" i="10"/>
  <c r="K588" i="10"/>
  <c r="Q45" i="10"/>
  <c r="I45" i="10"/>
  <c r="K45" i="10"/>
  <c r="G45" i="10"/>
  <c r="S45" i="10"/>
  <c r="O45" i="10"/>
  <c r="S854" i="10"/>
  <c r="O854" i="10"/>
  <c r="I854" i="10"/>
  <c r="G854" i="10"/>
  <c r="K854" i="10"/>
  <c r="S118" i="10"/>
  <c r="M118" i="10"/>
  <c r="Q118" i="10"/>
  <c r="I118" i="10"/>
  <c r="O115" i="10"/>
  <c r="K115" i="10"/>
  <c r="M115" i="10"/>
  <c r="E115" i="10"/>
  <c r="S115" i="10"/>
  <c r="S162" i="10"/>
  <c r="M162" i="10"/>
  <c r="O162" i="10"/>
  <c r="G162" i="10"/>
  <c r="I81" i="10"/>
  <c r="K412" i="10"/>
  <c r="O495" i="10"/>
  <c r="M318" i="10"/>
  <c r="G228" i="10"/>
  <c r="Q206" i="10"/>
  <c r="O206" i="10"/>
  <c r="K206" i="10"/>
  <c r="I206" i="10"/>
  <c r="M81" i="10"/>
  <c r="E44" i="10"/>
  <c r="M339" i="10"/>
  <c r="Q495" i="10"/>
  <c r="S318" i="10"/>
  <c r="I228" i="10"/>
  <c r="S662" i="10"/>
  <c r="Q662" i="10"/>
  <c r="S316" i="10"/>
  <c r="M316" i="10"/>
  <c r="I316" i="10"/>
  <c r="G316" i="10"/>
  <c r="Q316" i="10"/>
  <c r="Q875" i="10"/>
  <c r="M875" i="10"/>
  <c r="I875" i="10"/>
  <c r="G875" i="10"/>
  <c r="M175" i="10"/>
  <c r="S228" i="10"/>
  <c r="E375" i="10"/>
  <c r="Q92" i="10"/>
  <c r="E92" i="10"/>
  <c r="M92" i="10"/>
  <c r="O92" i="10"/>
  <c r="I92" i="10"/>
  <c r="G92" i="10"/>
  <c r="G328" i="10"/>
  <c r="I328" i="10"/>
  <c r="S328" i="10"/>
  <c r="Q175" i="10"/>
  <c r="Q269" i="10"/>
  <c r="S269" i="10"/>
  <c r="M269" i="10"/>
  <c r="K269" i="10"/>
  <c r="G215" i="10"/>
  <c r="S215" i="10"/>
  <c r="M215" i="10"/>
  <c r="S297" i="10"/>
  <c r="O297" i="10"/>
  <c r="G297" i="10"/>
  <c r="E297" i="10"/>
  <c r="K827" i="10"/>
  <c r="S827" i="10"/>
  <c r="M827" i="10"/>
  <c r="Q827" i="10"/>
  <c r="S530" i="10"/>
  <c r="Q530" i="10"/>
  <c r="M530" i="10"/>
  <c r="E530" i="10"/>
  <c r="O614" i="10"/>
  <c r="M718" i="10"/>
  <c r="K787" i="10"/>
  <c r="E856" i="10"/>
  <c r="S614" i="10"/>
  <c r="Q718" i="10"/>
  <c r="G856" i="10"/>
  <c r="I614" i="10"/>
  <c r="E737" i="10"/>
  <c r="I484" i="10"/>
  <c r="M614" i="10"/>
  <c r="G737" i="10"/>
  <c r="K484" i="10"/>
  <c r="I184" i="10"/>
  <c r="S182" i="10"/>
  <c r="I164" i="10"/>
  <c r="K327" i="10"/>
  <c r="E325" i="10"/>
  <c r="G323" i="10"/>
  <c r="I73" i="10"/>
  <c r="S432" i="10"/>
  <c r="O430" i="10"/>
  <c r="Q565" i="10"/>
  <c r="G108" i="10"/>
  <c r="Q7" i="10"/>
  <c r="Q539" i="10"/>
  <c r="M519" i="10"/>
  <c r="S515" i="10"/>
  <c r="Q513" i="10"/>
  <c r="G507" i="10"/>
  <c r="G189" i="10"/>
  <c r="E622" i="10"/>
  <c r="K471" i="10"/>
  <c r="G461" i="10"/>
  <c r="M459" i="10"/>
  <c r="Q451" i="10"/>
  <c r="M447" i="10"/>
  <c r="S441" i="10"/>
  <c r="M437" i="10"/>
  <c r="G429" i="10"/>
  <c r="O929" i="10"/>
  <c r="O858" i="10"/>
  <c r="K556" i="10"/>
  <c r="O52" i="10"/>
  <c r="K18" i="10"/>
  <c r="Q18" i="10"/>
  <c r="S18" i="10"/>
  <c r="M18" i="10"/>
  <c r="S413" i="10"/>
  <c r="M413" i="10"/>
  <c r="K413" i="10"/>
  <c r="O413" i="10"/>
  <c r="G413" i="10"/>
  <c r="E413" i="10"/>
  <c r="O552" i="10"/>
  <c r="M552" i="10"/>
  <c r="I552" i="10"/>
  <c r="O544" i="10"/>
  <c r="M544" i="10"/>
  <c r="I544" i="10"/>
  <c r="K544" i="10"/>
  <c r="G544" i="10"/>
  <c r="E544" i="10"/>
  <c r="S544" i="10"/>
  <c r="M542" i="10"/>
  <c r="I542" i="10"/>
  <c r="S542" i="10"/>
  <c r="I540" i="10"/>
  <c r="E540" i="10"/>
  <c r="G540" i="10"/>
  <c r="O540" i="10"/>
  <c r="M540" i="10"/>
  <c r="Q540" i="10"/>
  <c r="S196" i="10"/>
  <c r="K196" i="10"/>
  <c r="Q196" i="10"/>
  <c r="S194" i="10"/>
  <c r="O194" i="10"/>
  <c r="K194" i="10"/>
  <c r="M194" i="10"/>
  <c r="E194" i="10"/>
  <c r="I194" i="10"/>
  <c r="I404" i="10"/>
  <c r="O404" i="10"/>
  <c r="O18" i="10"/>
  <c r="Q127" i="10"/>
  <c r="M127" i="10"/>
  <c r="K127" i="10"/>
  <c r="I127" i="10"/>
  <c r="E127" i="10"/>
  <c r="Q60" i="10"/>
  <c r="I60" i="10"/>
  <c r="S518" i="10"/>
  <c r="Q518" i="10"/>
  <c r="G518" i="10"/>
  <c r="G342" i="10"/>
  <c r="Q342" i="10"/>
  <c r="S342" i="10"/>
  <c r="M342" i="10"/>
  <c r="O342" i="10"/>
  <c r="Q244" i="10"/>
  <c r="M244" i="10"/>
  <c r="O244" i="10"/>
  <c r="I244" i="10"/>
  <c r="K244" i="10"/>
  <c r="G244" i="10"/>
  <c r="E183" i="10"/>
  <c r="Q183" i="10"/>
  <c r="M183" i="10"/>
  <c r="K183" i="10"/>
  <c r="O183" i="10"/>
  <c r="I353" i="10"/>
  <c r="M123" i="10"/>
  <c r="S183" i="10"/>
  <c r="S842" i="10"/>
  <c r="Q842" i="10"/>
  <c r="M842" i="10"/>
  <c r="O842" i="10"/>
  <c r="K842" i="10"/>
  <c r="I842" i="10"/>
  <c r="G842" i="10"/>
  <c r="S292" i="10"/>
  <c r="Q292" i="10"/>
  <c r="O292" i="10"/>
  <c r="M292" i="10"/>
  <c r="I292" i="10"/>
  <c r="G292" i="10"/>
  <c r="E292" i="10"/>
  <c r="S111" i="10"/>
  <c r="G111" i="10"/>
  <c r="I111" i="10"/>
  <c r="Q111" i="10"/>
  <c r="K111" i="10"/>
  <c r="M706" i="10"/>
  <c r="I706" i="10"/>
  <c r="E706" i="10"/>
  <c r="S706" i="10"/>
  <c r="O416" i="10"/>
  <c r="G416" i="10"/>
  <c r="M416" i="10"/>
  <c r="I416" i="10"/>
  <c r="K177" i="10"/>
  <c r="G177" i="10"/>
  <c r="E177" i="10"/>
  <c r="S177" i="10"/>
  <c r="Q177" i="10"/>
  <c r="O177" i="10"/>
  <c r="S335" i="10"/>
  <c r="Q335" i="10"/>
  <c r="M335" i="10"/>
  <c r="G335" i="10"/>
  <c r="E335" i="10"/>
  <c r="O353" i="10"/>
  <c r="M177" i="10"/>
  <c r="Q293" i="10"/>
  <c r="S293" i="10"/>
  <c r="O293" i="10"/>
  <c r="I293" i="10"/>
  <c r="K293" i="10"/>
  <c r="G293" i="10"/>
  <c r="E293" i="10"/>
  <c r="I100" i="10"/>
  <c r="G100" i="10"/>
  <c r="O283" i="10"/>
  <c r="K283" i="10"/>
  <c r="I283" i="10"/>
  <c r="S123" i="10"/>
  <c r="O123" i="10"/>
  <c r="I123" i="10"/>
  <c r="E123" i="10"/>
  <c r="G123" i="10"/>
  <c r="M353" i="10"/>
  <c r="I335" i="10"/>
  <c r="I145" i="10"/>
  <c r="O100" i="10"/>
  <c r="Q109" i="10"/>
  <c r="O109" i="10"/>
  <c r="K109" i="10"/>
  <c r="M109" i="10"/>
  <c r="I109" i="10"/>
  <c r="G109" i="10"/>
  <c r="M477" i="10"/>
  <c r="K477" i="10"/>
  <c r="G477" i="10"/>
  <c r="E477" i="10"/>
  <c r="Q477" i="10"/>
  <c r="O477" i="10"/>
  <c r="S119" i="10"/>
  <c r="O119" i="10"/>
  <c r="Q119" i="10"/>
  <c r="K119" i="10"/>
  <c r="I119" i="10"/>
  <c r="G119" i="10"/>
  <c r="E119" i="10"/>
  <c r="G660" i="10"/>
  <c r="E660" i="10"/>
  <c r="S660" i="10"/>
  <c r="I660" i="10"/>
  <c r="Q660" i="10"/>
  <c r="O660" i="10"/>
  <c r="K660" i="10"/>
  <c r="I624" i="10"/>
  <c r="E624" i="10"/>
  <c r="Q624" i="10"/>
  <c r="O624" i="10"/>
  <c r="M624" i="10"/>
  <c r="K624" i="10"/>
  <c r="K47" i="10"/>
  <c r="I47" i="10"/>
  <c r="E47" i="10"/>
  <c r="S47" i="10"/>
  <c r="Q47" i="10"/>
  <c r="E499" i="10"/>
  <c r="G499" i="10"/>
  <c r="S499" i="10"/>
  <c r="Q499" i="10"/>
  <c r="M499" i="10"/>
  <c r="O499" i="10"/>
  <c r="S353" i="10"/>
  <c r="K335" i="10"/>
  <c r="Q89" i="10"/>
  <c r="S89" i="10"/>
  <c r="O89" i="10"/>
  <c r="M89" i="10"/>
  <c r="I89" i="10"/>
  <c r="G89" i="10"/>
  <c r="E89" i="10"/>
  <c r="K75" i="10"/>
  <c r="E75" i="10"/>
  <c r="I75" i="10"/>
  <c r="Q192" i="10"/>
  <c r="S192" i="10"/>
  <c r="O192" i="10"/>
  <c r="M192" i="10"/>
  <c r="I192" i="10"/>
  <c r="G192" i="10"/>
  <c r="E192" i="10"/>
  <c r="Q502" i="10"/>
  <c r="O502" i="10"/>
  <c r="M502" i="10"/>
  <c r="K502" i="10"/>
  <c r="I502" i="10"/>
  <c r="E502" i="10"/>
  <c r="O335" i="10"/>
  <c r="O62" i="10"/>
  <c r="I62" i="10"/>
  <c r="E62" i="10"/>
  <c r="G62" i="10"/>
  <c r="S291" i="10"/>
  <c r="Q291" i="10"/>
  <c r="O291" i="10"/>
  <c r="K291" i="10"/>
  <c r="I291" i="10"/>
  <c r="G291" i="10"/>
  <c r="M334" i="10"/>
  <c r="K334" i="10"/>
  <c r="G475" i="10"/>
  <c r="M475" i="10"/>
  <c r="I475" i="10"/>
  <c r="S475" i="10"/>
  <c r="Q475" i="10"/>
  <c r="O475" i="10"/>
  <c r="K475" i="10"/>
  <c r="G570" i="10"/>
  <c r="E307" i="10"/>
  <c r="M856" i="10"/>
  <c r="G425" i="10"/>
  <c r="G347" i="10"/>
  <c r="G13" i="10"/>
  <c r="O570" i="10"/>
  <c r="E827" i="10"/>
  <c r="O664" i="10"/>
  <c r="K307" i="10"/>
  <c r="S710" i="10"/>
  <c r="M710" i="10"/>
  <c r="S661" i="10"/>
  <c r="M661" i="10"/>
  <c r="E661" i="10"/>
  <c r="S387" i="10"/>
  <c r="G387" i="10"/>
  <c r="E153" i="10"/>
  <c r="O856" i="10"/>
  <c r="S149" i="10"/>
  <c r="K425" i="10"/>
  <c r="I347" i="10"/>
  <c r="O351" i="10"/>
  <c r="S570" i="10"/>
  <c r="E562" i="10"/>
  <c r="G827" i="10"/>
  <c r="K265" i="10"/>
  <c r="Q664" i="10"/>
  <c r="I307" i="10"/>
  <c r="E777" i="10"/>
  <c r="O777" i="10"/>
  <c r="G153" i="10"/>
  <c r="S856" i="10"/>
  <c r="Q149" i="10"/>
  <c r="M425" i="10"/>
  <c r="M347" i="10"/>
  <c r="Q351" i="10"/>
  <c r="Q570" i="10"/>
  <c r="O562" i="10"/>
  <c r="S566" i="10"/>
  <c r="O566" i="10"/>
  <c r="E566" i="10"/>
  <c r="E508" i="10"/>
  <c r="I508" i="10"/>
  <c r="M505" i="10"/>
  <c r="S505" i="10"/>
  <c r="Q276" i="10"/>
  <c r="S276" i="10"/>
  <c r="I485" i="10"/>
  <c r="G485" i="10"/>
  <c r="M435" i="10"/>
  <c r="I435" i="10"/>
  <c r="O328" i="10"/>
  <c r="I827" i="10"/>
  <c r="O827" i="10"/>
  <c r="M714" i="10"/>
  <c r="E714" i="10"/>
  <c r="G307" i="10"/>
  <c r="O307" i="10"/>
  <c r="O212" i="10"/>
  <c r="E212" i="10"/>
  <c r="G578" i="10"/>
  <c r="M578" i="10"/>
  <c r="K578" i="10"/>
  <c r="O365" i="10"/>
  <c r="Q365" i="10"/>
  <c r="M365" i="10"/>
  <c r="I212" i="10"/>
  <c r="S279" i="10"/>
  <c r="O279" i="10"/>
  <c r="G35" i="10"/>
  <c r="M93" i="10"/>
  <c r="K855" i="10"/>
  <c r="I80" i="10"/>
  <c r="I49" i="10"/>
  <c r="I923" i="10"/>
  <c r="O729" i="10"/>
  <c r="E587" i="10"/>
  <c r="M354" i="10"/>
  <c r="S694" i="10"/>
  <c r="I878" i="10"/>
  <c r="K874" i="10"/>
  <c r="I332" i="10"/>
  <c r="I330" i="10"/>
  <c r="Q90" i="10"/>
  <c r="S895" i="10"/>
  <c r="E703" i="10"/>
  <c r="E428" i="10"/>
  <c r="K391" i="10"/>
  <c r="O864" i="10"/>
  <c r="I748" i="10"/>
  <c r="O862" i="10"/>
  <c r="K665" i="10"/>
  <c r="I402" i="10"/>
  <c r="Q603" i="10"/>
  <c r="O601" i="10"/>
  <c r="S828" i="10"/>
  <c r="I390" i="10"/>
  <c r="O388" i="10"/>
  <c r="S190" i="10"/>
  <c r="E547" i="10"/>
  <c r="I737" i="10"/>
  <c r="E518" i="10"/>
  <c r="O484" i="10"/>
  <c r="I113" i="10"/>
  <c r="G265" i="10"/>
  <c r="S160" i="10"/>
  <c r="O75" i="10"/>
  <c r="Q22" i="10"/>
  <c r="M85" i="10"/>
  <c r="G85" i="10"/>
  <c r="K342" i="10"/>
  <c r="I342" i="10"/>
  <c r="E342" i="10"/>
  <c r="K547" i="10"/>
  <c r="O737" i="10"/>
  <c r="M518" i="10"/>
  <c r="Q484" i="10"/>
  <c r="M113" i="10"/>
  <c r="I505" i="10"/>
  <c r="E58" i="10"/>
  <c r="E265" i="10"/>
  <c r="S216" i="10"/>
  <c r="E421" i="10"/>
  <c r="K78" i="10"/>
  <c r="E78" i="10"/>
  <c r="I547" i="10"/>
  <c r="O518" i="10"/>
  <c r="S484" i="10"/>
  <c r="O113" i="10"/>
  <c r="E276" i="10"/>
  <c r="M265" i="10"/>
  <c r="K421" i="10"/>
  <c r="E96" i="10"/>
  <c r="E787" i="10"/>
  <c r="I787" i="10"/>
  <c r="Q62" i="10"/>
  <c r="S62" i="10"/>
  <c r="M62" i="10"/>
  <c r="E712" i="10"/>
  <c r="K712" i="10"/>
  <c r="E664" i="10"/>
  <c r="I96" i="10"/>
  <c r="S716" i="10"/>
  <c r="I716" i="10"/>
  <c r="E68" i="10"/>
  <c r="K58" i="10"/>
  <c r="Q58" i="10"/>
  <c r="O58" i="10"/>
  <c r="E347" i="10"/>
  <c r="Q347" i="10"/>
  <c r="O347" i="10"/>
  <c r="I425" i="10"/>
  <c r="E425" i="10"/>
  <c r="S664" i="10"/>
  <c r="G664" i="10"/>
  <c r="Q343" i="10"/>
  <c r="S343" i="10"/>
  <c r="M343" i="10"/>
  <c r="K505" i="10"/>
  <c r="E505" i="10"/>
  <c r="Q737" i="10"/>
  <c r="M737" i="10"/>
  <c r="O96" i="10"/>
  <c r="K96" i="10"/>
  <c r="E33" i="10"/>
  <c r="O33" i="10"/>
  <c r="K70" i="10"/>
  <c r="G70" i="10"/>
  <c r="Q473" i="10"/>
  <c r="K473" i="10"/>
  <c r="M570" i="10"/>
  <c r="I570" i="10"/>
  <c r="E570" i="10"/>
  <c r="G43" i="10"/>
  <c r="E43" i="10"/>
  <c r="E855" i="10"/>
  <c r="I855" i="10"/>
  <c r="G855" i="10"/>
  <c r="I465" i="10"/>
  <c r="M465" i="10"/>
  <c r="G304" i="10"/>
  <c r="K304" i="10"/>
  <c r="M449" i="10"/>
  <c r="K449" i="10"/>
  <c r="K93" i="10"/>
  <c r="E93" i="10"/>
  <c r="K737" i="10"/>
  <c r="I518" i="10"/>
  <c r="M484" i="10"/>
  <c r="Q413" i="10"/>
  <c r="S43" i="10"/>
  <c r="M22" i="10"/>
  <c r="S416" i="10"/>
  <c r="E416" i="10"/>
  <c r="M670" i="10"/>
  <c r="I670" i="10"/>
  <c r="G558" i="10"/>
  <c r="Q558" i="10"/>
  <c r="K558" i="10"/>
  <c r="O422" i="10"/>
  <c r="G487" i="10"/>
  <c r="M422" i="10"/>
  <c r="S901" i="10"/>
  <c r="I901" i="10"/>
  <c r="S926" i="10"/>
  <c r="E306" i="10"/>
  <c r="S702" i="10"/>
  <c r="Q905" i="10"/>
  <c r="I903" i="10"/>
  <c r="Q823" i="10"/>
  <c r="S516" i="10"/>
  <c r="S514" i="10"/>
  <c r="S345" i="10"/>
  <c r="Q684" i="10"/>
  <c r="M647" i="10"/>
  <c r="S535" i="10"/>
  <c r="G261" i="10"/>
  <c r="M859" i="10"/>
  <c r="K857" i="10"/>
  <c r="I543" i="10"/>
  <c r="I908" i="10"/>
  <c r="E805" i="10"/>
  <c r="M743" i="10"/>
  <c r="S582" i="10"/>
  <c r="G517" i="10"/>
  <c r="O866" i="10"/>
  <c r="Q680" i="10"/>
  <c r="K678" i="10"/>
  <c r="S474" i="10"/>
  <c r="M424" i="10"/>
  <c r="K585" i="10"/>
  <c r="Q583" i="10"/>
  <c r="M457" i="10"/>
  <c r="G166" i="10"/>
  <c r="I317" i="10"/>
  <c r="S315" i="10"/>
  <c r="M264" i="10"/>
  <c r="O408" i="10"/>
  <c r="O214" i="10"/>
  <c r="O373" i="10"/>
  <c r="O371" i="10"/>
  <c r="S281" i="10"/>
  <c r="I23" i="10"/>
  <c r="K23" i="10"/>
  <c r="E23" i="10"/>
  <c r="S23" i="10"/>
  <c r="Q23" i="10"/>
  <c r="O23" i="10"/>
  <c r="M23" i="10"/>
  <c r="K38" i="10"/>
  <c r="I38" i="10"/>
  <c r="Q38" i="10"/>
  <c r="O38" i="10"/>
  <c r="E38" i="10"/>
  <c r="I259" i="10"/>
  <c r="G380" i="10"/>
  <c r="I56" i="10"/>
  <c r="O159" i="10"/>
  <c r="M279" i="10"/>
  <c r="M473" i="10"/>
  <c r="K64" i="10"/>
  <c r="K212" i="10"/>
  <c r="S421" i="10"/>
  <c r="M421" i="10"/>
  <c r="M259" i="10"/>
  <c r="E380" i="10"/>
  <c r="K56" i="10"/>
  <c r="Q159" i="10"/>
  <c r="O473" i="10"/>
  <c r="I549" i="10"/>
  <c r="K549" i="10"/>
  <c r="O16" i="10"/>
  <c r="I16" i="10"/>
  <c r="E538" i="10"/>
  <c r="G538" i="10"/>
  <c r="I380" i="10"/>
  <c r="O56" i="10"/>
  <c r="O405" i="10"/>
  <c r="Q405" i="10"/>
  <c r="S405" i="10"/>
  <c r="K405" i="10"/>
  <c r="I405" i="10"/>
  <c r="G405" i="10"/>
  <c r="M405" i="10"/>
  <c r="E405" i="10"/>
  <c r="Q290" i="10"/>
  <c r="O290" i="10"/>
  <c r="M290" i="10"/>
  <c r="E290" i="10"/>
  <c r="Q487" i="10"/>
  <c r="M487" i="10"/>
  <c r="K487" i="10"/>
  <c r="I487" i="10"/>
  <c r="E100" i="10"/>
  <c r="S100" i="10"/>
  <c r="Q100" i="10"/>
  <c r="S562" i="10"/>
  <c r="M562" i="10"/>
  <c r="I562" i="10"/>
  <c r="K562" i="10"/>
  <c r="Q616" i="10"/>
  <c r="O616" i="10"/>
  <c r="M616" i="10"/>
  <c r="K616" i="10"/>
  <c r="G616" i="10"/>
  <c r="K380" i="10"/>
  <c r="M56" i="10"/>
  <c r="I348" i="10"/>
  <c r="E348" i="10"/>
  <c r="G404" i="10"/>
  <c r="E404" i="10"/>
  <c r="S404" i="10"/>
  <c r="M404" i="10"/>
  <c r="Q404" i="10"/>
  <c r="M196" i="10"/>
  <c r="O196" i="10"/>
  <c r="I196" i="10"/>
  <c r="G196" i="10"/>
  <c r="E196" i="10"/>
  <c r="O380" i="10"/>
  <c r="Q56" i="10"/>
  <c r="M594" i="10"/>
  <c r="O594" i="10"/>
  <c r="G594" i="10"/>
  <c r="E594" i="10"/>
  <c r="K714" i="10"/>
  <c r="O714" i="10"/>
  <c r="G714" i="10"/>
  <c r="I41" i="10"/>
  <c r="K41" i="10"/>
  <c r="E41" i="10"/>
  <c r="G41" i="10"/>
  <c r="G159" i="10"/>
  <c r="E159" i="10"/>
  <c r="G668" i="10"/>
  <c r="E668" i="10"/>
  <c r="S668" i="10"/>
  <c r="Q668" i="10"/>
  <c r="K668" i="10"/>
  <c r="M380" i="10"/>
  <c r="S56" i="10"/>
  <c r="S38" i="10"/>
  <c r="Q279" i="10"/>
  <c r="I279" i="10"/>
  <c r="G279" i="10"/>
  <c r="E279" i="10"/>
  <c r="I473" i="10"/>
  <c r="G473" i="10"/>
  <c r="S48" i="10"/>
  <c r="K48" i="10"/>
  <c r="M48" i="10"/>
  <c r="G48" i="10"/>
  <c r="E48" i="10"/>
  <c r="Q48" i="10"/>
  <c r="O48" i="10"/>
  <c r="Q380" i="10"/>
  <c r="I295" i="10"/>
  <c r="G295" i="10"/>
  <c r="I594" i="10"/>
  <c r="O41" i="10"/>
  <c r="I18" i="10"/>
  <c r="G18" i="10"/>
  <c r="E18" i="10"/>
  <c r="K594" i="10"/>
  <c r="M41" i="10"/>
  <c r="O636" i="10"/>
  <c r="Q636" i="10"/>
  <c r="S346" i="10"/>
  <c r="O346" i="10"/>
  <c r="E346" i="10"/>
  <c r="G346" i="10"/>
  <c r="K346" i="10"/>
  <c r="S32" i="10"/>
  <c r="Q32" i="10"/>
  <c r="Q41" i="10"/>
  <c r="S103" i="10"/>
  <c r="Q103" i="10"/>
  <c r="M103" i="10"/>
  <c r="G103" i="10"/>
  <c r="E103" i="10"/>
  <c r="S212" i="10"/>
  <c r="Q212" i="10"/>
  <c r="M212" i="10"/>
  <c r="M250" i="10"/>
  <c r="K250" i="10"/>
  <c r="I250" i="10"/>
  <c r="Q141" i="10"/>
  <c r="G141" i="10"/>
  <c r="E141" i="10"/>
  <c r="O141" i="10"/>
  <c r="M141" i="10"/>
  <c r="I141" i="10"/>
  <c r="Q594" i="10"/>
  <c r="K404" i="10"/>
  <c r="S41" i="10"/>
  <c r="G212" i="10"/>
  <c r="G376" i="10"/>
  <c r="E376" i="10"/>
  <c r="S376" i="10"/>
  <c r="M357" i="10"/>
  <c r="K357" i="10"/>
  <c r="G357" i="10"/>
  <c r="O501" i="10"/>
  <c r="O493" i="10"/>
  <c r="Q328" i="10"/>
  <c r="E328" i="10"/>
  <c r="M415" i="10"/>
  <c r="S415" i="10"/>
  <c r="O415" i="10"/>
  <c r="E304" i="10"/>
  <c r="S787" i="10"/>
  <c r="Q787" i="10"/>
  <c r="M787" i="10"/>
  <c r="M80" i="10"/>
  <c r="O80" i="10"/>
  <c r="M385" i="10"/>
  <c r="K385" i="10"/>
  <c r="Q575" i="10"/>
  <c r="M575" i="10"/>
  <c r="G575" i="10"/>
  <c r="I575" i="10"/>
  <c r="S265" i="10"/>
  <c r="Q265" i="10"/>
  <c r="O265" i="10"/>
  <c r="Q301" i="10"/>
  <c r="S301" i="10"/>
  <c r="O301" i="10"/>
  <c r="M301" i="10"/>
  <c r="I493" i="10"/>
  <c r="E493" i="10"/>
  <c r="S712" i="10"/>
  <c r="Q712" i="10"/>
  <c r="O712" i="10"/>
  <c r="O49" i="10"/>
  <c r="K387" i="10"/>
  <c r="O661" i="10"/>
  <c r="Q307" i="10"/>
  <c r="Q96" i="10"/>
  <c r="S375" i="10"/>
  <c r="O319" i="10"/>
  <c r="K343" i="10"/>
  <c r="E558" i="10"/>
  <c r="O127" i="10"/>
  <c r="Q49" i="10"/>
  <c r="M111" i="10"/>
  <c r="O387" i="10"/>
  <c r="Q661" i="10"/>
  <c r="E215" i="10"/>
  <c r="E22" i="10"/>
  <c r="I365" i="10"/>
  <c r="M319" i="10"/>
  <c r="S127" i="10"/>
  <c r="O111" i="10"/>
  <c r="M387" i="10"/>
  <c r="K365" i="10"/>
  <c r="G751" i="10"/>
  <c r="I686" i="10"/>
  <c r="G550" i="10"/>
  <c r="S815" i="10"/>
  <c r="M914" i="10"/>
  <c r="O768" i="10"/>
  <c r="M873" i="10"/>
  <c r="G871" i="10"/>
  <c r="S476" i="10"/>
  <c r="O790" i="10"/>
  <c r="G675" i="10"/>
  <c r="E537" i="10"/>
  <c r="K241" i="10"/>
  <c r="O128" i="10"/>
  <c r="I146" i="10"/>
  <c r="K51" i="10"/>
  <c r="O42" i="10"/>
  <c r="I280" i="10"/>
  <c r="Q324" i="10"/>
  <c r="I322" i="10"/>
  <c r="K313" i="10"/>
  <c r="O302" i="10"/>
  <c r="E266" i="10"/>
  <c r="I844" i="10"/>
  <c r="G844" i="10"/>
  <c r="E844" i="10"/>
  <c r="M844" i="10"/>
  <c r="O844" i="10"/>
  <c r="K844" i="10"/>
  <c r="I564" i="10"/>
  <c r="G564" i="10"/>
  <c r="S584" i="10"/>
  <c r="M584" i="10"/>
  <c r="Q584" i="10"/>
  <c r="O584" i="10"/>
  <c r="K584" i="10"/>
  <c r="I584" i="10"/>
  <c r="G584" i="10"/>
  <c r="E231" i="10"/>
  <c r="S231" i="10"/>
  <c r="O231" i="10"/>
  <c r="I231" i="10"/>
  <c r="G231" i="10"/>
  <c r="S266" i="10"/>
  <c r="Q266" i="10"/>
  <c r="O266" i="10"/>
  <c r="K266" i="10"/>
  <c r="I266" i="10"/>
  <c r="G266" i="10"/>
  <c r="E19" i="10"/>
  <c r="S19" i="10"/>
  <c r="O19" i="10"/>
  <c r="G19" i="10"/>
  <c r="I19" i="10"/>
  <c r="S191" i="10"/>
  <c r="O191" i="10"/>
  <c r="M191" i="10"/>
  <c r="Q191" i="10"/>
  <c r="K191" i="10"/>
  <c r="I191" i="10"/>
  <c r="G191" i="10"/>
  <c r="S72" i="10"/>
  <c r="G72" i="10"/>
  <c r="E72" i="10"/>
  <c r="Q72" i="10"/>
  <c r="M72" i="10"/>
  <c r="I72" i="10"/>
  <c r="O646" i="10"/>
  <c r="G646" i="10"/>
  <c r="M646" i="10"/>
  <c r="K646" i="10"/>
  <c r="I646" i="10"/>
  <c r="E646" i="10"/>
  <c r="S646" i="10"/>
  <c r="Q646" i="10"/>
  <c r="S171" i="10"/>
  <c r="O171" i="10"/>
  <c r="Q171" i="10"/>
  <c r="M171" i="10"/>
  <c r="K171" i="10"/>
  <c r="E171" i="10"/>
  <c r="M39" i="10"/>
  <c r="G39" i="10"/>
  <c r="K39" i="10"/>
  <c r="E39" i="10"/>
  <c r="I39" i="10"/>
  <c r="Q39" i="10"/>
  <c r="O39" i="10"/>
  <c r="S87" i="10"/>
  <c r="O87" i="10"/>
  <c r="Q87" i="10"/>
  <c r="M87" i="10"/>
  <c r="G87" i="10"/>
  <c r="K87" i="10"/>
  <c r="I87" i="10"/>
  <c r="S500" i="10"/>
  <c r="Q500" i="10"/>
  <c r="M500" i="10"/>
  <c r="O500" i="10"/>
  <c r="K500" i="10"/>
  <c r="G500" i="10"/>
  <c r="E500" i="10"/>
  <c r="E364" i="10"/>
  <c r="S364" i="10"/>
  <c r="O364" i="10"/>
  <c r="Q364" i="10"/>
  <c r="I364" i="10"/>
  <c r="G364" i="10"/>
  <c r="M341" i="10"/>
  <c r="I341" i="10"/>
  <c r="K341" i="10"/>
  <c r="G341" i="10"/>
  <c r="E341" i="10"/>
  <c r="S341" i="10"/>
  <c r="O341" i="10"/>
  <c r="K231" i="10"/>
  <c r="G171" i="10"/>
  <c r="M662" i="10"/>
  <c r="E662" i="10"/>
  <c r="I662" i="10"/>
  <c r="G662" i="10"/>
  <c r="K662" i="10"/>
  <c r="O662" i="10"/>
  <c r="Q61" i="10"/>
  <c r="O61" i="10"/>
  <c r="M61" i="10"/>
  <c r="K61" i="10"/>
  <c r="I61" i="10"/>
  <c r="E61" i="10"/>
  <c r="G61" i="10"/>
  <c r="S61" i="10"/>
  <c r="M553" i="10"/>
  <c r="K553" i="10"/>
  <c r="E553" i="10"/>
  <c r="G553" i="10"/>
  <c r="I553" i="10"/>
  <c r="Q553" i="10"/>
  <c r="O553" i="10"/>
  <c r="E225" i="10"/>
  <c r="S225" i="10"/>
  <c r="Q225" i="10"/>
  <c r="M225" i="10"/>
  <c r="K225" i="10"/>
  <c r="G225" i="10"/>
  <c r="M231" i="10"/>
  <c r="I171" i="10"/>
  <c r="K612" i="10"/>
  <c r="S612" i="10"/>
  <c r="M612" i="10"/>
  <c r="Q612" i="10"/>
  <c r="O612" i="10"/>
  <c r="G612" i="10"/>
  <c r="G143" i="10"/>
  <c r="E143" i="10"/>
  <c r="Q143" i="10"/>
  <c r="K143" i="10"/>
  <c r="I143" i="10"/>
  <c r="I708" i="10"/>
  <c r="M708" i="10"/>
  <c r="G708" i="10"/>
  <c r="E708" i="10"/>
  <c r="Q708" i="10"/>
  <c r="K708" i="10"/>
  <c r="Q231" i="10"/>
  <c r="I500" i="10"/>
  <c r="S284" i="10"/>
  <c r="Q284" i="10"/>
  <c r="M284" i="10"/>
  <c r="O284" i="10"/>
  <c r="K284" i="10"/>
  <c r="G284" i="10"/>
  <c r="G259" i="10"/>
  <c r="Q259" i="10"/>
  <c r="O259" i="10"/>
  <c r="K259" i="10"/>
  <c r="E259" i="10"/>
  <c r="M95" i="10"/>
  <c r="K95" i="10"/>
  <c r="I95" i="10"/>
  <c r="G95" i="10"/>
  <c r="E95" i="10"/>
  <c r="Q95" i="10"/>
  <c r="O95" i="10"/>
  <c r="S618" i="10"/>
  <c r="Q618" i="10"/>
  <c r="O618" i="10"/>
  <c r="K618" i="10"/>
  <c r="M618" i="10"/>
  <c r="I618" i="10"/>
  <c r="E618" i="10"/>
  <c r="S76" i="10"/>
  <c r="Q76" i="10"/>
  <c r="O76" i="10"/>
  <c r="M76" i="10"/>
  <c r="G76" i="10"/>
  <c r="E76" i="10"/>
  <c r="Q378" i="10"/>
  <c r="S378" i="10"/>
  <c r="K378" i="10"/>
  <c r="G378" i="10"/>
  <c r="E378" i="10"/>
  <c r="S39" i="10"/>
  <c r="O628" i="10"/>
  <c r="M628" i="10"/>
  <c r="K628" i="10"/>
  <c r="I628" i="10"/>
  <c r="G628" i="10"/>
  <c r="E628" i="10"/>
  <c r="S628" i="10"/>
  <c r="Q628" i="10"/>
  <c r="S163" i="10"/>
  <c r="Q163" i="10"/>
  <c r="O163" i="10"/>
  <c r="M163" i="10"/>
  <c r="K163" i="10"/>
  <c r="I163" i="10"/>
  <c r="G163" i="10"/>
  <c r="K19" i="10"/>
  <c r="Q174" i="10"/>
  <c r="O174" i="10"/>
  <c r="K174" i="10"/>
  <c r="G174" i="10"/>
  <c r="E174" i="10"/>
  <c r="I789" i="10"/>
  <c r="K789" i="10"/>
  <c r="G789" i="10"/>
  <c r="E789" i="10"/>
  <c r="O789" i="10"/>
  <c r="M789" i="10"/>
  <c r="M19" i="10"/>
  <c r="S165" i="10"/>
  <c r="Q165" i="10"/>
  <c r="O165" i="10"/>
  <c r="M165" i="10"/>
  <c r="I165" i="10"/>
  <c r="K165" i="10"/>
  <c r="E165" i="10"/>
  <c r="Q19" i="10"/>
  <c r="Q341" i="10"/>
  <c r="K72" i="10"/>
  <c r="O121" i="10"/>
  <c r="I121" i="10"/>
  <c r="E295" i="10"/>
  <c r="M295" i="10"/>
  <c r="O549" i="10"/>
  <c r="G549" i="10"/>
  <c r="E549" i="10"/>
  <c r="O103" i="10"/>
  <c r="I103" i="10"/>
  <c r="Q68" i="10"/>
  <c r="G68" i="10"/>
  <c r="Q152" i="10"/>
  <c r="I152" i="10"/>
  <c r="O912" i="10"/>
  <c r="M549" i="10"/>
  <c r="M70" i="10"/>
  <c r="E70" i="10"/>
  <c r="S22" i="10"/>
  <c r="O22" i="10"/>
  <c r="K22" i="10"/>
  <c r="I22" i="10"/>
  <c r="M493" i="10"/>
  <c r="S493" i="10"/>
  <c r="S549" i="10"/>
  <c r="K290" i="10"/>
  <c r="G290" i="10"/>
  <c r="E575" i="10"/>
  <c r="O575" i="10"/>
  <c r="S575" i="10"/>
  <c r="S295" i="10"/>
  <c r="Q549" i="10"/>
  <c r="Q80" i="10"/>
  <c r="G80" i="10"/>
  <c r="M160" i="10"/>
  <c r="I160" i="10"/>
  <c r="G160" i="10"/>
  <c r="E160" i="10"/>
  <c r="S558" i="10"/>
  <c r="M558" i="10"/>
  <c r="O668" i="10"/>
  <c r="I668" i="10"/>
  <c r="G421" i="10"/>
  <c r="Q421" i="10"/>
  <c r="O421" i="10"/>
  <c r="M38" i="10"/>
  <c r="G38" i="10"/>
  <c r="S777" i="10"/>
  <c r="K777" i="10"/>
  <c r="M217" i="10"/>
  <c r="G217" i="10"/>
  <c r="S75" i="10"/>
  <c r="Q75" i="10"/>
  <c r="M75" i="10"/>
  <c r="G75" i="10"/>
  <c r="I714" i="10"/>
  <c r="S714" i="10"/>
  <c r="Q714" i="10"/>
  <c r="O125" i="10"/>
  <c r="I125" i="10"/>
  <c r="E125" i="10"/>
  <c r="E121" i="10"/>
  <c r="S718" i="10"/>
  <c r="K718" i="10"/>
  <c r="E718" i="10"/>
  <c r="Q215" i="10"/>
  <c r="O215" i="10"/>
  <c r="K215" i="10"/>
  <c r="I215" i="10"/>
  <c r="K276" i="10"/>
  <c r="G505" i="10"/>
  <c r="G127" i="10"/>
  <c r="Q101" i="10"/>
  <c r="G301" i="10"/>
  <c r="K328" i="10"/>
  <c r="K100" i="10"/>
  <c r="Q35" i="10"/>
  <c r="M566" i="10"/>
  <c r="G96" i="10"/>
  <c r="K416" i="10"/>
  <c r="M100" i="10"/>
  <c r="S35" i="10"/>
  <c r="K141" i="10"/>
  <c r="G365" i="10"/>
  <c r="Q416" i="10"/>
  <c r="K60" i="10"/>
  <c r="E867" i="10"/>
  <c r="E872" i="10"/>
  <c r="Q411" i="10"/>
  <c r="I745" i="10"/>
  <c r="S674" i="10"/>
  <c r="M446" i="10"/>
  <c r="O270" i="10"/>
  <c r="I936" i="10"/>
  <c r="G935" i="10"/>
  <c r="I221" i="10"/>
  <c r="Q289" i="10"/>
  <c r="K939" i="10"/>
  <c r="Q305" i="10"/>
  <c r="S305" i="10"/>
  <c r="M305" i="10"/>
  <c r="O305" i="10"/>
  <c r="I305" i="10"/>
  <c r="K305" i="10"/>
  <c r="G305" i="10"/>
  <c r="S382" i="10"/>
  <c r="Q382" i="10"/>
  <c r="O382" i="10"/>
  <c r="E382" i="10"/>
  <c r="G382" i="10"/>
  <c r="M382" i="10"/>
  <c r="K382" i="10"/>
  <c r="E305" i="10"/>
  <c r="I382" i="10"/>
  <c r="S370" i="10"/>
  <c r="O370" i="10"/>
  <c r="M370" i="10"/>
  <c r="Q370" i="10"/>
  <c r="K370" i="10"/>
  <c r="G370" i="10"/>
  <c r="I370" i="10"/>
  <c r="E370" i="10"/>
  <c r="G23" i="10"/>
  <c r="O227" i="10"/>
  <c r="M227" i="10"/>
  <c r="K227" i="10"/>
  <c r="I227" i="10"/>
  <c r="G227" i="10"/>
  <c r="E227" i="10"/>
  <c r="S227" i="10"/>
  <c r="Q227" i="10"/>
  <c r="S796" i="10"/>
  <c r="I796" i="10"/>
  <c r="G796" i="10"/>
  <c r="Q509" i="10"/>
  <c r="S509" i="10"/>
  <c r="O509" i="10"/>
  <c r="M509" i="10"/>
  <c r="K509" i="10"/>
  <c r="I509" i="10"/>
  <c r="G509" i="10"/>
  <c r="K638" i="10"/>
  <c r="E638" i="10"/>
  <c r="I638" i="10"/>
  <c r="G638" i="10"/>
  <c r="M638" i="10"/>
  <c r="O638" i="10"/>
  <c r="S226" i="10"/>
  <c r="O226" i="10"/>
  <c r="M226" i="10"/>
  <c r="Q226" i="10"/>
  <c r="K226" i="10"/>
  <c r="G536" i="10"/>
  <c r="E536" i="10"/>
  <c r="S536" i="10"/>
  <c r="K536" i="10"/>
  <c r="I536" i="10"/>
  <c r="O190" i="10"/>
  <c r="K190" i="10"/>
  <c r="I190" i="10"/>
  <c r="E190" i="10"/>
  <c r="M190" i="10"/>
  <c r="G190" i="10"/>
  <c r="S79" i="10"/>
  <c r="Q79" i="10"/>
  <c r="O79" i="10"/>
  <c r="K79" i="10"/>
  <c r="I79" i="10"/>
  <c r="E79" i="10"/>
  <c r="S564" i="10"/>
  <c r="O564" i="10"/>
  <c r="Q564" i="10"/>
  <c r="M564" i="10"/>
  <c r="K564" i="10"/>
  <c r="E26" i="10"/>
  <c r="S26" i="10"/>
  <c r="O26" i="10"/>
  <c r="G26" i="10"/>
  <c r="O30" i="10"/>
  <c r="M30" i="10"/>
  <c r="K30" i="10"/>
  <c r="I30" i="10"/>
  <c r="E30" i="10"/>
  <c r="G30" i="10"/>
  <c r="S30" i="10"/>
  <c r="Q30" i="10"/>
  <c r="S139" i="10"/>
  <c r="Q139" i="10"/>
  <c r="O139" i="10"/>
  <c r="M139" i="10"/>
  <c r="K139" i="10"/>
  <c r="G139" i="10"/>
  <c r="I139" i="10"/>
  <c r="S283" i="10"/>
  <c r="Q283" i="10"/>
  <c r="M283" i="10"/>
  <c r="E283" i="10"/>
  <c r="G283" i="10"/>
  <c r="Q403" i="10"/>
  <c r="O403" i="10"/>
  <c r="M403" i="10"/>
  <c r="I403" i="10"/>
  <c r="E403" i="10"/>
  <c r="K403" i="10"/>
  <c r="G403" i="10"/>
  <c r="K282" i="10"/>
  <c r="O282" i="10"/>
  <c r="G282" i="10"/>
  <c r="E282" i="10"/>
  <c r="S506" i="10"/>
  <c r="O506" i="10"/>
  <c r="Q506" i="10"/>
  <c r="K506" i="10"/>
  <c r="M506" i="10"/>
  <c r="I506" i="10"/>
  <c r="E506" i="10"/>
  <c r="G506" i="10"/>
  <c r="E169" i="10"/>
  <c r="G169" i="10"/>
  <c r="S169" i="10"/>
  <c r="Q169" i="10"/>
  <c r="O169" i="10"/>
  <c r="I169" i="10"/>
  <c r="O329" i="10"/>
  <c r="S329" i="10"/>
  <c r="M329" i="10"/>
  <c r="I329" i="10"/>
  <c r="K329" i="10"/>
  <c r="G329" i="10"/>
  <c r="E329" i="10"/>
  <c r="Q208" i="10"/>
  <c r="O208" i="10"/>
  <c r="M208" i="10"/>
  <c r="I208" i="10"/>
  <c r="K208" i="10"/>
  <c r="G208" i="10"/>
  <c r="E208" i="10"/>
  <c r="Q520" i="10"/>
  <c r="O520" i="10"/>
  <c r="I520" i="10"/>
  <c r="M520" i="10"/>
  <c r="G520" i="10"/>
  <c r="E520" i="10"/>
  <c r="K520" i="10"/>
  <c r="K220" i="10"/>
  <c r="I220" i="10"/>
  <c r="G220" i="10"/>
  <c r="E220" i="10"/>
  <c r="S220" i="10"/>
  <c r="M220" i="10"/>
  <c r="M358" i="10"/>
  <c r="K358" i="10"/>
  <c r="I358" i="10"/>
  <c r="G358" i="10"/>
  <c r="Q358" i="10"/>
  <c r="S99" i="10"/>
  <c r="Q99" i="10"/>
  <c r="O99" i="10"/>
  <c r="M99" i="10"/>
  <c r="G99" i="10"/>
  <c r="I99" i="10"/>
  <c r="E99" i="10"/>
  <c r="S733" i="10"/>
  <c r="K733" i="10"/>
  <c r="I733" i="10"/>
  <c r="O369" i="10"/>
  <c r="M369" i="10"/>
  <c r="S369" i="10"/>
  <c r="I369" i="10"/>
  <c r="K369" i="10"/>
  <c r="G369" i="10"/>
  <c r="E369" i="10"/>
  <c r="S219" i="10"/>
  <c r="O219" i="10"/>
  <c r="Q219" i="10"/>
  <c r="M219" i="10"/>
  <c r="I219" i="10"/>
  <c r="K219" i="10"/>
  <c r="E219" i="10"/>
  <c r="E334" i="10"/>
  <c r="G334" i="10"/>
  <c r="Q334" i="10"/>
  <c r="S334" i="10"/>
  <c r="O334" i="10"/>
  <c r="I334" i="10"/>
  <c r="Q415" i="10"/>
  <c r="G60" i="10"/>
  <c r="M60" i="10"/>
  <c r="M68" i="10"/>
  <c r="E415" i="10"/>
  <c r="S68" i="10"/>
  <c r="I415" i="10"/>
  <c r="K415" i="10"/>
  <c r="E465" i="10"/>
  <c r="G465" i="10"/>
  <c r="Q779" i="10"/>
  <c r="M455" i="10"/>
  <c r="M218" i="10"/>
  <c r="Q173" i="10"/>
  <c r="E102" i="10"/>
  <c r="S23" i="4"/>
  <c r="C24" i="4"/>
  <c r="C23" i="4"/>
  <c r="C22" i="4"/>
  <c r="Q368" i="10"/>
  <c r="M368" i="10"/>
  <c r="S368" i="10"/>
  <c r="O368" i="10"/>
  <c r="K368" i="10"/>
  <c r="G368" i="10"/>
  <c r="I368" i="10"/>
  <c r="E368" i="10"/>
  <c r="S22" i="4"/>
  <c r="S34" i="10"/>
  <c r="M34" i="10"/>
  <c r="O34" i="10"/>
  <c r="I34" i="10"/>
  <c r="K34" i="10"/>
  <c r="G34" i="10"/>
  <c r="E34" i="10"/>
  <c r="Q34" i="10"/>
  <c r="Q82" i="10"/>
  <c r="O82" i="10"/>
  <c r="M82" i="10"/>
  <c r="I82" i="10"/>
  <c r="K82" i="10"/>
  <c r="E82" i="10"/>
  <c r="G82" i="10"/>
  <c r="S82" i="10"/>
  <c r="E154" i="10"/>
  <c r="G154" i="10"/>
  <c r="Q154" i="10"/>
  <c r="I154" i="10"/>
  <c r="M154" i="10"/>
  <c r="O154" i="10"/>
  <c r="S24" i="4"/>
  <c r="S267" i="10"/>
  <c r="Q267" i="10"/>
  <c r="M267" i="10"/>
  <c r="O267" i="10"/>
  <c r="K267" i="10"/>
  <c r="I267" i="10"/>
  <c r="E267" i="10"/>
  <c r="G267" i="10"/>
  <c r="S278" i="10"/>
  <c r="Q278" i="10"/>
  <c r="O278" i="10"/>
  <c r="M278" i="10"/>
  <c r="K278" i="10"/>
  <c r="G278" i="10"/>
  <c r="S21" i="10"/>
  <c r="M21" i="10"/>
  <c r="I21" i="10"/>
  <c r="K21" i="10"/>
  <c r="G21" i="10"/>
  <c r="E21" i="10"/>
  <c r="Q21" i="10"/>
  <c r="O21" i="10"/>
  <c r="S64" i="10"/>
  <c r="Q64" i="10"/>
  <c r="O64" i="10"/>
  <c r="M64" i="10"/>
  <c r="I64" i="10"/>
  <c r="E64" i="10"/>
  <c r="S170" i="10"/>
  <c r="O170" i="10"/>
  <c r="Q170" i="10"/>
  <c r="K170" i="10"/>
  <c r="M170" i="10"/>
  <c r="G170" i="10"/>
  <c r="S13" i="10"/>
  <c r="Q13" i="10"/>
  <c r="O13" i="10"/>
  <c r="K13" i="10"/>
  <c r="M13" i="10"/>
  <c r="E13" i="10"/>
  <c r="O600" i="10"/>
  <c r="Q600" i="10"/>
  <c r="K600" i="10"/>
  <c r="M600" i="10"/>
  <c r="I600" i="10"/>
  <c r="E600" i="10"/>
  <c r="G600" i="10"/>
  <c r="S600" i="10"/>
  <c r="M560" i="10"/>
  <c r="S560" i="10"/>
  <c r="O560" i="10"/>
  <c r="Q560" i="10"/>
  <c r="I560" i="10"/>
  <c r="G560" i="10"/>
  <c r="M54" i="10"/>
  <c r="G54" i="10"/>
  <c r="E54" i="10"/>
  <c r="Q54" i="10"/>
  <c r="K54" i="10"/>
  <c r="I216" i="10"/>
  <c r="G216" i="10"/>
  <c r="E216" i="10"/>
  <c r="Q216" i="10"/>
  <c r="M216" i="10"/>
  <c r="K216" i="10"/>
  <c r="S418" i="10"/>
  <c r="Q418" i="10"/>
  <c r="O418" i="10"/>
  <c r="M418" i="10"/>
  <c r="I418" i="10"/>
  <c r="G418" i="10"/>
  <c r="S187" i="10"/>
  <c r="Q187" i="10"/>
  <c r="O187" i="10"/>
  <c r="M187" i="10"/>
  <c r="K187" i="10"/>
  <c r="G187" i="10"/>
  <c r="S145" i="10"/>
  <c r="Q145" i="10"/>
  <c r="O145" i="10"/>
  <c r="M145" i="10"/>
  <c r="K145" i="10"/>
  <c r="E145" i="10"/>
  <c r="I339" i="10"/>
  <c r="G339" i="10"/>
  <c r="E339" i="10"/>
  <c r="S339" i="10"/>
  <c r="O339" i="10"/>
  <c r="K339" i="10"/>
  <c r="Q94" i="10"/>
  <c r="M94" i="10"/>
  <c r="O94" i="10"/>
  <c r="K94" i="10"/>
  <c r="I94" i="10"/>
  <c r="G94" i="10"/>
  <c r="E94" i="10"/>
  <c r="S94" i="10"/>
  <c r="Q91" i="10"/>
  <c r="O91" i="10"/>
  <c r="M91" i="10"/>
  <c r="K91" i="10"/>
  <c r="G91" i="10"/>
  <c r="I91" i="10"/>
  <c r="E91" i="10"/>
  <c r="S91" i="10"/>
  <c r="E386" i="10"/>
  <c r="I386" i="10"/>
  <c r="G386" i="10"/>
  <c r="S386" i="10"/>
  <c r="K386" i="10"/>
  <c r="O386" i="10"/>
  <c r="O311" i="10"/>
  <c r="M311" i="10"/>
  <c r="K311" i="10"/>
  <c r="I311" i="10"/>
  <c r="G311" i="10"/>
  <c r="E311" i="10"/>
  <c r="Q311" i="10"/>
  <c r="S320" i="10"/>
  <c r="Q320" i="10"/>
  <c r="M320" i="10"/>
  <c r="O320" i="10"/>
  <c r="I320" i="10"/>
  <c r="G320" i="10"/>
  <c r="Q863" i="10"/>
  <c r="O863" i="10"/>
  <c r="K863" i="10"/>
  <c r="M863" i="10"/>
  <c r="I863" i="10"/>
  <c r="G863" i="10"/>
  <c r="E863" i="10"/>
  <c r="S863" i="10"/>
  <c r="S198" i="10"/>
  <c r="O198" i="10"/>
  <c r="M198" i="10"/>
  <c r="K198" i="10"/>
  <c r="I198" i="10"/>
  <c r="G198" i="10"/>
  <c r="E198" i="10"/>
  <c r="Q198" i="10"/>
  <c r="I610" i="10"/>
  <c r="G610" i="10"/>
  <c r="E610" i="10"/>
  <c r="S610" i="10"/>
  <c r="M610" i="10"/>
  <c r="K610" i="10"/>
  <c r="I240" i="10"/>
  <c r="E240" i="10"/>
  <c r="G240" i="10"/>
  <c r="Q240" i="10"/>
  <c r="K240" i="10"/>
  <c r="M240" i="10"/>
  <c r="Q66" i="10"/>
  <c r="M66" i="10"/>
  <c r="O66" i="10"/>
  <c r="S66" i="10"/>
  <c r="K66" i="10"/>
  <c r="E66" i="10"/>
  <c r="E912" i="10"/>
  <c r="I912" i="10"/>
  <c r="G912" i="10"/>
  <c r="S912" i="10"/>
  <c r="M912" i="10"/>
  <c r="K912" i="10"/>
  <c r="S255" i="10"/>
  <c r="Q255" i="10"/>
  <c r="O255" i="10"/>
  <c r="M255" i="10"/>
  <c r="K255" i="10"/>
  <c r="G255" i="10"/>
  <c r="S98" i="10"/>
  <c r="Q98" i="10"/>
  <c r="O98" i="10"/>
  <c r="M98" i="10"/>
  <c r="K98" i="10"/>
  <c r="G98" i="10"/>
  <c r="Q644" i="10"/>
  <c r="M644" i="10"/>
  <c r="O644" i="10"/>
  <c r="G644" i="10"/>
  <c r="I644" i="10"/>
  <c r="E644" i="10"/>
  <c r="K644" i="10"/>
  <c r="S644" i="10"/>
  <c r="E60" i="10"/>
  <c r="O733" i="10"/>
  <c r="S60" i="10"/>
  <c r="S121" i="10"/>
  <c r="Q121" i="10"/>
  <c r="M121" i="10"/>
  <c r="K121" i="10"/>
  <c r="O710" i="10"/>
  <c r="E710" i="10"/>
  <c r="G710" i="10"/>
  <c r="Q733" i="10"/>
  <c r="O60" i="10"/>
  <c r="G79" i="10"/>
  <c r="Q282" i="10"/>
  <c r="S282" i="10"/>
  <c r="M282" i="10"/>
  <c r="I282" i="10"/>
  <c r="E101" i="10"/>
  <c r="I101" i="10"/>
  <c r="G33" i="10"/>
  <c r="K710" i="10"/>
  <c r="M79" i="10"/>
  <c r="K101" i="10"/>
  <c r="M101" i="10"/>
  <c r="O101" i="10"/>
  <c r="S33" i="10"/>
  <c r="Q33" i="10"/>
  <c r="M33" i="10"/>
  <c r="I33" i="10"/>
  <c r="G733" i="10"/>
  <c r="E733" i="10"/>
  <c r="M733" i="10"/>
  <c r="S465" i="10"/>
  <c r="Q465" i="10"/>
  <c r="O465" i="10"/>
  <c r="K465" i="10"/>
  <c r="I346" i="10"/>
  <c r="M346" i="10"/>
  <c r="E612" i="10"/>
  <c r="Q346" i="10"/>
  <c r="I612" i="10"/>
  <c r="AF4" i="2"/>
  <c r="Q13" i="4" l="1"/>
  <c r="D15" i="1"/>
  <c r="AL4" i="2"/>
  <c r="G22" i="1" s="1"/>
  <c r="AG14" i="4"/>
  <c r="Q7" i="4"/>
  <c r="Q14" i="4"/>
  <c r="Q6" i="4"/>
  <c r="C25" i="4"/>
  <c r="D19" i="4"/>
  <c r="T4" i="2"/>
  <c r="K814" i="10"/>
  <c r="G679" i="10"/>
  <c r="G928" i="10"/>
  <c r="S729" i="10"/>
  <c r="K928" i="10"/>
  <c r="O928" i="10"/>
  <c r="S928" i="10"/>
  <c r="G603" i="10"/>
  <c r="E895" i="10"/>
  <c r="Q895" i="10"/>
  <c r="I59" i="10"/>
  <c r="G528" i="10"/>
  <c r="M759" i="10"/>
  <c r="M528" i="10"/>
  <c r="E699" i="10"/>
  <c r="U239" i="10"/>
  <c r="T239" i="10" s="1"/>
  <c r="K895" i="10"/>
  <c r="I603" i="10"/>
  <c r="O895" i="10"/>
  <c r="O603" i="10"/>
  <c r="K555" i="10"/>
  <c r="M514" i="10"/>
  <c r="G759" i="10"/>
  <c r="S820" i="10"/>
  <c r="Q690" i="10"/>
  <c r="O690" i="10"/>
  <c r="K59" i="10"/>
  <c r="U235" i="10"/>
  <c r="T235" i="10" s="1"/>
  <c r="U179" i="10"/>
  <c r="T179" i="10" s="1"/>
  <c r="U340" i="10"/>
  <c r="T340" i="10" s="1"/>
  <c r="U696" i="10"/>
  <c r="T696" i="10" s="1"/>
  <c r="G203" i="10"/>
  <c r="K603" i="10"/>
  <c r="G138" i="10"/>
  <c r="I138" i="10"/>
  <c r="S138" i="10"/>
  <c r="S603" i="10"/>
  <c r="K134" i="10"/>
  <c r="M134" i="10"/>
  <c r="E507" i="10"/>
  <c r="Q635" i="10"/>
  <c r="S466" i="10"/>
  <c r="I928" i="10"/>
  <c r="O138" i="10"/>
  <c r="S224" i="10"/>
  <c r="S635" i="10"/>
  <c r="M928" i="10"/>
  <c r="Q138" i="10"/>
  <c r="G466" i="10"/>
  <c r="I440" i="10"/>
  <c r="U156" i="10"/>
  <c r="T156" i="10" s="1"/>
  <c r="Q928" i="10"/>
  <c r="E138" i="10"/>
  <c r="I814" i="10"/>
  <c r="E820" i="10"/>
  <c r="I820" i="10"/>
  <c r="Q514" i="10"/>
  <c r="I134" i="10"/>
  <c r="K635" i="10"/>
  <c r="K138" i="10"/>
  <c r="G900" i="10"/>
  <c r="U268" i="10"/>
  <c r="T268" i="10" s="1"/>
  <c r="E134" i="10"/>
  <c r="M635" i="10"/>
  <c r="O883" i="10"/>
  <c r="K717" i="10"/>
  <c r="S639" i="10"/>
  <c r="K593" i="10"/>
  <c r="O593" i="10"/>
  <c r="M593" i="10"/>
  <c r="O539" i="10"/>
  <c r="Q729" i="10"/>
  <c r="E639" i="10"/>
  <c r="O464" i="10"/>
  <c r="I593" i="10"/>
  <c r="G593" i="10"/>
  <c r="Q593" i="10"/>
  <c r="E539" i="10"/>
  <c r="I639" i="10"/>
  <c r="Q643" i="10"/>
  <c r="S593" i="10"/>
  <c r="K639" i="10"/>
  <c r="G438" i="10"/>
  <c r="O639" i="10"/>
  <c r="Q639" i="10"/>
  <c r="G639" i="10"/>
  <c r="S883" i="10"/>
  <c r="S471" i="10"/>
  <c r="Q883" i="10"/>
  <c r="K528" i="10"/>
  <c r="O743" i="10"/>
  <c r="I678" i="10"/>
  <c r="O707" i="10"/>
  <c r="M895" i="10"/>
  <c r="E603" i="10"/>
  <c r="M699" i="10"/>
  <c r="G820" i="10"/>
  <c r="O635" i="10"/>
  <c r="G699" i="10"/>
  <c r="Q458" i="10"/>
  <c r="S699" i="10"/>
  <c r="O458" i="10"/>
  <c r="E432" i="10"/>
  <c r="G458" i="10"/>
  <c r="O528" i="10"/>
  <c r="M432" i="10"/>
  <c r="M603" i="10"/>
  <c r="G539" i="10"/>
  <c r="I458" i="10"/>
  <c r="E814" i="10"/>
  <c r="M814" i="10"/>
  <c r="O451" i="10"/>
  <c r="E679" i="10"/>
  <c r="S528" i="10"/>
  <c r="K432" i="10"/>
  <c r="I539" i="10"/>
  <c r="Q814" i="10"/>
  <c r="G451" i="10"/>
  <c r="O679" i="10"/>
  <c r="G24" i="10"/>
  <c r="E458" i="10"/>
  <c r="Q675" i="10"/>
  <c r="O432" i="10"/>
  <c r="K539" i="10"/>
  <c r="O814" i="10"/>
  <c r="E451" i="10"/>
  <c r="K679" i="10"/>
  <c r="K458" i="10"/>
  <c r="Q699" i="10"/>
  <c r="Q432" i="10"/>
  <c r="G895" i="10"/>
  <c r="O820" i="10"/>
  <c r="S539" i="10"/>
  <c r="G814" i="10"/>
  <c r="S707" i="10"/>
  <c r="G635" i="10"/>
  <c r="Q424" i="10"/>
  <c r="M679" i="10"/>
  <c r="O471" i="10"/>
  <c r="M458" i="10"/>
  <c r="G847" i="10"/>
  <c r="I895" i="10"/>
  <c r="Q820" i="10"/>
  <c r="M539" i="10"/>
  <c r="K707" i="10"/>
  <c r="I635" i="10"/>
  <c r="G903" i="10"/>
  <c r="Q679" i="10"/>
  <c r="Q471" i="10"/>
  <c r="S679" i="10"/>
  <c r="M678" i="10"/>
  <c r="M707" i="10"/>
  <c r="E643" i="10"/>
  <c r="Q468" i="10"/>
  <c r="O742" i="10"/>
  <c r="M655" i="10"/>
  <c r="M744" i="10"/>
  <c r="Q332" i="10"/>
  <c r="S751" i="10"/>
  <c r="O744" i="10"/>
  <c r="G920" i="10"/>
  <c r="E132" i="10"/>
  <c r="E434" i="10"/>
  <c r="M623" i="10"/>
  <c r="O468" i="10"/>
  <c r="Q222" i="10"/>
  <c r="M742" i="10"/>
  <c r="S613" i="10"/>
  <c r="G468" i="10"/>
  <c r="I468" i="10"/>
  <c r="K742" i="10"/>
  <c r="E774" i="10"/>
  <c r="S742" i="10"/>
  <c r="S723" i="10"/>
  <c r="M468" i="10"/>
  <c r="K222" i="10"/>
  <c r="K561" i="10"/>
  <c r="O442" i="10"/>
  <c r="S468" i="10"/>
  <c r="G442" i="10"/>
  <c r="Q442" i="10"/>
  <c r="S939" i="10"/>
  <c r="M442" i="10"/>
  <c r="Q742" i="10"/>
  <c r="O655" i="10"/>
  <c r="E222" i="10"/>
  <c r="I655" i="10"/>
  <c r="G742" i="10"/>
  <c r="K468" i="10"/>
  <c r="M222" i="10"/>
  <c r="I742" i="10"/>
  <c r="U204" i="10"/>
  <c r="T204" i="10" s="1"/>
  <c r="K920" i="10"/>
  <c r="O859" i="10"/>
  <c r="M462" i="10"/>
  <c r="E462" i="10"/>
  <c r="K792" i="10"/>
  <c r="O459" i="10"/>
  <c r="G462" i="10"/>
  <c r="S459" i="10"/>
  <c r="M507" i="10"/>
  <c r="M591" i="10"/>
  <c r="E436" i="10"/>
  <c r="S695" i="10"/>
  <c r="M920" i="10"/>
  <c r="K592" i="10"/>
  <c r="G211" i="10"/>
  <c r="Q459" i="10"/>
  <c r="M106" i="10"/>
  <c r="Q920" i="10"/>
  <c r="I920" i="10"/>
  <c r="K759" i="10"/>
  <c r="K591" i="10"/>
  <c r="U479" i="10"/>
  <c r="T479" i="10" s="1"/>
  <c r="U650" i="10"/>
  <c r="T650" i="10" s="1"/>
  <c r="U71" i="10"/>
  <c r="T71" i="10" s="1"/>
  <c r="U148" i="10"/>
  <c r="T148" i="10" s="1"/>
  <c r="U117" i="10"/>
  <c r="T117" i="10" s="1"/>
  <c r="U29" i="10"/>
  <c r="T29" i="10" s="1"/>
  <c r="U427" i="10"/>
  <c r="T427" i="10" s="1"/>
  <c r="U652" i="10"/>
  <c r="T652" i="10" s="1"/>
  <c r="U350" i="10"/>
  <c r="T350" i="10" s="1"/>
  <c r="U533" i="10"/>
  <c r="T533" i="10" s="1"/>
  <c r="U213" i="10"/>
  <c r="T213" i="10" s="1"/>
  <c r="Q792" i="10"/>
  <c r="K739" i="10"/>
  <c r="Q232" i="10"/>
  <c r="I699" i="10"/>
  <c r="I451" i="10"/>
  <c r="Q707" i="10"/>
  <c r="S571" i="10"/>
  <c r="K754" i="10"/>
  <c r="O513" i="10"/>
  <c r="O59" i="10"/>
  <c r="M659" i="10"/>
  <c r="E858" i="10"/>
  <c r="I211" i="10"/>
  <c r="M209" i="10"/>
  <c r="Q59" i="10"/>
  <c r="M874" i="10"/>
  <c r="S232" i="10"/>
  <c r="Q659" i="10"/>
  <c r="M754" i="10"/>
  <c r="I754" i="10"/>
  <c r="S858" i="10"/>
  <c r="S59" i="10"/>
  <c r="S874" i="10"/>
  <c r="G754" i="10"/>
  <c r="O571" i="10"/>
  <c r="E759" i="10"/>
  <c r="E659" i="10"/>
  <c r="G232" i="10"/>
  <c r="E792" i="10"/>
  <c r="O754" i="10"/>
  <c r="S450" i="10"/>
  <c r="K690" i="10"/>
  <c r="Q858" i="10"/>
  <c r="S452" i="10"/>
  <c r="I690" i="10"/>
  <c r="O796" i="10"/>
  <c r="K571" i="10"/>
  <c r="Q209" i="10"/>
  <c r="S739" i="10"/>
  <c r="O735" i="10"/>
  <c r="I232" i="10"/>
  <c r="E571" i="10"/>
  <c r="O759" i="10"/>
  <c r="I858" i="10"/>
  <c r="K796" i="10"/>
  <c r="K858" i="10"/>
  <c r="I459" i="10"/>
  <c r="E452" i="10"/>
  <c r="K729" i="10"/>
  <c r="E707" i="10"/>
  <c r="S754" i="10"/>
  <c r="Q759" i="10"/>
  <c r="Q571" i="10"/>
  <c r="Q739" i="10"/>
  <c r="Q735" i="10"/>
  <c r="O232" i="10"/>
  <c r="K659" i="10"/>
  <c r="U344" i="10"/>
  <c r="T344" i="10" s="1"/>
  <c r="E209" i="10"/>
  <c r="E754" i="10"/>
  <c r="M796" i="10"/>
  <c r="K459" i="10"/>
  <c r="I120" i="10"/>
  <c r="E581" i="10"/>
  <c r="G701" i="10"/>
  <c r="M729" i="10"/>
  <c r="G707" i="10"/>
  <c r="I209" i="10"/>
  <c r="G659" i="10"/>
  <c r="M571" i="10"/>
  <c r="E796" i="10"/>
  <c r="I759" i="10"/>
  <c r="S841" i="10"/>
  <c r="K451" i="10"/>
  <c r="M820" i="10"/>
  <c r="K701" i="10"/>
  <c r="M451" i="10"/>
  <c r="S451" i="10"/>
  <c r="O699" i="10"/>
  <c r="I571" i="10"/>
  <c r="U504" i="10"/>
  <c r="T504" i="10" s="1"/>
  <c r="U374" i="10"/>
  <c r="T374" i="10" s="1"/>
  <c r="M908" i="10"/>
  <c r="S735" i="10"/>
  <c r="K232" i="10"/>
  <c r="Q507" i="10"/>
  <c r="G592" i="10"/>
  <c r="E232" i="10"/>
  <c r="Q462" i="10"/>
  <c r="Q874" i="10"/>
  <c r="M792" i="10"/>
  <c r="K201" i="10"/>
  <c r="U199" i="10"/>
  <c r="T199" i="10" s="1"/>
  <c r="U486" i="10"/>
  <c r="T486" i="10" s="1"/>
  <c r="E908" i="10"/>
  <c r="S31" i="10"/>
  <c r="K847" i="10"/>
  <c r="S611" i="10"/>
  <c r="I224" i="10"/>
  <c r="Q744" i="10"/>
  <c r="G565" i="10"/>
  <c r="O701" i="10"/>
  <c r="I203" i="10"/>
  <c r="G224" i="10"/>
  <c r="S903" i="10"/>
  <c r="K903" i="10"/>
  <c r="S144" i="10"/>
  <c r="E211" i="10"/>
  <c r="K434" i="10"/>
  <c r="K464" i="10"/>
  <c r="S717" i="10"/>
  <c r="M434" i="10"/>
  <c r="O847" i="10"/>
  <c r="G611" i="10"/>
  <c r="K535" i="10"/>
  <c r="S744" i="10"/>
  <c r="I701" i="10"/>
  <c r="Q434" i="10"/>
  <c r="S209" i="10"/>
  <c r="E615" i="10"/>
  <c r="K442" i="10"/>
  <c r="S434" i="10"/>
  <c r="M464" i="10"/>
  <c r="I438" i="10"/>
  <c r="I717" i="10"/>
  <c r="O31" i="10"/>
  <c r="M144" i="10"/>
  <c r="S557" i="10"/>
  <c r="G615" i="10"/>
  <c r="G434" i="10"/>
  <c r="S464" i="10"/>
  <c r="S438" i="10"/>
  <c r="M717" i="10"/>
  <c r="U851" i="10"/>
  <c r="T851" i="10" s="1"/>
  <c r="U252" i="10"/>
  <c r="T252" i="10" s="1"/>
  <c r="M701" i="10"/>
  <c r="S847" i="10"/>
  <c r="K611" i="10"/>
  <c r="Q701" i="10"/>
  <c r="O144" i="10"/>
  <c r="O561" i="10"/>
  <c r="I557" i="10"/>
  <c r="M615" i="10"/>
  <c r="K774" i="10"/>
  <c r="O434" i="10"/>
  <c r="Q436" i="10"/>
  <c r="E464" i="10"/>
  <c r="Q438" i="10"/>
  <c r="O717" i="10"/>
  <c r="Q132" i="10"/>
  <c r="E723" i="10"/>
  <c r="U497" i="10"/>
  <c r="T497" i="10" s="1"/>
  <c r="U338" i="10"/>
  <c r="T338" i="10" s="1"/>
  <c r="U161" i="10"/>
  <c r="T161" i="10" s="1"/>
  <c r="U632" i="10"/>
  <c r="T632" i="10" s="1"/>
  <c r="K224" i="10"/>
  <c r="E460" i="10"/>
  <c r="K782" i="10"/>
  <c r="M611" i="10"/>
  <c r="E224" i="10"/>
  <c r="S701" i="10"/>
  <c r="E332" i="10"/>
  <c r="G324" i="10"/>
  <c r="E31" i="10"/>
  <c r="O615" i="10"/>
  <c r="Q774" i="10"/>
  <c r="S436" i="10"/>
  <c r="Q464" i="10"/>
  <c r="S132" i="10"/>
  <c r="Q847" i="10"/>
  <c r="M460" i="10"/>
  <c r="O611" i="10"/>
  <c r="Q224" i="10"/>
  <c r="O330" i="10"/>
  <c r="E108" i="10"/>
  <c r="O507" i="10"/>
  <c r="G31" i="10"/>
  <c r="Q615" i="10"/>
  <c r="S774" i="10"/>
  <c r="K436" i="10"/>
  <c r="E611" i="10"/>
  <c r="S782" i="10"/>
  <c r="I460" i="10"/>
  <c r="G782" i="10"/>
  <c r="Q611" i="10"/>
  <c r="K516" i="10"/>
  <c r="Q203" i="10"/>
  <c r="K330" i="10"/>
  <c r="O903" i="10"/>
  <c r="S222" i="10"/>
  <c r="K615" i="10"/>
  <c r="E735" i="10"/>
  <c r="I436" i="10"/>
  <c r="M903" i="10"/>
  <c r="E744" i="10"/>
  <c r="M203" i="10"/>
  <c r="G332" i="10"/>
  <c r="Q903" i="10"/>
  <c r="S615" i="10"/>
  <c r="G735" i="10"/>
  <c r="G464" i="10"/>
  <c r="Q460" i="10"/>
  <c r="E782" i="10"/>
  <c r="Q371" i="10"/>
  <c r="M224" i="10"/>
  <c r="I744" i="10"/>
  <c r="S203" i="10"/>
  <c r="O332" i="10"/>
  <c r="E903" i="10"/>
  <c r="K862" i="10"/>
  <c r="I735" i="10"/>
  <c r="E442" i="10"/>
  <c r="K462" i="10"/>
  <c r="O460" i="10"/>
  <c r="K744" i="10"/>
  <c r="E203" i="10"/>
  <c r="M332" i="10"/>
  <c r="I507" i="10"/>
  <c r="O209" i="10"/>
  <c r="K735" i="10"/>
  <c r="I442" i="10"/>
  <c r="I659" i="10"/>
  <c r="M675" i="10"/>
  <c r="M751" i="10"/>
  <c r="M535" i="10"/>
  <c r="G739" i="10"/>
  <c r="Q751" i="10"/>
  <c r="G330" i="10"/>
  <c r="E57" i="10"/>
  <c r="E739" i="10"/>
  <c r="O739" i="10"/>
  <c r="E675" i="10"/>
  <c r="I739" i="10"/>
  <c r="I675" i="10"/>
  <c r="E429" i="10"/>
  <c r="K675" i="10"/>
  <c r="I535" i="10"/>
  <c r="S430" i="10"/>
  <c r="G535" i="10"/>
  <c r="Q535" i="10"/>
  <c r="G457" i="10"/>
  <c r="I57" i="10"/>
  <c r="I457" i="10"/>
  <c r="O57" i="10"/>
  <c r="O751" i="10"/>
  <c r="G57" i="10"/>
  <c r="E90" i="10"/>
  <c r="K671" i="10"/>
  <c r="K751" i="10"/>
  <c r="O535" i="10"/>
  <c r="E815" i="10"/>
  <c r="G515" i="10"/>
  <c r="U176" i="10"/>
  <c r="T176" i="10" s="1"/>
  <c r="U545" i="10"/>
  <c r="T545" i="10" s="1"/>
  <c r="U362" i="10"/>
  <c r="T362" i="10" s="1"/>
  <c r="K189" i="10"/>
  <c r="Q444" i="10"/>
  <c r="E470" i="10"/>
  <c r="I108" i="10"/>
  <c r="K859" i="10"/>
  <c r="M189" i="10"/>
  <c r="I859" i="10"/>
  <c r="M108" i="10"/>
  <c r="Q189" i="10"/>
  <c r="G859" i="10"/>
  <c r="M556" i="10"/>
  <c r="K108" i="10"/>
  <c r="S865" i="10"/>
  <c r="E859" i="10"/>
  <c r="Q108" i="10"/>
  <c r="U490" i="10"/>
  <c r="T490" i="10" s="1"/>
  <c r="U223" i="10"/>
  <c r="T223" i="10" s="1"/>
  <c r="U720" i="10"/>
  <c r="T720" i="10" s="1"/>
  <c r="U104" i="10"/>
  <c r="T104" i="10" s="1"/>
  <c r="K444" i="10"/>
  <c r="O108" i="10"/>
  <c r="U888" i="10"/>
  <c r="T888" i="10" s="1"/>
  <c r="U254" i="10"/>
  <c r="T254" i="10" s="1"/>
  <c r="U69" i="10"/>
  <c r="T69" i="10" s="1"/>
  <c r="U608" i="10"/>
  <c r="T608" i="10" s="1"/>
  <c r="U757" i="10"/>
  <c r="T757" i="10" s="1"/>
  <c r="M444" i="10"/>
  <c r="O189" i="10"/>
  <c r="S444" i="10"/>
  <c r="I189" i="10"/>
  <c r="G302" i="10"/>
  <c r="I470" i="10"/>
  <c r="E444" i="10"/>
  <c r="S189" i="10"/>
  <c r="O470" i="10"/>
  <c r="U852" i="10"/>
  <c r="T852" i="10" s="1"/>
  <c r="G444" i="10"/>
  <c r="E189" i="10"/>
  <c r="S470" i="10"/>
  <c r="I444" i="10"/>
  <c r="K887" i="10"/>
  <c r="K106" i="10"/>
  <c r="M841" i="10"/>
  <c r="M120" i="10"/>
  <c r="S201" i="10"/>
  <c r="M122" i="10"/>
  <c r="S106" i="10"/>
  <c r="Q106" i="10"/>
  <c r="E516" i="10"/>
  <c r="O841" i="10"/>
  <c r="G120" i="10"/>
  <c r="S555" i="10"/>
  <c r="O324" i="10"/>
  <c r="Q930" i="10"/>
  <c r="K623" i="10"/>
  <c r="E106" i="10"/>
  <c r="K454" i="10"/>
  <c r="I324" i="10"/>
  <c r="U352" i="10"/>
  <c r="T352" i="10" s="1"/>
  <c r="O454" i="10"/>
  <c r="O887" i="10"/>
  <c r="E454" i="10"/>
  <c r="Q454" i="10"/>
  <c r="I887" i="10"/>
  <c r="U836" i="10"/>
  <c r="T836" i="10" s="1"/>
  <c r="K373" i="10"/>
  <c r="S454" i="10"/>
  <c r="G841" i="10"/>
  <c r="S651" i="10"/>
  <c r="E887" i="10"/>
  <c r="K622" i="10"/>
  <c r="E930" i="10"/>
  <c r="K930" i="10"/>
  <c r="I930" i="10"/>
  <c r="O555" i="10"/>
  <c r="U40" i="10"/>
  <c r="T40" i="10" s="1"/>
  <c r="G843" i="10"/>
  <c r="M373" i="10"/>
  <c r="Q601" i="10"/>
  <c r="E841" i="10"/>
  <c r="K120" i="10"/>
  <c r="G887" i="10"/>
  <c r="Q834" i="10"/>
  <c r="O930" i="10"/>
  <c r="E522" i="10"/>
  <c r="G623" i="10"/>
  <c r="M454" i="10"/>
  <c r="K841" i="10"/>
  <c r="Q120" i="10"/>
  <c r="O537" i="10"/>
  <c r="S834" i="10"/>
  <c r="Q164" i="10"/>
  <c r="U642" i="10"/>
  <c r="T642" i="10" s="1"/>
  <c r="I841" i="10"/>
  <c r="E120" i="10"/>
  <c r="I866" i="10"/>
  <c r="S120" i="10"/>
  <c r="M201" i="10"/>
  <c r="S659" i="10"/>
  <c r="U393" i="10"/>
  <c r="T393" i="10" s="1"/>
  <c r="U626" i="10"/>
  <c r="T626" i="10" s="1"/>
  <c r="U483" i="10"/>
  <c r="T483" i="10" s="1"/>
  <c r="U105" i="10"/>
  <c r="T105" i="10" s="1"/>
  <c r="U336" i="10"/>
  <c r="T336" i="10" s="1"/>
  <c r="U44" i="10"/>
  <c r="T44" i="10" s="1"/>
  <c r="U602" i="10"/>
  <c r="T602" i="10" s="1"/>
  <c r="U10" i="10"/>
  <c r="T10" i="10" s="1"/>
  <c r="U256" i="10"/>
  <c r="T256" i="10" s="1"/>
  <c r="U495" i="10"/>
  <c r="T495" i="10" s="1"/>
  <c r="U389" i="10"/>
  <c r="T389" i="10" s="1"/>
  <c r="U147" i="10"/>
  <c r="T147" i="10" s="1"/>
  <c r="U503" i="10"/>
  <c r="T503" i="10" s="1"/>
  <c r="U531" i="10"/>
  <c r="T531" i="10" s="1"/>
  <c r="U381" i="10"/>
  <c r="T381" i="10" s="1"/>
  <c r="U181" i="10"/>
  <c r="T181" i="10" s="1"/>
  <c r="K457" i="10"/>
  <c r="Q517" i="10"/>
  <c r="M471" i="10"/>
  <c r="G828" i="10"/>
  <c r="G591" i="10"/>
  <c r="Q591" i="10"/>
  <c r="E519" i="10"/>
  <c r="M57" i="10"/>
  <c r="Q457" i="10"/>
  <c r="G702" i="10"/>
  <c r="E828" i="10"/>
  <c r="O461" i="10"/>
  <c r="E883" i="10"/>
  <c r="S591" i="10"/>
  <c r="Q891" i="10"/>
  <c r="S457" i="10"/>
  <c r="I702" i="10"/>
  <c r="K828" i="10"/>
  <c r="E402" i="10"/>
  <c r="I555" i="10"/>
  <c r="K883" i="10"/>
  <c r="I591" i="10"/>
  <c r="G834" i="10"/>
  <c r="U107" i="10"/>
  <c r="T107" i="10" s="1"/>
  <c r="U131" i="10"/>
  <c r="T131" i="10" s="1"/>
  <c r="E457" i="10"/>
  <c r="M702" i="10"/>
  <c r="G402" i="10"/>
  <c r="G471" i="10"/>
  <c r="M555" i="10"/>
  <c r="E591" i="10"/>
  <c r="I834" i="10"/>
  <c r="O457" i="10"/>
  <c r="K702" i="10"/>
  <c r="K834" i="10"/>
  <c r="G883" i="10"/>
  <c r="U274" i="10"/>
  <c r="T274" i="10" s="1"/>
  <c r="U783" i="10"/>
  <c r="T783" i="10" s="1"/>
  <c r="U200" i="10"/>
  <c r="T200" i="10" s="1"/>
  <c r="U420" i="10"/>
  <c r="T420" i="10" s="1"/>
  <c r="U606" i="10"/>
  <c r="T606" i="10" s="1"/>
  <c r="U286" i="10"/>
  <c r="T286" i="10" s="1"/>
  <c r="U168" i="10"/>
  <c r="T168" i="10" s="1"/>
  <c r="Q515" i="10"/>
  <c r="G870" i="10"/>
  <c r="M883" i="10"/>
  <c r="I874" i="10"/>
  <c r="E201" i="10"/>
  <c r="I623" i="10"/>
  <c r="I516" i="10"/>
  <c r="E535" i="10"/>
  <c r="E517" i="10"/>
  <c r="I565" i="10"/>
  <c r="Q804" i="10"/>
  <c r="K688" i="10"/>
  <c r="O440" i="10"/>
  <c r="I900" i="10"/>
  <c r="U86" i="10"/>
  <c r="T86" i="10" s="1"/>
  <c r="K447" i="10"/>
  <c r="E582" i="10"/>
  <c r="K565" i="10"/>
  <c r="S804" i="10"/>
  <c r="G440" i="10"/>
  <c r="I688" i="10"/>
  <c r="M440" i="10"/>
  <c r="E900" i="10"/>
  <c r="U586" i="10"/>
  <c r="T586" i="10" s="1"/>
  <c r="O466" i="10"/>
  <c r="M587" i="10"/>
  <c r="K440" i="10"/>
  <c r="O565" i="10"/>
  <c r="Q440" i="10"/>
  <c r="M900" i="10"/>
  <c r="K466" i="10"/>
  <c r="S724" i="10"/>
  <c r="O203" i="10"/>
  <c r="Q900" i="10"/>
  <c r="M466" i="10"/>
  <c r="U598" i="10"/>
  <c r="T598" i="10" s="1"/>
  <c r="U372" i="10"/>
  <c r="T372" i="10" s="1"/>
  <c r="U77" i="10"/>
  <c r="T77" i="10" s="1"/>
  <c r="U383" i="10"/>
  <c r="T383" i="10" s="1"/>
  <c r="U488" i="10"/>
  <c r="T488" i="10" s="1"/>
  <c r="U242" i="10"/>
  <c r="T242" i="10" s="1"/>
  <c r="U50" i="10"/>
  <c r="T50" i="10" s="1"/>
  <c r="M724" i="10"/>
  <c r="S900" i="10"/>
  <c r="Q466" i="10"/>
  <c r="Q522" i="10"/>
  <c r="U172" i="10"/>
  <c r="T172" i="10" s="1"/>
  <c r="U276" i="10"/>
  <c r="T276" i="10" s="1"/>
  <c r="E724" i="10"/>
  <c r="U353" i="10"/>
  <c r="T353" i="10" s="1"/>
  <c r="O900" i="10"/>
  <c r="G724" i="10"/>
  <c r="U640" i="10"/>
  <c r="T640" i="10" s="1"/>
  <c r="K724" i="10"/>
  <c r="U395" i="10"/>
  <c r="T395" i="10" s="1"/>
  <c r="E466" i="10"/>
  <c r="S647" i="10"/>
  <c r="M565" i="10"/>
  <c r="I724" i="10"/>
  <c r="S565" i="10"/>
  <c r="Q724" i="10"/>
  <c r="E565" i="10"/>
  <c r="I671" i="10"/>
  <c r="E440" i="10"/>
  <c r="U27" i="10"/>
  <c r="T27" i="10" s="1"/>
  <c r="K745" i="10"/>
  <c r="S823" i="10"/>
  <c r="K264" i="10"/>
  <c r="S543" i="10"/>
  <c r="I424" i="10"/>
  <c r="O317" i="10"/>
  <c r="O622" i="10"/>
  <c r="O134" i="10"/>
  <c r="O164" i="10"/>
  <c r="E891" i="10"/>
  <c r="I482" i="10"/>
  <c r="Q450" i="10"/>
  <c r="K482" i="10"/>
  <c r="Q623" i="10"/>
  <c r="O891" i="10"/>
  <c r="I522" i="10"/>
  <c r="S446" i="10"/>
  <c r="M870" i="10"/>
  <c r="U197" i="10"/>
  <c r="T197" i="10" s="1"/>
  <c r="E790" i="10"/>
  <c r="M452" i="10"/>
  <c r="O424" i="10"/>
  <c r="Q622" i="10"/>
  <c r="S164" i="10"/>
  <c r="I891" i="10"/>
  <c r="K522" i="10"/>
  <c r="E577" i="10"/>
  <c r="E450" i="10"/>
  <c r="I478" i="10"/>
  <c r="M482" i="10"/>
  <c r="S623" i="10"/>
  <c r="M891" i="10"/>
  <c r="U747" i="10"/>
  <c r="T747" i="10" s="1"/>
  <c r="Q688" i="10"/>
  <c r="E671" i="10"/>
  <c r="M671" i="10"/>
  <c r="O870" i="10"/>
  <c r="I446" i="10"/>
  <c r="G52" i="10"/>
  <c r="S437" i="10"/>
  <c r="O680" i="10"/>
  <c r="I592" i="10"/>
  <c r="Q870" i="10"/>
  <c r="E623" i="10"/>
  <c r="U355" i="10"/>
  <c r="T355" i="10" s="1"/>
  <c r="Q74" i="10"/>
  <c r="U262" i="10"/>
  <c r="T262" i="10" s="1"/>
  <c r="U314" i="10"/>
  <c r="T314" i="10" s="1"/>
  <c r="G790" i="10"/>
  <c r="Q446" i="10"/>
  <c r="K52" i="10"/>
  <c r="K452" i="10"/>
  <c r="E543" i="10"/>
  <c r="E684" i="10"/>
  <c r="K315" i="10"/>
  <c r="O876" i="10"/>
  <c r="E437" i="10"/>
  <c r="M330" i="10"/>
  <c r="M622" i="10"/>
  <c r="M592" i="10"/>
  <c r="M690" i="10"/>
  <c r="S592" i="10"/>
  <c r="Q184" i="10"/>
  <c r="S870" i="10"/>
  <c r="Q478" i="10"/>
  <c r="S74" i="10"/>
  <c r="S622" i="10"/>
  <c r="G688" i="10"/>
  <c r="O437" i="10"/>
  <c r="I790" i="10"/>
  <c r="M52" i="10"/>
  <c r="Q452" i="10"/>
  <c r="G543" i="10"/>
  <c r="I454" i="10"/>
  <c r="K437" i="10"/>
  <c r="Q330" i="10"/>
  <c r="I622" i="10"/>
  <c r="O592" i="10"/>
  <c r="E690" i="10"/>
  <c r="K450" i="10"/>
  <c r="E592" i="10"/>
  <c r="K184" i="10"/>
  <c r="E870" i="10"/>
  <c r="E478" i="10"/>
  <c r="E74" i="10"/>
  <c r="S424" i="10"/>
  <c r="O446" i="10"/>
  <c r="I452" i="10"/>
  <c r="K790" i="10"/>
  <c r="O452" i="10"/>
  <c r="K543" i="10"/>
  <c r="E748" i="10"/>
  <c r="O315" i="10"/>
  <c r="M315" i="10"/>
  <c r="Q437" i="10"/>
  <c r="G437" i="10"/>
  <c r="E315" i="10"/>
  <c r="S330" i="10"/>
  <c r="G690" i="10"/>
  <c r="M450" i="10"/>
  <c r="M184" i="10"/>
  <c r="I870" i="10"/>
  <c r="O482" i="10"/>
  <c r="K478" i="10"/>
  <c r="M478" i="10"/>
  <c r="G867" i="10"/>
  <c r="S621" i="10"/>
  <c r="I52" i="10"/>
  <c r="G90" i="10"/>
  <c r="M790" i="10"/>
  <c r="M73" i="10"/>
  <c r="M543" i="10"/>
  <c r="E876" i="10"/>
  <c r="E330" i="10"/>
  <c r="I437" i="10"/>
  <c r="G315" i="10"/>
  <c r="O450" i="10"/>
  <c r="G184" i="10"/>
  <c r="O478" i="10"/>
  <c r="K891" i="10"/>
  <c r="G622" i="10"/>
  <c r="S790" i="10"/>
  <c r="O543" i="10"/>
  <c r="O390" i="10"/>
  <c r="G424" i="10"/>
  <c r="Q315" i="10"/>
  <c r="K164" i="10"/>
  <c r="E482" i="10"/>
  <c r="S478" i="10"/>
  <c r="G891" i="10"/>
  <c r="Q790" i="10"/>
  <c r="Q543" i="10"/>
  <c r="I315" i="10"/>
  <c r="S482" i="10"/>
  <c r="I450" i="10"/>
  <c r="G482" i="10"/>
  <c r="K57" i="10"/>
  <c r="U807" i="10"/>
  <c r="T807" i="10" s="1"/>
  <c r="U229" i="10"/>
  <c r="T229" i="10" s="1"/>
  <c r="U260" i="10"/>
  <c r="T260" i="10" s="1"/>
  <c r="U785" i="10"/>
  <c r="T785" i="10" s="1"/>
  <c r="U422" i="10"/>
  <c r="T422" i="10" s="1"/>
  <c r="U250" i="10"/>
  <c r="T250" i="10" s="1"/>
  <c r="U155" i="10"/>
  <c r="T155" i="10" s="1"/>
  <c r="U133" i="10"/>
  <c r="T133" i="10" s="1"/>
  <c r="U485" i="10"/>
  <c r="T485" i="10" s="1"/>
  <c r="U397" i="10"/>
  <c r="T397" i="10" s="1"/>
  <c r="U288" i="10"/>
  <c r="T288" i="10" s="1"/>
  <c r="U846" i="10"/>
  <c r="T846" i="10" s="1"/>
  <c r="Q51" i="10"/>
  <c r="O674" i="10"/>
  <c r="U243" i="10"/>
  <c r="T243" i="10" s="1"/>
  <c r="U294" i="10"/>
  <c r="T294" i="10" s="1"/>
  <c r="U238" i="10"/>
  <c r="T238" i="10" s="1"/>
  <c r="S184" i="10"/>
  <c r="K865" i="10"/>
  <c r="E184" i="10"/>
  <c r="K534" i="10"/>
  <c r="U83" i="10"/>
  <c r="T83" i="10" s="1"/>
  <c r="U568" i="10"/>
  <c r="T568" i="10" s="1"/>
  <c r="U773" i="10"/>
  <c r="T773" i="10" s="1"/>
  <c r="U275" i="10"/>
  <c r="T275" i="10" s="1"/>
  <c r="Q302" i="10"/>
  <c r="U316" i="10"/>
  <c r="T316" i="10" s="1"/>
  <c r="U81" i="10"/>
  <c r="T81" i="10" s="1"/>
  <c r="U118" i="10"/>
  <c r="T118" i="10" s="1"/>
  <c r="U245" i="10"/>
  <c r="T245" i="10" s="1"/>
  <c r="U85" i="10"/>
  <c r="T85" i="10" s="1"/>
  <c r="U303" i="10"/>
  <c r="T303" i="10" s="1"/>
  <c r="U337" i="10"/>
  <c r="T337" i="10" s="1"/>
  <c r="U529" i="10"/>
  <c r="T529" i="10" s="1"/>
  <c r="U508" i="10"/>
  <c r="T508" i="10" s="1"/>
  <c r="U333" i="10"/>
  <c r="T333" i="10" s="1"/>
  <c r="U467" i="10"/>
  <c r="T467" i="10" s="1"/>
  <c r="K209" i="10"/>
  <c r="S57" i="10"/>
  <c r="U827" i="10"/>
  <c r="T827" i="10" s="1"/>
  <c r="U193" i="10"/>
  <c r="T193" i="10" s="1"/>
  <c r="U347" i="10"/>
  <c r="T347" i="10" s="1"/>
  <c r="O184" i="10"/>
  <c r="U8" i="10"/>
  <c r="T8" i="10" s="1"/>
  <c r="U25" i="10"/>
  <c r="T25" i="10" s="1"/>
  <c r="I24" i="10"/>
  <c r="M24" i="10"/>
  <c r="K24" i="10"/>
  <c r="O24" i="10"/>
  <c r="S24" i="10"/>
  <c r="Q24" i="10"/>
  <c r="O582" i="10"/>
  <c r="I843" i="10"/>
  <c r="S601" i="10"/>
  <c r="E647" i="10"/>
  <c r="E651" i="10"/>
  <c r="Q621" i="10"/>
  <c r="S876" i="10"/>
  <c r="I461" i="10"/>
  <c r="O122" i="10"/>
  <c r="G577" i="10"/>
  <c r="U129" i="10"/>
  <c r="T129" i="10" s="1"/>
  <c r="G582" i="10"/>
  <c r="K843" i="10"/>
  <c r="K513" i="10"/>
  <c r="G601" i="10"/>
  <c r="I647" i="10"/>
  <c r="K651" i="10"/>
  <c r="E621" i="10"/>
  <c r="E513" i="10"/>
  <c r="Q122" i="10"/>
  <c r="I577" i="10"/>
  <c r="U542" i="10"/>
  <c r="T542" i="10" s="1"/>
  <c r="U552" i="10"/>
  <c r="T552" i="10" s="1"/>
  <c r="I456" i="10"/>
  <c r="U151" i="10"/>
  <c r="T151" i="10" s="1"/>
  <c r="I582" i="10"/>
  <c r="O843" i="10"/>
  <c r="S513" i="10"/>
  <c r="E601" i="10"/>
  <c r="G647" i="10"/>
  <c r="G621" i="10"/>
  <c r="S122" i="10"/>
  <c r="Q577" i="10"/>
  <c r="K456" i="10"/>
  <c r="U308" i="10"/>
  <c r="T308" i="10" s="1"/>
  <c r="U398" i="10"/>
  <c r="T398" i="10" s="1"/>
  <c r="K582" i="10"/>
  <c r="U566" i="10"/>
  <c r="T566" i="10" s="1"/>
  <c r="M621" i="10"/>
  <c r="G122" i="10"/>
  <c r="M577" i="10"/>
  <c r="O456" i="10"/>
  <c r="U46" i="10"/>
  <c r="T46" i="10" s="1"/>
  <c r="M843" i="10"/>
  <c r="M582" i="10"/>
  <c r="Q843" i="10"/>
  <c r="K621" i="10"/>
  <c r="M764" i="10"/>
  <c r="O313" i="10"/>
  <c r="E122" i="10"/>
  <c r="O577" i="10"/>
  <c r="S519" i="10"/>
  <c r="U875" i="10"/>
  <c r="T875" i="10" s="1"/>
  <c r="S456" i="10"/>
  <c r="K601" i="10"/>
  <c r="I621" i="10"/>
  <c r="Q764" i="10"/>
  <c r="Q840" i="10"/>
  <c r="M513" i="10"/>
  <c r="I122" i="10"/>
  <c r="S577" i="10"/>
  <c r="U162" i="10"/>
  <c r="T162" i="10" s="1"/>
  <c r="U186" i="10"/>
  <c r="T186" i="10" s="1"/>
  <c r="U88" i="10"/>
  <c r="T88" i="10" s="1"/>
  <c r="G513" i="10"/>
  <c r="I601" i="10"/>
  <c r="E764" i="10"/>
  <c r="S840" i="10"/>
  <c r="I513" i="10"/>
  <c r="U761" i="10"/>
  <c r="T761" i="10" s="1"/>
  <c r="G876" i="10"/>
  <c r="G764" i="10"/>
  <c r="I876" i="10"/>
  <c r="I51" i="10"/>
  <c r="U501" i="10"/>
  <c r="T501" i="10" s="1"/>
  <c r="G840" i="10"/>
  <c r="G651" i="10"/>
  <c r="I764" i="10"/>
  <c r="M876" i="10"/>
  <c r="U375" i="10"/>
  <c r="T375" i="10" s="1"/>
  <c r="I667" i="10"/>
  <c r="U185" i="10"/>
  <c r="T185" i="10" s="1"/>
  <c r="S843" i="10"/>
  <c r="M601" i="10"/>
  <c r="M651" i="10"/>
  <c r="I651" i="10"/>
  <c r="O651" i="10"/>
  <c r="K764" i="10"/>
  <c r="K876" i="10"/>
  <c r="I828" i="10"/>
  <c r="M929" i="10"/>
  <c r="U195" i="10"/>
  <c r="T195" i="10" s="1"/>
  <c r="U396" i="10"/>
  <c r="T396" i="10" s="1"/>
  <c r="U569" i="10"/>
  <c r="T569" i="10" s="1"/>
  <c r="Q582" i="10"/>
  <c r="S173" i="10"/>
  <c r="O764" i="10"/>
  <c r="K694" i="10"/>
  <c r="U669" i="10"/>
  <c r="T669" i="10" s="1"/>
  <c r="U157" i="10"/>
  <c r="T157" i="10" s="1"/>
  <c r="U207" i="10"/>
  <c r="T207" i="10" s="1"/>
  <c r="U309" i="10"/>
  <c r="T309" i="10" s="1"/>
  <c r="U741" i="10"/>
  <c r="T741" i="10" s="1"/>
  <c r="U530" i="10"/>
  <c r="T530" i="10" s="1"/>
  <c r="U809" i="10"/>
  <c r="T809" i="10" s="1"/>
  <c r="U670" i="10"/>
  <c r="T670" i="10" s="1"/>
  <c r="U604" i="10"/>
  <c r="T604" i="10" s="1"/>
  <c r="U318" i="10"/>
  <c r="T318" i="10" s="1"/>
  <c r="U36" i="10"/>
  <c r="T36" i="10" s="1"/>
  <c r="U116" i="10"/>
  <c r="T116" i="10" s="1"/>
  <c r="U299" i="10"/>
  <c r="T299" i="10" s="1"/>
  <c r="U202" i="10"/>
  <c r="T202" i="10" s="1"/>
  <c r="U269" i="10"/>
  <c r="T269" i="10" s="1"/>
  <c r="U247" i="10"/>
  <c r="T247" i="10" s="1"/>
  <c r="U614" i="10"/>
  <c r="T614" i="10" s="1"/>
  <c r="U412" i="10"/>
  <c r="T412" i="10" s="1"/>
  <c r="U511" i="10"/>
  <c r="T511" i="10" s="1"/>
  <c r="U123" i="10"/>
  <c r="T123" i="10" s="1"/>
  <c r="U481" i="10"/>
  <c r="T481" i="10" s="1"/>
  <c r="U237" i="10"/>
  <c r="T237" i="10" s="1"/>
  <c r="U84" i="10"/>
  <c r="T84" i="10" s="1"/>
  <c r="U175" i="10"/>
  <c r="T175" i="10" s="1"/>
  <c r="U236" i="10"/>
  <c r="T236" i="10" s="1"/>
  <c r="S130" i="10"/>
  <c r="Q130" i="10"/>
  <c r="O130" i="10"/>
  <c r="M130" i="10"/>
  <c r="I130" i="10"/>
  <c r="K130" i="10"/>
  <c r="E130" i="10"/>
  <c r="G130" i="10"/>
  <c r="M837" i="10"/>
  <c r="K837" i="10"/>
  <c r="G837" i="10"/>
  <c r="E837" i="10"/>
  <c r="Q837" i="10"/>
  <c r="S837" i="10"/>
  <c r="O837" i="10"/>
  <c r="I837" i="10"/>
  <c r="M818" i="10"/>
  <c r="E818" i="10"/>
  <c r="I818" i="10"/>
  <c r="G818" i="10"/>
  <c r="K818" i="10"/>
  <c r="S818" i="10"/>
  <c r="Q818" i="10"/>
  <c r="O818" i="10"/>
  <c r="I823" i="10"/>
  <c r="K73" i="10"/>
  <c r="G581" i="10"/>
  <c r="K441" i="10"/>
  <c r="K332" i="10"/>
  <c r="G327" i="10"/>
  <c r="U716" i="10"/>
  <c r="T716" i="10" s="1"/>
  <c r="I327" i="10"/>
  <c r="U578" i="10"/>
  <c r="T578" i="10" s="1"/>
  <c r="U624" i="10"/>
  <c r="T624" i="10" s="1"/>
  <c r="U588" i="10"/>
  <c r="T588" i="10" s="1"/>
  <c r="G132" i="10"/>
  <c r="M132" i="10"/>
  <c r="I132" i="10"/>
  <c r="O132" i="10"/>
  <c r="M839" i="10"/>
  <c r="K839" i="10"/>
  <c r="I839" i="10"/>
  <c r="G839" i="10"/>
  <c r="E839" i="10"/>
  <c r="S839" i="10"/>
  <c r="Q839" i="10"/>
  <c r="O839" i="10"/>
  <c r="I354" i="10"/>
  <c r="M857" i="10"/>
  <c r="G354" i="10"/>
  <c r="Q725" i="10"/>
  <c r="S725" i="10"/>
  <c r="Q73" i="10"/>
  <c r="K581" i="10"/>
  <c r="U664" i="10"/>
  <c r="T664" i="10" s="1"/>
  <c r="M885" i="10"/>
  <c r="U856" i="10"/>
  <c r="T856" i="10" s="1"/>
  <c r="I441" i="10"/>
  <c r="E448" i="10"/>
  <c r="U119" i="10"/>
  <c r="T119" i="10" s="1"/>
  <c r="U737" i="10"/>
  <c r="T737" i="10" s="1"/>
  <c r="S793" i="10"/>
  <c r="O793" i="10"/>
  <c r="Q793" i="10"/>
  <c r="K793" i="10"/>
  <c r="M793" i="10"/>
  <c r="E793" i="10"/>
  <c r="G793" i="10"/>
  <c r="I793" i="10"/>
  <c r="O354" i="10"/>
  <c r="E73" i="10"/>
  <c r="E725" i="10"/>
  <c r="O73" i="10"/>
  <c r="I581" i="10"/>
  <c r="U425" i="10"/>
  <c r="T425" i="10" s="1"/>
  <c r="Q885" i="10"/>
  <c r="K448" i="10"/>
  <c r="S167" i="10"/>
  <c r="O167" i="10"/>
  <c r="I167" i="10"/>
  <c r="M167" i="10"/>
  <c r="K167" i="10"/>
  <c r="Q167" i="10"/>
  <c r="G167" i="10"/>
  <c r="E167" i="10"/>
  <c r="E885" i="10"/>
  <c r="I448" i="10"/>
  <c r="G845" i="10"/>
  <c r="S845" i="10"/>
  <c r="Q845" i="10"/>
  <c r="O845" i="10"/>
  <c r="M845" i="10"/>
  <c r="I845" i="10"/>
  <c r="E845" i="10"/>
  <c r="K845" i="10"/>
  <c r="K31" i="10"/>
  <c r="M31" i="10"/>
  <c r="K74" i="10"/>
  <c r="G74" i="10"/>
  <c r="O74" i="10"/>
  <c r="I74" i="10"/>
  <c r="E456" i="10"/>
  <c r="M456" i="10"/>
  <c r="Q456" i="10"/>
  <c r="S522" i="10"/>
  <c r="G522" i="10"/>
  <c r="O522" i="10"/>
  <c r="E354" i="10"/>
  <c r="O857" i="10"/>
  <c r="S354" i="10"/>
  <c r="G725" i="10"/>
  <c r="O581" i="10"/>
  <c r="S324" i="10"/>
  <c r="S332" i="10"/>
  <c r="O327" i="10"/>
  <c r="U153" i="10"/>
  <c r="T153" i="10" s="1"/>
  <c r="M448" i="10"/>
  <c r="M472" i="10"/>
  <c r="I182" i="10"/>
  <c r="U258" i="10"/>
  <c r="T258" i="10" s="1"/>
  <c r="I847" i="10"/>
  <c r="E847" i="10"/>
  <c r="Q526" i="10"/>
  <c r="I526" i="10"/>
  <c r="G526" i="10"/>
  <c r="E526" i="10"/>
  <c r="S526" i="10"/>
  <c r="O526" i="10"/>
  <c r="M526" i="10"/>
  <c r="K526" i="10"/>
  <c r="G857" i="10"/>
  <c r="Q354" i="10"/>
  <c r="I725" i="10"/>
  <c r="U319" i="10"/>
  <c r="T319" i="10" s="1"/>
  <c r="S327" i="10"/>
  <c r="S108" i="10"/>
  <c r="O448" i="10"/>
  <c r="O472" i="10"/>
  <c r="K182" i="10"/>
  <c r="U409" i="10"/>
  <c r="T409" i="10" s="1"/>
  <c r="U367" i="10"/>
  <c r="T367" i="10" s="1"/>
  <c r="G472" i="10"/>
  <c r="O802" i="10"/>
  <c r="G555" i="10"/>
  <c r="K460" i="10"/>
  <c r="G460" i="10"/>
  <c r="O653" i="10"/>
  <c r="M653" i="10"/>
  <c r="K653" i="10"/>
  <c r="I653" i="10"/>
  <c r="G653" i="10"/>
  <c r="E653" i="10"/>
  <c r="S653" i="10"/>
  <c r="Q653" i="10"/>
  <c r="I528" i="10"/>
  <c r="E528" i="10"/>
  <c r="S73" i="10"/>
  <c r="K354" i="10"/>
  <c r="M725" i="10"/>
  <c r="M281" i="10"/>
  <c r="Q388" i="10"/>
  <c r="U78" i="10"/>
  <c r="T78" i="10" s="1"/>
  <c r="S448" i="10"/>
  <c r="Q472" i="10"/>
  <c r="M182" i="10"/>
  <c r="I472" i="10"/>
  <c r="E555" i="10"/>
  <c r="Q112" i="10"/>
  <c r="M112" i="10"/>
  <c r="O112" i="10"/>
  <c r="I112" i="10"/>
  <c r="G112" i="10"/>
  <c r="E112" i="10"/>
  <c r="K112" i="10"/>
  <c r="S112" i="10"/>
  <c r="O865" i="10"/>
  <c r="G865" i="10"/>
  <c r="E865" i="10"/>
  <c r="M865" i="10"/>
  <c r="I865" i="10"/>
  <c r="O436" i="10"/>
  <c r="G436" i="10"/>
  <c r="O462" i="10"/>
  <c r="I462" i="10"/>
  <c r="S685" i="10"/>
  <c r="K685" i="10"/>
  <c r="O685" i="10"/>
  <c r="Q685" i="10"/>
  <c r="M685" i="10"/>
  <c r="I685" i="10"/>
  <c r="E685" i="10"/>
  <c r="G685" i="10"/>
  <c r="S532" i="10"/>
  <c r="Q532" i="10"/>
  <c r="O532" i="10"/>
  <c r="M532" i="10"/>
  <c r="I532" i="10"/>
  <c r="K532" i="10"/>
  <c r="G532" i="10"/>
  <c r="E532" i="10"/>
  <c r="K725" i="10"/>
  <c r="Q241" i="10"/>
  <c r="M430" i="10"/>
  <c r="G448" i="10"/>
  <c r="S472" i="10"/>
  <c r="O182" i="10"/>
  <c r="E840" i="10"/>
  <c r="S253" i="10"/>
  <c r="Q253" i="10"/>
  <c r="O253" i="10"/>
  <c r="I253" i="10"/>
  <c r="M253" i="10"/>
  <c r="K253" i="10"/>
  <c r="E253" i="10"/>
  <c r="G253" i="10"/>
  <c r="K438" i="10"/>
  <c r="O438" i="10"/>
  <c r="M438" i="10"/>
  <c r="Q695" i="10"/>
  <c r="M695" i="10"/>
  <c r="K695" i="10"/>
  <c r="I695" i="10"/>
  <c r="G695" i="10"/>
  <c r="E695" i="10"/>
  <c r="I534" i="10"/>
  <c r="M534" i="10"/>
  <c r="G534" i="10"/>
  <c r="O534" i="10"/>
  <c r="Q534" i="10"/>
  <c r="S534" i="10"/>
  <c r="E823" i="10"/>
  <c r="O441" i="10"/>
  <c r="E472" i="10"/>
  <c r="I840" i="10"/>
  <c r="G717" i="10"/>
  <c r="E717" i="10"/>
  <c r="I896" i="10"/>
  <c r="O896" i="10"/>
  <c r="K896" i="10"/>
  <c r="G896" i="10"/>
  <c r="E896" i="10"/>
  <c r="S896" i="10"/>
  <c r="Q896" i="10"/>
  <c r="M896" i="10"/>
  <c r="M823" i="10"/>
  <c r="M581" i="10"/>
  <c r="M270" i="10"/>
  <c r="O823" i="10"/>
  <c r="G73" i="10"/>
  <c r="Q581" i="10"/>
  <c r="Q441" i="10"/>
  <c r="K840" i="10"/>
  <c r="U648" i="10"/>
  <c r="T648" i="10" s="1"/>
  <c r="I31" i="10"/>
  <c r="E124" i="10"/>
  <c r="Q124" i="10"/>
  <c r="O124" i="10"/>
  <c r="S124" i="10"/>
  <c r="M124" i="10"/>
  <c r="K124" i="10"/>
  <c r="I124" i="10"/>
  <c r="G124" i="10"/>
  <c r="E20" i="10"/>
  <c r="S20" i="10"/>
  <c r="M20" i="10"/>
  <c r="Q20" i="10"/>
  <c r="O20" i="10"/>
  <c r="I20" i="10"/>
  <c r="K20" i="10"/>
  <c r="G20" i="10"/>
  <c r="Q719" i="10"/>
  <c r="G719" i="10"/>
  <c r="I719" i="10"/>
  <c r="O719" i="10"/>
  <c r="S719" i="10"/>
  <c r="M719" i="10"/>
  <c r="K719" i="10"/>
  <c r="E719" i="10"/>
  <c r="S857" i="10"/>
  <c r="I857" i="10"/>
  <c r="O840" i="10"/>
  <c r="S126" i="10"/>
  <c r="Q126" i="10"/>
  <c r="M126" i="10"/>
  <c r="O126" i="10"/>
  <c r="E126" i="10"/>
  <c r="K126" i="10"/>
  <c r="I126" i="10"/>
  <c r="G126" i="10"/>
  <c r="Q470" i="10"/>
  <c r="M470" i="10"/>
  <c r="K470" i="10"/>
  <c r="I723" i="10"/>
  <c r="M723" i="10"/>
  <c r="Q723" i="10"/>
  <c r="K723" i="10"/>
  <c r="G723" i="10"/>
  <c r="U18" i="10"/>
  <c r="T18" i="10" s="1"/>
  <c r="I14" i="10"/>
  <c r="G14" i="10"/>
  <c r="M14" i="10"/>
  <c r="E14" i="10"/>
  <c r="S14" i="10"/>
  <c r="Q14" i="10"/>
  <c r="O14" i="10"/>
  <c r="K14" i="10"/>
  <c r="U502" i="10"/>
  <c r="T502" i="10" s="1"/>
  <c r="U192" i="10"/>
  <c r="T192" i="10" s="1"/>
  <c r="U89" i="10"/>
  <c r="T89" i="10" s="1"/>
  <c r="U499" i="10"/>
  <c r="T499" i="10" s="1"/>
  <c r="U109" i="10"/>
  <c r="T109" i="10" s="1"/>
  <c r="U706" i="10"/>
  <c r="T706" i="10" s="1"/>
  <c r="U292" i="10"/>
  <c r="T292" i="10" s="1"/>
  <c r="U228" i="10"/>
  <c r="T228" i="10" s="1"/>
  <c r="U527" i="10"/>
  <c r="T527" i="10" s="1"/>
  <c r="G763" i="10"/>
  <c r="S763" i="10"/>
  <c r="O763" i="10"/>
  <c r="E763" i="10"/>
  <c r="I763" i="10"/>
  <c r="Q763" i="10"/>
  <c r="M763" i="10"/>
  <c r="K763" i="10"/>
  <c r="I407" i="10"/>
  <c r="K407" i="10"/>
  <c r="G407" i="10"/>
  <c r="E407" i="10"/>
  <c r="S407" i="10"/>
  <c r="Q407" i="10"/>
  <c r="O407" i="10"/>
  <c r="M407" i="10"/>
  <c r="S631" i="10"/>
  <c r="M631" i="10"/>
  <c r="I631" i="10"/>
  <c r="G631" i="10"/>
  <c r="Q631" i="10"/>
  <c r="O631" i="10"/>
  <c r="K631" i="10"/>
  <c r="E631" i="10"/>
  <c r="G677" i="10"/>
  <c r="Q677" i="10"/>
  <c r="I677" i="10"/>
  <c r="O677" i="10"/>
  <c r="S677" i="10"/>
  <c r="M677" i="10"/>
  <c r="K677" i="10"/>
  <c r="E677" i="10"/>
  <c r="S455" i="10"/>
  <c r="I872" i="10"/>
  <c r="O745" i="10"/>
  <c r="S866" i="10"/>
  <c r="Q428" i="10"/>
  <c r="I90" i="10"/>
  <c r="Q871" i="10"/>
  <c r="U307" i="10"/>
  <c r="T307" i="10" s="1"/>
  <c r="S323" i="10"/>
  <c r="S214" i="10"/>
  <c r="O595" i="10"/>
  <c r="E595" i="10"/>
  <c r="S595" i="10"/>
  <c r="Q595" i="10"/>
  <c r="M595" i="10"/>
  <c r="I595" i="10"/>
  <c r="K595" i="10"/>
  <c r="G595" i="10"/>
  <c r="I53" i="10"/>
  <c r="M53" i="10"/>
  <c r="K53" i="10"/>
  <c r="G53" i="10"/>
  <c r="E53" i="10"/>
  <c r="S53" i="10"/>
  <c r="O53" i="10"/>
  <c r="Q53" i="10"/>
  <c r="S688" i="10"/>
  <c r="E688" i="10"/>
  <c r="O688" i="10"/>
  <c r="S887" i="10"/>
  <c r="Q887" i="10"/>
  <c r="K804" i="10"/>
  <c r="I804" i="10"/>
  <c r="O804" i="10"/>
  <c r="M804" i="10"/>
  <c r="E804" i="10"/>
  <c r="I751" i="10"/>
  <c r="G866" i="10"/>
  <c r="S51" i="10"/>
  <c r="K90" i="10"/>
  <c r="S873" i="10"/>
  <c r="K306" i="10"/>
  <c r="S134" i="10"/>
  <c r="G134" i="10"/>
  <c r="M681" i="10"/>
  <c r="Q681" i="10"/>
  <c r="O681" i="10"/>
  <c r="I681" i="10"/>
  <c r="K681" i="10"/>
  <c r="G681" i="10"/>
  <c r="E681" i="10"/>
  <c r="S681" i="10"/>
  <c r="S806" i="10"/>
  <c r="I806" i="10"/>
  <c r="M806" i="10"/>
  <c r="E806" i="10"/>
  <c r="G806" i="10"/>
  <c r="K806" i="10"/>
  <c r="Q806" i="10"/>
  <c r="O806" i="10"/>
  <c r="E866" i="10"/>
  <c r="S743" i="10"/>
  <c r="M872" i="10"/>
  <c r="M90" i="10"/>
  <c r="K703" i="10"/>
  <c r="O306" i="10"/>
  <c r="S136" i="10"/>
  <c r="O136" i="10"/>
  <c r="M136" i="10"/>
  <c r="G136" i="10"/>
  <c r="E136" i="10"/>
  <c r="Q136" i="10"/>
  <c r="I136" i="10"/>
  <c r="K136" i="10"/>
  <c r="O692" i="10"/>
  <c r="K692" i="10"/>
  <c r="I692" i="10"/>
  <c r="E692" i="10"/>
  <c r="G692" i="10"/>
  <c r="S692" i="10"/>
  <c r="Q692" i="10"/>
  <c r="M692" i="10"/>
  <c r="O106" i="10"/>
  <c r="I106" i="10"/>
  <c r="K607" i="10"/>
  <c r="S607" i="10"/>
  <c r="Q607" i="10"/>
  <c r="M607" i="10"/>
  <c r="O607" i="10"/>
  <c r="E607" i="10"/>
  <c r="G607" i="10"/>
  <c r="I607" i="10"/>
  <c r="Q641" i="10"/>
  <c r="O641" i="10"/>
  <c r="I641" i="10"/>
  <c r="G641" i="10"/>
  <c r="S641" i="10"/>
  <c r="M641" i="10"/>
  <c r="K641" i="10"/>
  <c r="E641" i="10"/>
  <c r="I683" i="10"/>
  <c r="S683" i="10"/>
  <c r="O683" i="10"/>
  <c r="M683" i="10"/>
  <c r="Q683" i="10"/>
  <c r="K683" i="10"/>
  <c r="G683" i="10"/>
  <c r="E683" i="10"/>
  <c r="Q866" i="10"/>
  <c r="S872" i="10"/>
  <c r="E743" i="10"/>
  <c r="G872" i="10"/>
  <c r="O90" i="10"/>
  <c r="O703" i="10"/>
  <c r="I345" i="10"/>
  <c r="G306" i="10"/>
  <c r="U477" i="10"/>
  <c r="T477" i="10" s="1"/>
  <c r="U183" i="10"/>
  <c r="T183" i="10" s="1"/>
  <c r="U194" i="10"/>
  <c r="T194" i="10" s="1"/>
  <c r="I201" i="10"/>
  <c r="G201" i="10"/>
  <c r="O201" i="10"/>
  <c r="S609" i="10"/>
  <c r="O609" i="10"/>
  <c r="K609" i="10"/>
  <c r="G609" i="10"/>
  <c r="Q609" i="10"/>
  <c r="M609" i="10"/>
  <c r="I609" i="10"/>
  <c r="E609" i="10"/>
  <c r="O643" i="10"/>
  <c r="M643" i="10"/>
  <c r="K643" i="10"/>
  <c r="G643" i="10"/>
  <c r="I643" i="10"/>
  <c r="E687" i="10"/>
  <c r="S687" i="10"/>
  <c r="I687" i="10"/>
  <c r="G687" i="10"/>
  <c r="Q687" i="10"/>
  <c r="O687" i="10"/>
  <c r="M687" i="10"/>
  <c r="K687" i="10"/>
  <c r="K816" i="10"/>
  <c r="M816" i="10"/>
  <c r="E816" i="10"/>
  <c r="I816" i="10"/>
  <c r="G816" i="10"/>
  <c r="Q816" i="10"/>
  <c r="S816" i="10"/>
  <c r="O816" i="10"/>
  <c r="Q455" i="10"/>
  <c r="S90" i="10"/>
  <c r="S703" i="10"/>
  <c r="K345" i="10"/>
  <c r="I306" i="10"/>
  <c r="U196" i="10"/>
  <c r="T196" i="10" s="1"/>
  <c r="U660" i="10"/>
  <c r="T660" i="10" s="1"/>
  <c r="U335" i="10"/>
  <c r="T335" i="10" s="1"/>
  <c r="U540" i="10"/>
  <c r="T540" i="10" s="1"/>
  <c r="I802" i="10"/>
  <c r="S140" i="10"/>
  <c r="O140" i="10"/>
  <c r="M140" i="10"/>
  <c r="Q140" i="10"/>
  <c r="I140" i="10"/>
  <c r="G140" i="10"/>
  <c r="K140" i="10"/>
  <c r="E140" i="10"/>
  <c r="S930" i="10"/>
  <c r="G930" i="10"/>
  <c r="S746" i="10"/>
  <c r="Q746" i="10"/>
  <c r="M746" i="10"/>
  <c r="K746" i="10"/>
  <c r="O746" i="10"/>
  <c r="G746" i="10"/>
  <c r="E746" i="10"/>
  <c r="I746" i="10"/>
  <c r="M557" i="10"/>
  <c r="G557" i="10"/>
  <c r="Q557" i="10"/>
  <c r="K557" i="10"/>
  <c r="E557" i="10"/>
  <c r="S645" i="10"/>
  <c r="O645" i="10"/>
  <c r="M645" i="10"/>
  <c r="G645" i="10"/>
  <c r="K645" i="10"/>
  <c r="E645" i="10"/>
  <c r="I645" i="10"/>
  <c r="Q645" i="10"/>
  <c r="E834" i="10"/>
  <c r="M834" i="10"/>
  <c r="G743" i="10"/>
  <c r="I743" i="10"/>
  <c r="O264" i="10"/>
  <c r="Q703" i="10"/>
  <c r="M345" i="10"/>
  <c r="M306" i="10"/>
  <c r="M680" i="10"/>
  <c r="U43" i="10"/>
  <c r="T43" i="10" s="1"/>
  <c r="G885" i="10"/>
  <c r="O142" i="10"/>
  <c r="I142" i="10"/>
  <c r="E142" i="10"/>
  <c r="M142" i="10"/>
  <c r="K142" i="10"/>
  <c r="G142" i="10"/>
  <c r="Q142" i="10"/>
  <c r="S142" i="10"/>
  <c r="E561" i="10"/>
  <c r="Q561" i="10"/>
  <c r="I561" i="10"/>
  <c r="M561" i="10"/>
  <c r="G561" i="10"/>
  <c r="M613" i="10"/>
  <c r="I613" i="10"/>
  <c r="E613" i="10"/>
  <c r="Q613" i="10"/>
  <c r="K613" i="10"/>
  <c r="G613" i="10"/>
  <c r="Q655" i="10"/>
  <c r="E655" i="10"/>
  <c r="K655" i="10"/>
  <c r="G655" i="10"/>
  <c r="K743" i="10"/>
  <c r="Q280" i="10"/>
  <c r="K866" i="10"/>
  <c r="M703" i="10"/>
  <c r="O345" i="10"/>
  <c r="S306" i="10"/>
  <c r="I885" i="10"/>
  <c r="Q211" i="10"/>
  <c r="O211" i="10"/>
  <c r="M211" i="10"/>
  <c r="K211" i="10"/>
  <c r="G144" i="10"/>
  <c r="K144" i="10"/>
  <c r="E144" i="10"/>
  <c r="I144" i="10"/>
  <c r="Q563" i="10"/>
  <c r="O563" i="10"/>
  <c r="M563" i="10"/>
  <c r="K563" i="10"/>
  <c r="I563" i="10"/>
  <c r="G563" i="10"/>
  <c r="E563" i="10"/>
  <c r="S563" i="10"/>
  <c r="Q657" i="10"/>
  <c r="S657" i="10"/>
  <c r="O657" i="10"/>
  <c r="I657" i="10"/>
  <c r="K657" i="10"/>
  <c r="G657" i="10"/>
  <c r="E657" i="10"/>
  <c r="M657" i="10"/>
  <c r="E772" i="10"/>
  <c r="O772" i="10"/>
  <c r="G772" i="10"/>
  <c r="Q772" i="10"/>
  <c r="K772" i="10"/>
  <c r="I772" i="10"/>
  <c r="M772" i="10"/>
  <c r="S772" i="10"/>
  <c r="U384" i="10"/>
  <c r="T384" i="10" s="1"/>
  <c r="Q743" i="10"/>
  <c r="M866" i="10"/>
  <c r="G703" i="10"/>
  <c r="Q345" i="10"/>
  <c r="Q306" i="10"/>
  <c r="I388" i="10"/>
  <c r="G802" i="10"/>
  <c r="O885" i="10"/>
  <c r="E59" i="10"/>
  <c r="G59" i="10"/>
  <c r="Q819" i="10"/>
  <c r="M819" i="10"/>
  <c r="I819" i="10"/>
  <c r="E819" i="10"/>
  <c r="K819" i="10"/>
  <c r="G819" i="10"/>
  <c r="O819" i="10"/>
  <c r="S819" i="10"/>
  <c r="I222" i="10"/>
  <c r="O222" i="10"/>
  <c r="S766" i="10"/>
  <c r="Q766" i="10"/>
  <c r="O766" i="10"/>
  <c r="M766" i="10"/>
  <c r="I766" i="10"/>
  <c r="E766" i="10"/>
  <c r="K766" i="10"/>
  <c r="G766" i="10"/>
  <c r="Q617" i="10"/>
  <c r="G617" i="10"/>
  <c r="E617" i="10"/>
  <c r="S617" i="10"/>
  <c r="O617" i="10"/>
  <c r="K617" i="10"/>
  <c r="M617" i="10"/>
  <c r="I617" i="10"/>
  <c r="M774" i="10"/>
  <c r="G774" i="10"/>
  <c r="O774" i="10"/>
  <c r="I703" i="10"/>
  <c r="I42" i="10"/>
  <c r="E802" i="10"/>
  <c r="S885" i="10"/>
  <c r="S67" i="10"/>
  <c r="O67" i="10"/>
  <c r="K67" i="10"/>
  <c r="I67" i="10"/>
  <c r="M67" i="10"/>
  <c r="Q67" i="10"/>
  <c r="G67" i="10"/>
  <c r="E67" i="10"/>
  <c r="O920" i="10"/>
  <c r="S920" i="10"/>
  <c r="Q770" i="10"/>
  <c r="K770" i="10"/>
  <c r="E770" i="10"/>
  <c r="G770" i="10"/>
  <c r="S770" i="10"/>
  <c r="O770" i="10"/>
  <c r="M770" i="10"/>
  <c r="I770" i="10"/>
  <c r="E573" i="10"/>
  <c r="K573" i="10"/>
  <c r="G573" i="10"/>
  <c r="S573" i="10"/>
  <c r="O573" i="10"/>
  <c r="M573" i="10"/>
  <c r="I573" i="10"/>
  <c r="Q573" i="10"/>
  <c r="G619" i="10"/>
  <c r="O619" i="10"/>
  <c r="E619" i="10"/>
  <c r="Q619" i="10"/>
  <c r="S619" i="10"/>
  <c r="M619" i="10"/>
  <c r="K619" i="10"/>
  <c r="I619" i="10"/>
  <c r="I663" i="10"/>
  <c r="E663" i="10"/>
  <c r="G663" i="10"/>
  <c r="S663" i="10"/>
  <c r="Q663" i="10"/>
  <c r="O663" i="10"/>
  <c r="M663" i="10"/>
  <c r="K663" i="10"/>
  <c r="Q782" i="10"/>
  <c r="O782" i="10"/>
  <c r="M782" i="10"/>
  <c r="K802" i="10"/>
  <c r="M802" i="10"/>
  <c r="K55" i="10"/>
  <c r="Q55" i="10"/>
  <c r="O55" i="10"/>
  <c r="G55" i="10"/>
  <c r="I55" i="10"/>
  <c r="E55" i="10"/>
  <c r="M55" i="10"/>
  <c r="S55" i="10"/>
  <c r="K922" i="10"/>
  <c r="S922" i="10"/>
  <c r="O922" i="10"/>
  <c r="Q922" i="10"/>
  <c r="M922" i="10"/>
  <c r="I922" i="10"/>
  <c r="E922" i="10"/>
  <c r="G922" i="10"/>
  <c r="K879" i="10"/>
  <c r="M879" i="10"/>
  <c r="I879" i="10"/>
  <c r="E879" i="10"/>
  <c r="G879" i="10"/>
  <c r="S879" i="10"/>
  <c r="Q879" i="10"/>
  <c r="O879" i="10"/>
  <c r="E667" i="10"/>
  <c r="G667" i="10"/>
  <c r="S667" i="10"/>
  <c r="M667" i="10"/>
  <c r="Q667" i="10"/>
  <c r="K667" i="10"/>
  <c r="I792" i="10"/>
  <c r="S792" i="10"/>
  <c r="G792" i="10"/>
  <c r="U92" i="10"/>
  <c r="T92" i="10" s="1"/>
  <c r="S802" i="10"/>
  <c r="U115" i="10"/>
  <c r="T115" i="10" s="1"/>
  <c r="U45" i="10"/>
  <c r="T45" i="10" s="1"/>
  <c r="U233" i="10"/>
  <c r="T233" i="10" s="1"/>
  <c r="U287" i="10"/>
  <c r="T287" i="10" s="1"/>
  <c r="U360" i="10"/>
  <c r="T360" i="10" s="1"/>
  <c r="U453" i="10"/>
  <c r="T453" i="10" s="1"/>
  <c r="U149" i="10"/>
  <c r="T149" i="10" s="1"/>
  <c r="U263" i="10"/>
  <c r="T263" i="10" s="1"/>
  <c r="U848" i="10"/>
  <c r="T848" i="10" s="1"/>
  <c r="U158" i="10"/>
  <c r="T158" i="10" s="1"/>
  <c r="U423" i="10"/>
  <c r="T423" i="10" s="1"/>
  <c r="S234" i="10"/>
  <c r="I234" i="10"/>
  <c r="E234" i="10"/>
  <c r="G234" i="10"/>
  <c r="Q234" i="10"/>
  <c r="O234" i="10"/>
  <c r="M234" i="10"/>
  <c r="K234" i="10"/>
  <c r="G579" i="10"/>
  <c r="O579" i="10"/>
  <c r="K579" i="10"/>
  <c r="E579" i="10"/>
  <c r="Q579" i="10"/>
  <c r="M579" i="10"/>
  <c r="I579" i="10"/>
  <c r="M627" i="10"/>
  <c r="G627" i="10"/>
  <c r="S627" i="10"/>
  <c r="Q627" i="10"/>
  <c r="O627" i="10"/>
  <c r="K627" i="10"/>
  <c r="I627" i="10"/>
  <c r="E627" i="10"/>
  <c r="G671" i="10"/>
  <c r="O671" i="10"/>
  <c r="Q671" i="10"/>
  <c r="M7" i="10"/>
  <c r="S7" i="10"/>
  <c r="I7" i="10"/>
  <c r="O7" i="10"/>
  <c r="E7" i="10"/>
  <c r="G7" i="10"/>
  <c r="K7" i="10"/>
  <c r="S317" i="10"/>
  <c r="E447" i="10"/>
  <c r="M241" i="10"/>
  <c r="I585" i="10"/>
  <c r="M805" i="10"/>
  <c r="G556" i="10"/>
  <c r="E317" i="10"/>
  <c r="U343" i="10"/>
  <c r="T343" i="10" s="1"/>
  <c r="U475" i="10"/>
  <c r="T475" i="10" s="1"/>
  <c r="U291" i="10"/>
  <c r="T291" i="10" s="1"/>
  <c r="U47" i="10"/>
  <c r="T47" i="10" s="1"/>
  <c r="U177" i="10"/>
  <c r="T177" i="10" s="1"/>
  <c r="U842" i="10"/>
  <c r="T842" i="10" s="1"/>
  <c r="U544" i="10"/>
  <c r="T544" i="10" s="1"/>
  <c r="S494" i="10"/>
  <c r="Q494" i="10"/>
  <c r="M494" i="10"/>
  <c r="K494" i="10"/>
  <c r="O494" i="10"/>
  <c r="E494" i="10"/>
  <c r="I494" i="10"/>
  <c r="G494" i="10"/>
  <c r="S439" i="10"/>
  <c r="M439" i="10"/>
  <c r="O439" i="10"/>
  <c r="K439" i="10"/>
  <c r="Q439" i="10"/>
  <c r="I439" i="10"/>
  <c r="E439" i="10"/>
  <c r="G439" i="10"/>
  <c r="S257" i="10"/>
  <c r="O257" i="10"/>
  <c r="M257" i="10"/>
  <c r="K257" i="10"/>
  <c r="I257" i="10"/>
  <c r="G257" i="10"/>
  <c r="E257" i="10"/>
  <c r="Q257" i="10"/>
  <c r="O63" i="10"/>
  <c r="K63" i="10"/>
  <c r="E63" i="10"/>
  <c r="I63" i="10"/>
  <c r="M63" i="10"/>
  <c r="G63" i="10"/>
  <c r="S63" i="10"/>
  <c r="Q63" i="10"/>
  <c r="S321" i="10"/>
  <c r="O321" i="10"/>
  <c r="G321" i="10"/>
  <c r="E321" i="10"/>
  <c r="Q321" i="10"/>
  <c r="K321" i="10"/>
  <c r="I321" i="10"/>
  <c r="M321" i="10"/>
  <c r="I447" i="10"/>
  <c r="O241" i="10"/>
  <c r="O585" i="10"/>
  <c r="Q261" i="10"/>
  <c r="G678" i="10"/>
  <c r="I556" i="10"/>
  <c r="M317" i="10"/>
  <c r="K517" i="10"/>
  <c r="U32" i="10"/>
  <c r="T32" i="10" s="1"/>
  <c r="U855" i="10"/>
  <c r="T855" i="10" s="1"/>
  <c r="U351" i="10"/>
  <c r="T351" i="10" s="1"/>
  <c r="U293" i="10"/>
  <c r="T293" i="10" s="1"/>
  <c r="S554" i="10"/>
  <c r="K554" i="10"/>
  <c r="I554" i="10"/>
  <c r="G554" i="10"/>
  <c r="Q554" i="10"/>
  <c r="M554" i="10"/>
  <c r="O554" i="10"/>
  <c r="E554" i="10"/>
  <c r="M441" i="10"/>
  <c r="G441" i="10"/>
  <c r="E441" i="10"/>
  <c r="E910" i="10"/>
  <c r="G910" i="10"/>
  <c r="S910" i="10"/>
  <c r="K910" i="10"/>
  <c r="M910" i="10"/>
  <c r="I910" i="10"/>
  <c r="Q910" i="10"/>
  <c r="O910" i="10"/>
  <c r="U297" i="10"/>
  <c r="T297" i="10" s="1"/>
  <c r="U273" i="10"/>
  <c r="T273" i="10" s="1"/>
  <c r="O323" i="10"/>
  <c r="K323" i="10"/>
  <c r="M585" i="10"/>
  <c r="I914" i="10"/>
  <c r="I323" i="10"/>
  <c r="Q556" i="10"/>
  <c r="Q317" i="10"/>
  <c r="U661" i="10"/>
  <c r="T661" i="10" s="1"/>
  <c r="Q323" i="10"/>
  <c r="M391" i="10"/>
  <c r="E771" i="10"/>
  <c r="Q771" i="10"/>
  <c r="S771" i="10"/>
  <c r="I771" i="10"/>
  <c r="G771" i="10"/>
  <c r="M771" i="10"/>
  <c r="K771" i="10"/>
  <c r="O771" i="10"/>
  <c r="I325" i="10"/>
  <c r="O325" i="10"/>
  <c r="M325" i="10"/>
  <c r="K325" i="10"/>
  <c r="S325" i="10"/>
  <c r="Q325" i="10"/>
  <c r="G164" i="10"/>
  <c r="E164" i="10"/>
  <c r="M164" i="10"/>
  <c r="S585" i="10"/>
  <c r="S261" i="10"/>
  <c r="E914" i="10"/>
  <c r="E408" i="10"/>
  <c r="K317" i="10"/>
  <c r="S556" i="10"/>
  <c r="S313" i="10"/>
  <c r="G317" i="10"/>
  <c r="U473" i="10"/>
  <c r="T473" i="10" s="1"/>
  <c r="U518" i="10"/>
  <c r="T518" i="10" s="1"/>
  <c r="M828" i="10"/>
  <c r="E323" i="10"/>
  <c r="U244" i="10"/>
  <c r="T244" i="10" s="1"/>
  <c r="G519" i="10"/>
  <c r="O838" i="10"/>
  <c r="Q838" i="10"/>
  <c r="M838" i="10"/>
  <c r="G838" i="10"/>
  <c r="S838" i="10"/>
  <c r="E838" i="10"/>
  <c r="K838" i="10"/>
  <c r="I838" i="10"/>
  <c r="G459" i="10"/>
  <c r="E459" i="10"/>
  <c r="I298" i="10"/>
  <c r="E298" i="10"/>
  <c r="G298" i="10"/>
  <c r="M298" i="10"/>
  <c r="K298" i="10"/>
  <c r="O298" i="10"/>
  <c r="S298" i="10"/>
  <c r="Q298" i="10"/>
  <c r="S698" i="10"/>
  <c r="M698" i="10"/>
  <c r="Q698" i="10"/>
  <c r="O698" i="10"/>
  <c r="G698" i="10"/>
  <c r="I698" i="10"/>
  <c r="K698" i="10"/>
  <c r="E698" i="10"/>
  <c r="Q430" i="10"/>
  <c r="K430" i="10"/>
  <c r="I430" i="10"/>
  <c r="G430" i="10"/>
  <c r="E430" i="10"/>
  <c r="M327" i="10"/>
  <c r="E327" i="10"/>
  <c r="Q327" i="10"/>
  <c r="Q182" i="10"/>
  <c r="E182" i="10"/>
  <c r="G182" i="10"/>
  <c r="G805" i="10"/>
  <c r="G914" i="10"/>
  <c r="M408" i="10"/>
  <c r="I583" i="10"/>
  <c r="U70" i="10"/>
  <c r="T70" i="10" s="1"/>
  <c r="K261" i="10"/>
  <c r="E313" i="10"/>
  <c r="K805" i="10"/>
  <c r="O828" i="10"/>
  <c r="M323" i="10"/>
  <c r="I519" i="10"/>
  <c r="M858" i="10"/>
  <c r="G858" i="10"/>
  <c r="K429" i="10"/>
  <c r="O429" i="10"/>
  <c r="I429" i="10"/>
  <c r="M429" i="10"/>
  <c r="S429" i="10"/>
  <c r="Q429" i="10"/>
  <c r="Q461" i="10"/>
  <c r="S461" i="10"/>
  <c r="K461" i="10"/>
  <c r="E461" i="10"/>
  <c r="M461" i="10"/>
  <c r="E300" i="10"/>
  <c r="S300" i="10"/>
  <c r="Q300" i="10"/>
  <c r="I300" i="10"/>
  <c r="G300" i="10"/>
  <c r="M300" i="10"/>
  <c r="K300" i="10"/>
  <c r="O300" i="10"/>
  <c r="K110" i="10"/>
  <c r="I110" i="10"/>
  <c r="E110" i="10"/>
  <c r="S110" i="10"/>
  <c r="Q110" i="10"/>
  <c r="O110" i="10"/>
  <c r="M110" i="10"/>
  <c r="G110" i="10"/>
  <c r="I432" i="10"/>
  <c r="G432" i="10"/>
  <c r="O349" i="10"/>
  <c r="K349" i="10"/>
  <c r="M349" i="10"/>
  <c r="G349" i="10"/>
  <c r="S349" i="10"/>
  <c r="Q349" i="10"/>
  <c r="I349" i="10"/>
  <c r="E349" i="10"/>
  <c r="U285" i="10"/>
  <c r="T285" i="10" s="1"/>
  <c r="O740" i="10"/>
  <c r="Q740" i="10"/>
  <c r="M740" i="10"/>
  <c r="S740" i="10"/>
  <c r="E740" i="10"/>
  <c r="G740" i="10"/>
  <c r="K740" i="10"/>
  <c r="I740" i="10"/>
  <c r="S241" i="10"/>
  <c r="O447" i="10"/>
  <c r="K914" i="10"/>
  <c r="Q408" i="10"/>
  <c r="E261" i="10"/>
  <c r="G447" i="10"/>
  <c r="I805" i="10"/>
  <c r="U93" i="10"/>
  <c r="T93" i="10" s="1"/>
  <c r="Q828" i="10"/>
  <c r="K519" i="10"/>
  <c r="K860" i="10"/>
  <c r="S860" i="10"/>
  <c r="M860" i="10"/>
  <c r="G860" i="10"/>
  <c r="E860" i="10"/>
  <c r="Q860" i="10"/>
  <c r="I860" i="10"/>
  <c r="O860" i="10"/>
  <c r="S433" i="10"/>
  <c r="Q433" i="10"/>
  <c r="O433" i="10"/>
  <c r="M433" i="10"/>
  <c r="K433" i="10"/>
  <c r="I433" i="10"/>
  <c r="G433" i="10"/>
  <c r="E433" i="10"/>
  <c r="G463" i="10"/>
  <c r="Q463" i="10"/>
  <c r="S463" i="10"/>
  <c r="I463" i="10"/>
  <c r="E463" i="10"/>
  <c r="M463" i="10"/>
  <c r="K463" i="10"/>
  <c r="O463" i="10"/>
  <c r="E400" i="10"/>
  <c r="K400" i="10"/>
  <c r="S400" i="10"/>
  <c r="I400" i="10"/>
  <c r="G400" i="10"/>
  <c r="M400" i="10"/>
  <c r="Q400" i="10"/>
  <c r="O400" i="10"/>
  <c r="S480" i="10"/>
  <c r="Q480" i="10"/>
  <c r="O480" i="10"/>
  <c r="M480" i="10"/>
  <c r="K480" i="10"/>
  <c r="G480" i="10"/>
  <c r="E480" i="10"/>
  <c r="I480" i="10"/>
  <c r="Q443" i="10"/>
  <c r="O443" i="10"/>
  <c r="M443" i="10"/>
  <c r="G443" i="10"/>
  <c r="E443" i="10"/>
  <c r="K443" i="10"/>
  <c r="I443" i="10"/>
  <c r="S443" i="10"/>
  <c r="O556" i="10"/>
  <c r="G241" i="10"/>
  <c r="G585" i="10"/>
  <c r="O914" i="10"/>
  <c r="M923" i="10"/>
  <c r="S447" i="10"/>
  <c r="O805" i="10"/>
  <c r="U304" i="10"/>
  <c r="T304" i="10" s="1"/>
  <c r="G874" i="10"/>
  <c r="O519" i="10"/>
  <c r="I929" i="10"/>
  <c r="K929" i="10"/>
  <c r="G929" i="10"/>
  <c r="E929" i="10"/>
  <c r="Q929" i="10"/>
  <c r="S929" i="10"/>
  <c r="Q469" i="10"/>
  <c r="S469" i="10"/>
  <c r="O469" i="10"/>
  <c r="G469" i="10"/>
  <c r="E469" i="10"/>
  <c r="M469" i="10"/>
  <c r="K469" i="10"/>
  <c r="I469" i="10"/>
  <c r="K507" i="10"/>
  <c r="S507" i="10"/>
  <c r="E597" i="10"/>
  <c r="S597" i="10"/>
  <c r="K597" i="10"/>
  <c r="I597" i="10"/>
  <c r="G597" i="10"/>
  <c r="O597" i="10"/>
  <c r="Q597" i="10"/>
  <c r="M597" i="10"/>
  <c r="S689" i="10"/>
  <c r="I689" i="10"/>
  <c r="Q689" i="10"/>
  <c r="O689" i="10"/>
  <c r="M689" i="10"/>
  <c r="K689" i="10"/>
  <c r="G689" i="10"/>
  <c r="E689" i="10"/>
  <c r="U854" i="10"/>
  <c r="T854" i="10" s="1"/>
  <c r="U431" i="10"/>
  <c r="T431" i="10" s="1"/>
  <c r="U795" i="10"/>
  <c r="T795" i="10" s="1"/>
  <c r="E241" i="10"/>
  <c r="O261" i="10"/>
  <c r="Q914" i="10"/>
  <c r="K923" i="10"/>
  <c r="E324" i="10"/>
  <c r="Q447" i="10"/>
  <c r="Q805" i="10"/>
  <c r="G923" i="10"/>
  <c r="Q474" i="10"/>
  <c r="U376" i="10"/>
  <c r="T376" i="10" s="1"/>
  <c r="U901" i="10"/>
  <c r="T901" i="10" s="1"/>
  <c r="U449" i="10"/>
  <c r="T449" i="10" s="1"/>
  <c r="G325" i="10"/>
  <c r="Q519" i="10"/>
  <c r="Q52" i="10"/>
  <c r="S52" i="10"/>
  <c r="E52" i="10"/>
  <c r="E882" i="10"/>
  <c r="S882" i="10"/>
  <c r="K882" i="10"/>
  <c r="I882" i="10"/>
  <c r="M882" i="10"/>
  <c r="Q882" i="10"/>
  <c r="O882" i="10"/>
  <c r="G882" i="10"/>
  <c r="I471" i="10"/>
  <c r="E471" i="10"/>
  <c r="I915" i="10"/>
  <c r="S915" i="10"/>
  <c r="M915" i="10"/>
  <c r="G915" i="10"/>
  <c r="E915" i="10"/>
  <c r="K915" i="10"/>
  <c r="Q915" i="10"/>
  <c r="O915" i="10"/>
  <c r="I241" i="10"/>
  <c r="Q585" i="10"/>
  <c r="I261" i="10"/>
  <c r="S914" i="10"/>
  <c r="S923" i="10"/>
  <c r="S805" i="10"/>
  <c r="U562" i="10"/>
  <c r="T562" i="10" s="1"/>
  <c r="G11" i="10"/>
  <c r="S11" i="10"/>
  <c r="M11" i="10"/>
  <c r="I11" i="10"/>
  <c r="E11" i="10"/>
  <c r="Q11" i="10"/>
  <c r="O11" i="10"/>
  <c r="K11" i="10"/>
  <c r="K515" i="10"/>
  <c r="O515" i="10"/>
  <c r="M515" i="10"/>
  <c r="I515" i="10"/>
  <c r="E515" i="10"/>
  <c r="K249" i="10"/>
  <c r="G249" i="10"/>
  <c r="E249" i="10"/>
  <c r="Q249" i="10"/>
  <c r="M249" i="10"/>
  <c r="O249" i="10"/>
  <c r="S249" i="10"/>
  <c r="I249" i="10"/>
  <c r="S917" i="10"/>
  <c r="Q917" i="10"/>
  <c r="O917" i="10"/>
  <c r="E917" i="10"/>
  <c r="M917" i="10"/>
  <c r="K917" i="10"/>
  <c r="I917" i="10"/>
  <c r="G917" i="10"/>
  <c r="E556" i="10"/>
  <c r="U342" i="10"/>
  <c r="T342" i="10" s="1"/>
  <c r="S829" i="10"/>
  <c r="Q829" i="10"/>
  <c r="O829" i="10"/>
  <c r="M829" i="10"/>
  <c r="G829" i="10"/>
  <c r="K829" i="10"/>
  <c r="I829" i="10"/>
  <c r="E829" i="10"/>
  <c r="M797" i="10"/>
  <c r="G797" i="10"/>
  <c r="K797" i="10"/>
  <c r="E797" i="10"/>
  <c r="Q797" i="10"/>
  <c r="I797" i="10"/>
  <c r="O797" i="10"/>
  <c r="S797" i="10"/>
  <c r="E251" i="10"/>
  <c r="S251" i="10"/>
  <c r="Q251" i="10"/>
  <c r="G251" i="10"/>
  <c r="I251" i="10"/>
  <c r="K251" i="10"/>
  <c r="M251" i="10"/>
  <c r="O251" i="10"/>
  <c r="U206" i="10"/>
  <c r="T206" i="10" s="1"/>
  <c r="I769" i="10"/>
  <c r="G769" i="10"/>
  <c r="E769" i="10"/>
  <c r="S769" i="10"/>
  <c r="Q769" i="10"/>
  <c r="O769" i="10"/>
  <c r="M769" i="10"/>
  <c r="K769" i="10"/>
  <c r="E734" i="10"/>
  <c r="I734" i="10"/>
  <c r="G734" i="10"/>
  <c r="S734" i="10"/>
  <c r="Q734" i="10"/>
  <c r="O734" i="10"/>
  <c r="K734" i="10"/>
  <c r="M734" i="10"/>
  <c r="S633" i="10"/>
  <c r="Q633" i="10"/>
  <c r="K633" i="10"/>
  <c r="G633" i="10"/>
  <c r="E633" i="10"/>
  <c r="M633" i="10"/>
  <c r="O633" i="10"/>
  <c r="I633" i="10"/>
  <c r="Q748" i="10"/>
  <c r="M748" i="10"/>
  <c r="K748" i="10"/>
  <c r="Q899" i="10"/>
  <c r="S899" i="10"/>
  <c r="O899" i="10"/>
  <c r="K899" i="10"/>
  <c r="M899" i="10"/>
  <c r="I899" i="10"/>
  <c r="G899" i="10"/>
  <c r="E899" i="10"/>
  <c r="S780" i="10"/>
  <c r="G780" i="10"/>
  <c r="M753" i="10"/>
  <c r="G753" i="10"/>
  <c r="Q753" i="10"/>
  <c r="I753" i="10"/>
  <c r="E753" i="10"/>
  <c r="S753" i="10"/>
  <c r="S280" i="10"/>
  <c r="S371" i="10"/>
  <c r="G516" i="10"/>
  <c r="O514" i="10"/>
  <c r="U378" i="10"/>
  <c r="T378" i="10" s="1"/>
  <c r="G51" i="10"/>
  <c r="Q873" i="10"/>
  <c r="S864" i="10"/>
  <c r="K864" i="10"/>
  <c r="I780" i="10"/>
  <c r="Q373" i="10"/>
  <c r="Q694" i="10"/>
  <c r="U570" i="10"/>
  <c r="T570" i="10" s="1"/>
  <c r="S748" i="10"/>
  <c r="M388" i="10"/>
  <c r="O902" i="10"/>
  <c r="M902" i="10"/>
  <c r="E902" i="10"/>
  <c r="Q902" i="10"/>
  <c r="S902" i="10"/>
  <c r="G902" i="10"/>
  <c r="I902" i="10"/>
  <c r="K902" i="10"/>
  <c r="K637" i="10"/>
  <c r="M637" i="10"/>
  <c r="I637" i="10"/>
  <c r="E637" i="10"/>
  <c r="G637" i="10"/>
  <c r="S637" i="10"/>
  <c r="Q637" i="10"/>
  <c r="O637" i="10"/>
  <c r="Q756" i="10"/>
  <c r="S756" i="10"/>
  <c r="K756" i="10"/>
  <c r="I756" i="10"/>
  <c r="M756" i="10"/>
  <c r="O756" i="10"/>
  <c r="G756" i="10"/>
  <c r="E756" i="10"/>
  <c r="G911" i="10"/>
  <c r="S911" i="10"/>
  <c r="O911" i="10"/>
  <c r="K911" i="10"/>
  <c r="M911" i="10"/>
  <c r="I911" i="10"/>
  <c r="Q911" i="10"/>
  <c r="E911" i="10"/>
  <c r="O874" i="10"/>
  <c r="E874" i="10"/>
  <c r="O812" i="10"/>
  <c r="M812" i="10"/>
  <c r="K812" i="10"/>
  <c r="I812" i="10"/>
  <c r="G812" i="10"/>
  <c r="E812" i="10"/>
  <c r="S812" i="10"/>
  <c r="Q812" i="10"/>
  <c r="K869" i="10"/>
  <c r="S869" i="10"/>
  <c r="I869" i="10"/>
  <c r="M869" i="10"/>
  <c r="G869" i="10"/>
  <c r="E869" i="10"/>
  <c r="Q880" i="10"/>
  <c r="M880" i="10"/>
  <c r="O880" i="10"/>
  <c r="Q884" i="10"/>
  <c r="S884" i="10"/>
  <c r="O884" i="10"/>
  <c r="K884" i="10"/>
  <c r="G884" i="10"/>
  <c r="E884" i="10"/>
  <c r="I884" i="10"/>
  <c r="M884" i="10"/>
  <c r="S373" i="10"/>
  <c r="S221" i="10"/>
  <c r="M516" i="10"/>
  <c r="M864" i="10"/>
  <c r="G476" i="10"/>
  <c r="E264" i="10"/>
  <c r="I880" i="10"/>
  <c r="K324" i="10"/>
  <c r="K873" i="10"/>
  <c r="K302" i="10"/>
  <c r="Q780" i="10"/>
  <c r="O780" i="10"/>
  <c r="U413" i="10"/>
  <c r="T413" i="10" s="1"/>
  <c r="K753" i="10"/>
  <c r="U58" i="10"/>
  <c r="T58" i="10" s="1"/>
  <c r="S391" i="10"/>
  <c r="Q391" i="10"/>
  <c r="O391" i="10"/>
  <c r="E391" i="10"/>
  <c r="G391" i="10"/>
  <c r="I391" i="10"/>
  <c r="K909" i="10"/>
  <c r="G909" i="10"/>
  <c r="E909" i="10"/>
  <c r="Q909" i="10"/>
  <c r="S909" i="10"/>
  <c r="O909" i="10"/>
  <c r="M909" i="10"/>
  <c r="I909" i="10"/>
  <c r="S904" i="10"/>
  <c r="M904" i="10"/>
  <c r="K904" i="10"/>
  <c r="I904" i="10"/>
  <c r="G904" i="10"/>
  <c r="Q904" i="10"/>
  <c r="O904" i="10"/>
  <c r="E904" i="10"/>
  <c r="U49" i="10"/>
  <c r="T49" i="10" s="1"/>
  <c r="U56" i="10"/>
  <c r="T56" i="10" s="1"/>
  <c r="S906" i="10"/>
  <c r="O906" i="10"/>
  <c r="I906" i="10"/>
  <c r="M906" i="10"/>
  <c r="E906" i="10"/>
  <c r="G906" i="10"/>
  <c r="S862" i="10"/>
  <c r="E862" i="10"/>
  <c r="G862" i="10"/>
  <c r="M862" i="10"/>
  <c r="I862" i="10"/>
  <c r="E373" i="10"/>
  <c r="O455" i="10"/>
  <c r="O516" i="10"/>
  <c r="G864" i="10"/>
  <c r="E476" i="10"/>
  <c r="G264" i="10"/>
  <c r="K880" i="10"/>
  <c r="I873" i="10"/>
  <c r="I302" i="10"/>
  <c r="K878" i="10"/>
  <c r="K780" i="10"/>
  <c r="U405" i="10"/>
  <c r="T405" i="10" s="1"/>
  <c r="M780" i="10"/>
  <c r="O753" i="10"/>
  <c r="Q862" i="10"/>
  <c r="S426" i="10"/>
  <c r="O426" i="10"/>
  <c r="M426" i="10"/>
  <c r="K426" i="10"/>
  <c r="I426" i="10"/>
  <c r="E426" i="10"/>
  <c r="Q426" i="10"/>
  <c r="G426" i="10"/>
  <c r="Q923" i="10"/>
  <c r="O923" i="10"/>
  <c r="E923" i="10"/>
  <c r="U435" i="10"/>
  <c r="T435" i="10" s="1"/>
  <c r="M665" i="10"/>
  <c r="S665" i="10"/>
  <c r="Q665" i="10"/>
  <c r="O665" i="10"/>
  <c r="G665" i="10"/>
  <c r="E665" i="10"/>
  <c r="I373" i="10"/>
  <c r="E864" i="10"/>
  <c r="I476" i="10"/>
  <c r="I264" i="10"/>
  <c r="S880" i="10"/>
  <c r="I411" i="10"/>
  <c r="U23" i="10"/>
  <c r="T23" i="10" s="1"/>
  <c r="M302" i="10"/>
  <c r="Q864" i="10"/>
  <c r="I428" i="10"/>
  <c r="S428" i="10"/>
  <c r="M428" i="10"/>
  <c r="O428" i="10"/>
  <c r="K428" i="10"/>
  <c r="G428" i="10"/>
  <c r="K65" i="10"/>
  <c r="G65" i="10"/>
  <c r="Q65" i="10"/>
  <c r="S65" i="10"/>
  <c r="M65" i="10"/>
  <c r="I65" i="10"/>
  <c r="E65" i="10"/>
  <c r="O65" i="10"/>
  <c r="I925" i="10"/>
  <c r="S925" i="10"/>
  <c r="Q925" i="10"/>
  <c r="O925" i="10"/>
  <c r="M925" i="10"/>
  <c r="E925" i="10"/>
  <c r="G925" i="10"/>
  <c r="K925" i="10"/>
  <c r="I665" i="10"/>
  <c r="S830" i="10"/>
  <c r="Q830" i="10"/>
  <c r="O830" i="10"/>
  <c r="M830" i="10"/>
  <c r="E830" i="10"/>
  <c r="I830" i="10"/>
  <c r="G830" i="10"/>
  <c r="K830" i="10"/>
  <c r="G373" i="10"/>
  <c r="I864" i="10"/>
  <c r="G514" i="10"/>
  <c r="K476" i="10"/>
  <c r="E880" i="10"/>
  <c r="G748" i="10"/>
  <c r="U636" i="10"/>
  <c r="T636" i="10" s="1"/>
  <c r="E371" i="10"/>
  <c r="E514" i="10"/>
  <c r="O476" i="10"/>
  <c r="G880" i="10"/>
  <c r="M51" i="10"/>
  <c r="E873" i="10"/>
  <c r="U62" i="10"/>
  <c r="T62" i="10" s="1"/>
  <c r="E388" i="10"/>
  <c r="K388" i="10"/>
  <c r="S388" i="10"/>
  <c r="G388" i="10"/>
  <c r="S589" i="10"/>
  <c r="Q589" i="10"/>
  <c r="O589" i="10"/>
  <c r="K589" i="10"/>
  <c r="M589" i="10"/>
  <c r="G589" i="10"/>
  <c r="I589" i="10"/>
  <c r="E589" i="10"/>
  <c r="S356" i="10"/>
  <c r="K356" i="10"/>
  <c r="E356" i="10"/>
  <c r="Q356" i="10"/>
  <c r="M356" i="10"/>
  <c r="O356" i="10"/>
  <c r="G356" i="10"/>
  <c r="I356" i="10"/>
  <c r="M476" i="10"/>
  <c r="Q476" i="10"/>
  <c r="U96" i="10"/>
  <c r="T96" i="10" s="1"/>
  <c r="U127" i="10"/>
  <c r="T127" i="10" s="1"/>
  <c r="O51" i="10"/>
  <c r="G873" i="10"/>
  <c r="O869" i="10"/>
  <c r="S390" i="10"/>
  <c r="K390" i="10"/>
  <c r="E390" i="10"/>
  <c r="Q390" i="10"/>
  <c r="M390" i="10"/>
  <c r="G390" i="10"/>
  <c r="Q705" i="10"/>
  <c r="S705" i="10"/>
  <c r="M705" i="10"/>
  <c r="I705" i="10"/>
  <c r="K705" i="10"/>
  <c r="G705" i="10"/>
  <c r="O705" i="10"/>
  <c r="E705" i="10"/>
  <c r="I694" i="10"/>
  <c r="E694" i="10"/>
  <c r="O694" i="10"/>
  <c r="M694" i="10"/>
  <c r="I587" i="10"/>
  <c r="S587" i="10"/>
  <c r="Q587" i="10"/>
  <c r="O587" i="10"/>
  <c r="K587" i="10"/>
  <c r="G587" i="10"/>
  <c r="O878" i="10"/>
  <c r="M878" i="10"/>
  <c r="E878" i="10"/>
  <c r="G878" i="10"/>
  <c r="S878" i="10"/>
  <c r="Q878" i="10"/>
  <c r="I892" i="10"/>
  <c r="G892" i="10"/>
  <c r="E892" i="10"/>
  <c r="S892" i="10"/>
  <c r="Q892" i="10"/>
  <c r="M892" i="10"/>
  <c r="O892" i="10"/>
  <c r="K892" i="10"/>
  <c r="K221" i="10"/>
  <c r="K371" i="10"/>
  <c r="I514" i="10"/>
  <c r="G280" i="10"/>
  <c r="M371" i="10"/>
  <c r="K514" i="10"/>
  <c r="U505" i="10"/>
  <c r="T505" i="10" s="1"/>
  <c r="E51" i="10"/>
  <c r="O873" i="10"/>
  <c r="K906" i="10"/>
  <c r="E780" i="10"/>
  <c r="Q869" i="10"/>
  <c r="Q392" i="10"/>
  <c r="G392" i="10"/>
  <c r="E392" i="10"/>
  <c r="I392" i="10"/>
  <c r="S392" i="10"/>
  <c r="M392" i="10"/>
  <c r="O392" i="10"/>
  <c r="K392" i="10"/>
  <c r="G605" i="10"/>
  <c r="K605" i="10"/>
  <c r="E605" i="10"/>
  <c r="Q605" i="10"/>
  <c r="S605" i="10"/>
  <c r="M605" i="10"/>
  <c r="O605" i="10"/>
  <c r="I605" i="10"/>
  <c r="M230" i="10"/>
  <c r="O230" i="10"/>
  <c r="E230" i="10"/>
  <c r="I230" i="10"/>
  <c r="G230" i="10"/>
  <c r="S230" i="10"/>
  <c r="Q230" i="10"/>
  <c r="K230" i="10"/>
  <c r="Q711" i="10"/>
  <c r="M711" i="10"/>
  <c r="O711" i="10"/>
  <c r="K711" i="10"/>
  <c r="I711" i="10"/>
  <c r="E711" i="10"/>
  <c r="G711" i="10"/>
  <c r="S711" i="10"/>
  <c r="I794" i="10"/>
  <c r="Q794" i="10"/>
  <c r="K794" i="10"/>
  <c r="O794" i="10"/>
  <c r="M794" i="10"/>
  <c r="S794" i="10"/>
  <c r="E794" i="10"/>
  <c r="G794" i="10"/>
  <c r="I729" i="10"/>
  <c r="G729" i="10"/>
  <c r="E729" i="10"/>
  <c r="S758" i="10"/>
  <c r="Q758" i="10"/>
  <c r="K758" i="10"/>
  <c r="O758" i="10"/>
  <c r="M758" i="10"/>
  <c r="G758" i="10"/>
  <c r="I758" i="10"/>
  <c r="E758" i="10"/>
  <c r="Q516" i="10"/>
  <c r="Q906" i="10"/>
  <c r="O748" i="10"/>
  <c r="G694" i="10"/>
  <c r="S394" i="10"/>
  <c r="O394" i="10"/>
  <c r="M394" i="10"/>
  <c r="K394" i="10"/>
  <c r="I394" i="10"/>
  <c r="E394" i="10"/>
  <c r="G394" i="10"/>
  <c r="Q394" i="10"/>
  <c r="E732" i="10"/>
  <c r="I732" i="10"/>
  <c r="G732" i="10"/>
  <c r="S732" i="10"/>
  <c r="Q732" i="10"/>
  <c r="O732" i="10"/>
  <c r="K732" i="10"/>
  <c r="M732" i="10"/>
  <c r="S402" i="10"/>
  <c r="O402" i="10"/>
  <c r="M402" i="10"/>
  <c r="K402" i="10"/>
  <c r="Q402" i="10"/>
  <c r="S97" i="10"/>
  <c r="Q97" i="10"/>
  <c r="M97" i="10"/>
  <c r="K97" i="10"/>
  <c r="I97" i="10"/>
  <c r="G97" i="10"/>
  <c r="O97" i="10"/>
  <c r="E97" i="10"/>
  <c r="K778" i="10"/>
  <c r="E778" i="10"/>
  <c r="S778" i="10"/>
  <c r="M778" i="10"/>
  <c r="O778" i="10"/>
  <c r="G778" i="10"/>
  <c r="Q778" i="10"/>
  <c r="I778" i="10"/>
  <c r="Q798" i="10"/>
  <c r="O798" i="10"/>
  <c r="K798" i="10"/>
  <c r="I798" i="10"/>
  <c r="M798" i="10"/>
  <c r="E798" i="10"/>
  <c r="S798" i="10"/>
  <c r="G798" i="10"/>
  <c r="S749" i="10"/>
  <c r="I749" i="10"/>
  <c r="M749" i="10"/>
  <c r="K749" i="10"/>
  <c r="Q749" i="10"/>
  <c r="O749" i="10"/>
  <c r="G749" i="10"/>
  <c r="E749" i="10"/>
  <c r="Q419" i="10"/>
  <c r="O419" i="10"/>
  <c r="M419" i="10"/>
  <c r="S419" i="10"/>
  <c r="K419" i="10"/>
  <c r="I419" i="10"/>
  <c r="G419" i="10"/>
  <c r="E419" i="10"/>
  <c r="I408" i="10"/>
  <c r="G408" i="10"/>
  <c r="S272" i="10"/>
  <c r="Q272" i="10"/>
  <c r="M272" i="10"/>
  <c r="O272" i="10"/>
  <c r="I272" i="10"/>
  <c r="K272" i="10"/>
  <c r="E272" i="10"/>
  <c r="G272" i="10"/>
  <c r="G498" i="10"/>
  <c r="Q498" i="10"/>
  <c r="M498" i="10"/>
  <c r="O498" i="10"/>
  <c r="K498" i="10"/>
  <c r="I498" i="10"/>
  <c r="E498" i="10"/>
  <c r="S498" i="10"/>
  <c r="Q678" i="10"/>
  <c r="O678" i="10"/>
  <c r="E678" i="10"/>
  <c r="S849" i="10"/>
  <c r="Q849" i="10"/>
  <c r="O849" i="10"/>
  <c r="M849" i="10"/>
  <c r="I849" i="10"/>
  <c r="K849" i="10"/>
  <c r="G849" i="10"/>
  <c r="E849" i="10"/>
  <c r="Q926" i="10"/>
  <c r="K926" i="10"/>
  <c r="I926" i="10"/>
  <c r="G926" i="10"/>
  <c r="S270" i="10"/>
  <c r="Q867" i="10"/>
  <c r="S408" i="10"/>
  <c r="O517" i="10"/>
  <c r="Q313" i="10"/>
  <c r="M324" i="10"/>
  <c r="M517" i="10"/>
  <c r="E410" i="10"/>
  <c r="I410" i="10"/>
  <c r="G410" i="10"/>
  <c r="M410" i="10"/>
  <c r="S410" i="10"/>
  <c r="Q410" i="10"/>
  <c r="O410" i="10"/>
  <c r="K410" i="10"/>
  <c r="O331" i="10"/>
  <c r="K331" i="10"/>
  <c r="I331" i="10"/>
  <c r="E331" i="10"/>
  <c r="G331" i="10"/>
  <c r="Q331" i="10"/>
  <c r="S331" i="10"/>
  <c r="M331" i="10"/>
  <c r="Q512" i="10"/>
  <c r="O512" i="10"/>
  <c r="I512" i="10"/>
  <c r="K512" i="10"/>
  <c r="E512" i="10"/>
  <c r="G512" i="10"/>
  <c r="S512" i="10"/>
  <c r="M512" i="10"/>
  <c r="S680" i="10"/>
  <c r="K680" i="10"/>
  <c r="I680" i="10"/>
  <c r="G680" i="10"/>
  <c r="E680" i="10"/>
  <c r="E580" i="10"/>
  <c r="S580" i="10"/>
  <c r="Q580" i="10"/>
  <c r="O580" i="10"/>
  <c r="M580" i="10"/>
  <c r="I580" i="10"/>
  <c r="K580" i="10"/>
  <c r="G580" i="10"/>
  <c r="S853" i="10"/>
  <c r="Q853" i="10"/>
  <c r="O853" i="10"/>
  <c r="M853" i="10"/>
  <c r="I853" i="10"/>
  <c r="K853" i="10"/>
  <c r="G853" i="10"/>
  <c r="E853" i="10"/>
  <c r="Q523" i="10"/>
  <c r="G523" i="10"/>
  <c r="K523" i="10"/>
  <c r="E523" i="10"/>
  <c r="S523" i="10"/>
  <c r="O523" i="10"/>
  <c r="M523" i="10"/>
  <c r="I523" i="10"/>
  <c r="Q750" i="10"/>
  <c r="S750" i="10"/>
  <c r="O750" i="10"/>
  <c r="K750" i="10"/>
  <c r="I750" i="10"/>
  <c r="M750" i="10"/>
  <c r="G750" i="10"/>
  <c r="E750" i="10"/>
  <c r="Q270" i="10"/>
  <c r="U295" i="10"/>
  <c r="T295" i="10" s="1"/>
  <c r="O908" i="10"/>
  <c r="Q908" i="10"/>
  <c r="G908" i="10"/>
  <c r="S736" i="10"/>
  <c r="Q736" i="10"/>
  <c r="O736" i="10"/>
  <c r="M736" i="10"/>
  <c r="I736" i="10"/>
  <c r="K736" i="10"/>
  <c r="G736" i="10"/>
  <c r="E736" i="10"/>
  <c r="M525" i="10"/>
  <c r="I525" i="10"/>
  <c r="G525" i="10"/>
  <c r="E525" i="10"/>
  <c r="K525" i="10"/>
  <c r="S525" i="10"/>
  <c r="O525" i="10"/>
  <c r="Q525" i="10"/>
  <c r="S762" i="10"/>
  <c r="Q762" i="10"/>
  <c r="M762" i="10"/>
  <c r="K762" i="10"/>
  <c r="O762" i="10"/>
  <c r="I762" i="10"/>
  <c r="G762" i="10"/>
  <c r="E762" i="10"/>
  <c r="S289" i="10"/>
  <c r="G446" i="10"/>
  <c r="M221" i="10"/>
  <c r="U777" i="10"/>
  <c r="T777" i="10" s="1"/>
  <c r="U558" i="10"/>
  <c r="T558" i="10" s="1"/>
  <c r="S302" i="10"/>
  <c r="G313" i="10"/>
  <c r="I517" i="10"/>
  <c r="E277" i="10"/>
  <c r="S277" i="10"/>
  <c r="Q277" i="10"/>
  <c r="O277" i="10"/>
  <c r="M277" i="10"/>
  <c r="K277" i="10"/>
  <c r="I277" i="10"/>
  <c r="G277" i="10"/>
  <c r="M799" i="10"/>
  <c r="E799" i="10"/>
  <c r="I799" i="10"/>
  <c r="G799" i="10"/>
  <c r="S799" i="10"/>
  <c r="Q799" i="10"/>
  <c r="O799" i="10"/>
  <c r="K799" i="10"/>
  <c r="E672" i="10"/>
  <c r="G672" i="10"/>
  <c r="S672" i="10"/>
  <c r="Q672" i="10"/>
  <c r="O672" i="10"/>
  <c r="M672" i="10"/>
  <c r="K672" i="10"/>
  <c r="I672" i="10"/>
  <c r="I913" i="10"/>
  <c r="S913" i="10"/>
  <c r="O913" i="10"/>
  <c r="Q913" i="10"/>
  <c r="M913" i="10"/>
  <c r="K913" i="10"/>
  <c r="E913" i="10"/>
  <c r="G913" i="10"/>
  <c r="S767" i="10"/>
  <c r="Q767" i="10"/>
  <c r="O767" i="10"/>
  <c r="M767" i="10"/>
  <c r="K767" i="10"/>
  <c r="I767" i="10"/>
  <c r="G767" i="10"/>
  <c r="E767" i="10"/>
  <c r="S781" i="10"/>
  <c r="Q781" i="10"/>
  <c r="O781" i="10"/>
  <c r="M781" i="10"/>
  <c r="K781" i="10"/>
  <c r="I781" i="10"/>
  <c r="E781" i="10"/>
  <c r="G781" i="10"/>
  <c r="U113" i="10"/>
  <c r="T113" i="10" s="1"/>
  <c r="E289" i="10"/>
  <c r="I281" i="10"/>
  <c r="O281" i="10"/>
  <c r="Q281" i="10"/>
  <c r="G281" i="10"/>
  <c r="E281" i="10"/>
  <c r="Q801" i="10"/>
  <c r="S801" i="10"/>
  <c r="O801" i="10"/>
  <c r="M801" i="10"/>
  <c r="I801" i="10"/>
  <c r="K801" i="10"/>
  <c r="G801" i="10"/>
  <c r="E801" i="10"/>
  <c r="S676" i="10"/>
  <c r="Q676" i="10"/>
  <c r="I676" i="10"/>
  <c r="K676" i="10"/>
  <c r="M676" i="10"/>
  <c r="O676" i="10"/>
  <c r="G676" i="10"/>
  <c r="E676" i="10"/>
  <c r="Q857" i="10"/>
  <c r="E857" i="10"/>
  <c r="G590" i="10"/>
  <c r="S590" i="10"/>
  <c r="Q590" i="10"/>
  <c r="O590" i="10"/>
  <c r="K590" i="10"/>
  <c r="M590" i="10"/>
  <c r="E590" i="10"/>
  <c r="I590" i="10"/>
  <c r="O821" i="10"/>
  <c r="M821" i="10"/>
  <c r="K821" i="10"/>
  <c r="I821" i="10"/>
  <c r="G821" i="10"/>
  <c r="E821" i="10"/>
  <c r="Q821" i="10"/>
  <c r="S821" i="10"/>
  <c r="Q702" i="10"/>
  <c r="E702" i="10"/>
  <c r="O702" i="10"/>
  <c r="G289" i="10"/>
  <c r="E446" i="10"/>
  <c r="E221" i="10"/>
  <c r="O815" i="10"/>
  <c r="E302" i="10"/>
  <c r="I313" i="10"/>
  <c r="S517" i="10"/>
  <c r="U111" i="10"/>
  <c r="T111" i="10" s="1"/>
  <c r="U787" i="10"/>
  <c r="T787" i="10" s="1"/>
  <c r="U212" i="10"/>
  <c r="T212" i="10" s="1"/>
  <c r="K908" i="10"/>
  <c r="Q803" i="10"/>
  <c r="S803" i="10"/>
  <c r="O803" i="10"/>
  <c r="M803" i="10"/>
  <c r="I803" i="10"/>
  <c r="K803" i="10"/>
  <c r="G803" i="10"/>
  <c r="E803" i="10"/>
  <c r="S682" i="10"/>
  <c r="M682" i="10"/>
  <c r="Q682" i="10"/>
  <c r="O682" i="10"/>
  <c r="K682" i="10"/>
  <c r="I682" i="10"/>
  <c r="E682" i="10"/>
  <c r="G682" i="10"/>
  <c r="Q859" i="10"/>
  <c r="S859" i="10"/>
  <c r="K647" i="10"/>
  <c r="Q647" i="10"/>
  <c r="O647" i="10"/>
  <c r="S832" i="10"/>
  <c r="Q832" i="10"/>
  <c r="O832" i="10"/>
  <c r="I832" i="10"/>
  <c r="M832" i="10"/>
  <c r="G832" i="10"/>
  <c r="E832" i="10"/>
  <c r="K832" i="10"/>
  <c r="G823" i="10"/>
  <c r="K823" i="10"/>
  <c r="E704" i="10"/>
  <c r="G704" i="10"/>
  <c r="M704" i="10"/>
  <c r="Q704" i="10"/>
  <c r="O704" i="10"/>
  <c r="S704" i="10"/>
  <c r="I704" i="10"/>
  <c r="K704" i="10"/>
  <c r="M939" i="10"/>
  <c r="I289" i="10"/>
  <c r="K446" i="10"/>
  <c r="G221" i="10"/>
  <c r="S678" i="10"/>
  <c r="I768" i="10"/>
  <c r="E585" i="10"/>
  <c r="M313" i="10"/>
  <c r="E751" i="10"/>
  <c r="K281" i="10"/>
  <c r="S908" i="10"/>
  <c r="O180" i="10"/>
  <c r="K180" i="10"/>
  <c r="I180" i="10"/>
  <c r="E180" i="10"/>
  <c r="G180" i="10"/>
  <c r="Q180" i="10"/>
  <c r="S180" i="10"/>
  <c r="M180" i="10"/>
  <c r="O205" i="10"/>
  <c r="M205" i="10"/>
  <c r="I205" i="10"/>
  <c r="E205" i="10"/>
  <c r="G205" i="10"/>
  <c r="S205" i="10"/>
  <c r="Q205" i="10"/>
  <c r="K205" i="10"/>
  <c r="S897" i="10"/>
  <c r="Q897" i="10"/>
  <c r="O897" i="10"/>
  <c r="M897" i="10"/>
  <c r="I897" i="10"/>
  <c r="K897" i="10"/>
  <c r="G897" i="10"/>
  <c r="E897" i="10"/>
  <c r="M649" i="10"/>
  <c r="K649" i="10"/>
  <c r="Q649" i="10"/>
  <c r="I649" i="10"/>
  <c r="E649" i="10"/>
  <c r="G649" i="10"/>
  <c r="S649" i="10"/>
  <c r="O649" i="10"/>
  <c r="S850" i="10"/>
  <c r="O850" i="10"/>
  <c r="Q850" i="10"/>
  <c r="M850" i="10"/>
  <c r="K850" i="10"/>
  <c r="E850" i="10"/>
  <c r="I850" i="10"/>
  <c r="G850" i="10"/>
  <c r="Q890" i="10"/>
  <c r="M890" i="10"/>
  <c r="O890" i="10"/>
  <c r="K890" i="10"/>
  <c r="E890" i="10"/>
  <c r="I890" i="10"/>
  <c r="G890" i="10"/>
  <c r="S890" i="10"/>
  <c r="O939" i="10"/>
  <c r="I173" i="10"/>
  <c r="K289" i="10"/>
  <c r="Q322" i="10"/>
  <c r="U16" i="10"/>
  <c r="T16" i="10" s="1"/>
  <c r="I363" i="10"/>
  <c r="E363" i="10"/>
  <c r="G363" i="10"/>
  <c r="K363" i="10"/>
  <c r="S363" i="10"/>
  <c r="Q363" i="10"/>
  <c r="O363" i="10"/>
  <c r="M363" i="10"/>
  <c r="Q214" i="10"/>
  <c r="I214" i="10"/>
  <c r="M214" i="10"/>
  <c r="K214" i="10"/>
  <c r="G214" i="10"/>
  <c r="E214" i="10"/>
  <c r="I166" i="10"/>
  <c r="E166" i="10"/>
  <c r="S166" i="10"/>
  <c r="O166" i="10"/>
  <c r="M166" i="10"/>
  <c r="Q166" i="10"/>
  <c r="K166" i="10"/>
  <c r="S684" i="10"/>
  <c r="O684" i="10"/>
  <c r="M684" i="10"/>
  <c r="K684" i="10"/>
  <c r="I684" i="10"/>
  <c r="G684" i="10"/>
  <c r="G345" i="10"/>
  <c r="E345" i="10"/>
  <c r="S825" i="10"/>
  <c r="Q825" i="10"/>
  <c r="O825" i="10"/>
  <c r="I825" i="10"/>
  <c r="M825" i="10"/>
  <c r="K825" i="10"/>
  <c r="G825" i="10"/>
  <c r="E825" i="10"/>
  <c r="M289" i="10"/>
  <c r="U387" i="10"/>
  <c r="T387" i="10" s="1"/>
  <c r="U41" i="10"/>
  <c r="T41" i="10" s="1"/>
  <c r="Q178" i="10"/>
  <c r="O178" i="10"/>
  <c r="I178" i="10"/>
  <c r="E178" i="10"/>
  <c r="S178" i="10"/>
  <c r="M178" i="10"/>
  <c r="K178" i="10"/>
  <c r="G178" i="10"/>
  <c r="I371" i="10"/>
  <c r="G371" i="10"/>
  <c r="G414" i="10"/>
  <c r="E414" i="10"/>
  <c r="Q414" i="10"/>
  <c r="S414" i="10"/>
  <c r="M414" i="10"/>
  <c r="K414" i="10"/>
  <c r="I414" i="10"/>
  <c r="O414" i="10"/>
  <c r="K868" i="10"/>
  <c r="I868" i="10"/>
  <c r="G868" i="10"/>
  <c r="E868" i="10"/>
  <c r="S868" i="10"/>
  <c r="Q868" i="10"/>
  <c r="O868" i="10"/>
  <c r="M868" i="10"/>
  <c r="Q784" i="10"/>
  <c r="I784" i="10"/>
  <c r="S784" i="10"/>
  <c r="O784" i="10"/>
  <c r="K784" i="10"/>
  <c r="G784" i="10"/>
  <c r="E784" i="10"/>
  <c r="M784" i="10"/>
  <c r="I728" i="10"/>
  <c r="K728" i="10"/>
  <c r="G728" i="10"/>
  <c r="E728" i="10"/>
  <c r="S728" i="10"/>
  <c r="M728" i="10"/>
  <c r="Q728" i="10"/>
  <c r="O728" i="10"/>
  <c r="S905" i="10"/>
  <c r="E905" i="10"/>
  <c r="O905" i="10"/>
  <c r="I905" i="10"/>
  <c r="M905" i="10"/>
  <c r="K905" i="10"/>
  <c r="G905" i="10"/>
  <c r="E270" i="10"/>
  <c r="O289" i="10"/>
  <c r="S935" i="10"/>
  <c r="U348" i="10"/>
  <c r="T348" i="10" s="1"/>
  <c r="U487" i="10"/>
  <c r="T487" i="10" s="1"/>
  <c r="E926" i="10"/>
  <c r="Q264" i="10"/>
  <c r="S264" i="10"/>
  <c r="E786" i="10"/>
  <c r="Q786" i="10"/>
  <c r="K786" i="10"/>
  <c r="S786" i="10"/>
  <c r="M786" i="10"/>
  <c r="I786" i="10"/>
  <c r="O786" i="10"/>
  <c r="G786" i="10"/>
  <c r="O730" i="10"/>
  <c r="M730" i="10"/>
  <c r="I730" i="10"/>
  <c r="E730" i="10"/>
  <c r="K730" i="10"/>
  <c r="G730" i="10"/>
  <c r="Q730" i="10"/>
  <c r="S730" i="10"/>
  <c r="Q721" i="10"/>
  <c r="O721" i="10"/>
  <c r="K721" i="10"/>
  <c r="M721" i="10"/>
  <c r="I721" i="10"/>
  <c r="G721" i="10"/>
  <c r="E721" i="10"/>
  <c r="S721" i="10"/>
  <c r="G894" i="10"/>
  <c r="E894" i="10"/>
  <c r="S894" i="10"/>
  <c r="Q894" i="10"/>
  <c r="O894" i="10"/>
  <c r="M894" i="10"/>
  <c r="K894" i="10"/>
  <c r="I894" i="10"/>
  <c r="E620" i="10"/>
  <c r="S620" i="10"/>
  <c r="M620" i="10"/>
  <c r="Q620" i="10"/>
  <c r="O620" i="10"/>
  <c r="K620" i="10"/>
  <c r="I620" i="10"/>
  <c r="G620" i="10"/>
  <c r="U547" i="10"/>
  <c r="T547" i="10" s="1"/>
  <c r="O935" i="10"/>
  <c r="K550" i="10"/>
  <c r="U594" i="10"/>
  <c r="T594" i="10" s="1"/>
  <c r="M926" i="10"/>
  <c r="K424" i="10"/>
  <c r="E424" i="10"/>
  <c r="K788" i="10"/>
  <c r="G788" i="10"/>
  <c r="I788" i="10"/>
  <c r="E788" i="10"/>
  <c r="S788" i="10"/>
  <c r="Q788" i="10"/>
  <c r="O788" i="10"/>
  <c r="M788" i="10"/>
  <c r="E559" i="10"/>
  <c r="G559" i="10"/>
  <c r="S559" i="10"/>
  <c r="Q559" i="10"/>
  <c r="O559" i="10"/>
  <c r="M559" i="10"/>
  <c r="K559" i="10"/>
  <c r="I559" i="10"/>
  <c r="Q630" i="10"/>
  <c r="S630" i="10"/>
  <c r="O630" i="10"/>
  <c r="M630" i="10"/>
  <c r="K630" i="10"/>
  <c r="I630" i="10"/>
  <c r="G630" i="10"/>
  <c r="E630" i="10"/>
  <c r="K270" i="10"/>
  <c r="I867" i="10"/>
  <c r="K408" i="10"/>
  <c r="M261" i="10"/>
  <c r="U712" i="10"/>
  <c r="T712" i="10" s="1"/>
  <c r="U265" i="10"/>
  <c r="T265" i="10" s="1"/>
  <c r="U357" i="10"/>
  <c r="T357" i="10" s="1"/>
  <c r="U48" i="10"/>
  <c r="T48" i="10" s="1"/>
  <c r="O926" i="10"/>
  <c r="M583" i="10"/>
  <c r="E583" i="10"/>
  <c r="S583" i="10"/>
  <c r="O583" i="10"/>
  <c r="K583" i="10"/>
  <c r="G583" i="10"/>
  <c r="E474" i="10"/>
  <c r="O474" i="10"/>
  <c r="K474" i="10"/>
  <c r="I474" i="10"/>
  <c r="G474" i="10"/>
  <c r="M474" i="10"/>
  <c r="U484" i="10"/>
  <c r="T484" i="10" s="1"/>
  <c r="Q406" i="10"/>
  <c r="S406" i="10"/>
  <c r="O406" i="10"/>
  <c r="M406" i="10"/>
  <c r="K406" i="10"/>
  <c r="E406" i="10"/>
  <c r="I406" i="10"/>
  <c r="G406" i="10"/>
  <c r="G779" i="10"/>
  <c r="K674" i="10"/>
  <c r="Q768" i="10"/>
  <c r="G411" i="10"/>
  <c r="G936" i="10"/>
  <c r="U141" i="10"/>
  <c r="T141" i="10" s="1"/>
  <c r="S550" i="10"/>
  <c r="E42" i="10"/>
  <c r="Q822" i="10"/>
  <c r="O822" i="10"/>
  <c r="K822" i="10"/>
  <c r="G822" i="10"/>
  <c r="E822" i="10"/>
  <c r="I822" i="10"/>
  <c r="S822" i="10"/>
  <c r="M822" i="10"/>
  <c r="Q713" i="10"/>
  <c r="S713" i="10"/>
  <c r="M713" i="10"/>
  <c r="O713" i="10"/>
  <c r="K713" i="10"/>
  <c r="I713" i="10"/>
  <c r="G713" i="10"/>
  <c r="E713" i="10"/>
  <c r="S491" i="10"/>
  <c r="Q491" i="10"/>
  <c r="O491" i="10"/>
  <c r="M491" i="10"/>
  <c r="K491" i="10"/>
  <c r="I491" i="10"/>
  <c r="E491" i="10"/>
  <c r="G491" i="10"/>
  <c r="I779" i="10"/>
  <c r="Q939" i="10"/>
  <c r="M674" i="10"/>
  <c r="S768" i="10"/>
  <c r="E411" i="10"/>
  <c r="M935" i="10"/>
  <c r="U284" i="10"/>
  <c r="T284" i="10" s="1"/>
  <c r="G42" i="10"/>
  <c r="S399" i="10"/>
  <c r="Q399" i="10"/>
  <c r="M399" i="10"/>
  <c r="I399" i="10"/>
  <c r="E399" i="10"/>
  <c r="G399" i="10"/>
  <c r="K399" i="10"/>
  <c r="O399" i="10"/>
  <c r="Q37" i="10"/>
  <c r="O37" i="10"/>
  <c r="M37" i="10"/>
  <c r="K37" i="10"/>
  <c r="I37" i="10"/>
  <c r="S37" i="10"/>
  <c r="G37" i="10"/>
  <c r="E37" i="10"/>
  <c r="E752" i="10"/>
  <c r="I752" i="10"/>
  <c r="S752" i="10"/>
  <c r="Q752" i="10"/>
  <c r="M752" i="10"/>
  <c r="O752" i="10"/>
  <c r="K752" i="10"/>
  <c r="G752" i="10"/>
  <c r="K824" i="10"/>
  <c r="G824" i="10"/>
  <c r="I824" i="10"/>
  <c r="M824" i="10"/>
  <c r="E824" i="10"/>
  <c r="S824" i="10"/>
  <c r="Q824" i="10"/>
  <c r="O824" i="10"/>
  <c r="S715" i="10"/>
  <c r="Q715" i="10"/>
  <c r="M715" i="10"/>
  <c r="O715" i="10"/>
  <c r="K715" i="10"/>
  <c r="E715" i="10"/>
  <c r="G715" i="10"/>
  <c r="I715" i="10"/>
  <c r="K596" i="10"/>
  <c r="G596" i="10"/>
  <c r="E596" i="10"/>
  <c r="I596" i="10"/>
  <c r="M596" i="10"/>
  <c r="S596" i="10"/>
  <c r="O596" i="10"/>
  <c r="Q596" i="10"/>
  <c r="I114" i="10"/>
  <c r="Q114" i="10"/>
  <c r="S114" i="10"/>
  <c r="O114" i="10"/>
  <c r="M114" i="10"/>
  <c r="K114" i="10"/>
  <c r="G114" i="10"/>
  <c r="E114" i="10"/>
  <c r="Q524" i="10"/>
  <c r="K524" i="10"/>
  <c r="I524" i="10"/>
  <c r="S524" i="10"/>
  <c r="M524" i="10"/>
  <c r="O524" i="10"/>
  <c r="G524" i="10"/>
  <c r="E524" i="10"/>
  <c r="K411" i="10"/>
  <c r="K916" i="10"/>
  <c r="O916" i="10"/>
  <c r="E916" i="10"/>
  <c r="S916" i="10"/>
  <c r="Q916" i="10"/>
  <c r="M916" i="10"/>
  <c r="I916" i="10"/>
  <c r="G916" i="10"/>
  <c r="S135" i="10"/>
  <c r="O135" i="10"/>
  <c r="Q135" i="10"/>
  <c r="K135" i="10"/>
  <c r="M135" i="10"/>
  <c r="G135" i="10"/>
  <c r="I135" i="10"/>
  <c r="E135" i="10"/>
  <c r="O826" i="10"/>
  <c r="Q826" i="10"/>
  <c r="M826" i="10"/>
  <c r="K826" i="10"/>
  <c r="I826" i="10"/>
  <c r="S826" i="10"/>
  <c r="E826" i="10"/>
  <c r="G826" i="10"/>
  <c r="M42" i="10"/>
  <c r="S128" i="10"/>
  <c r="M128" i="10"/>
  <c r="G128" i="10"/>
  <c r="G361" i="10"/>
  <c r="S361" i="10"/>
  <c r="Q361" i="10"/>
  <c r="O361" i="10"/>
  <c r="M361" i="10"/>
  <c r="K361" i="10"/>
  <c r="I361" i="10"/>
  <c r="E361" i="10"/>
  <c r="I691" i="10"/>
  <c r="E691" i="10"/>
  <c r="K691" i="10"/>
  <c r="G691" i="10"/>
  <c r="O691" i="10"/>
  <c r="S691" i="10"/>
  <c r="Q691" i="10"/>
  <c r="M691" i="10"/>
  <c r="Q128" i="10"/>
  <c r="O411" i="10"/>
  <c r="K935" i="10"/>
  <c r="Q42" i="10"/>
  <c r="Q146" i="10"/>
  <c r="O146" i="10"/>
  <c r="M146" i="10"/>
  <c r="K146" i="10"/>
  <c r="S146" i="10"/>
  <c r="E146" i="10"/>
  <c r="G146" i="10"/>
  <c r="O496" i="10"/>
  <c r="I496" i="10"/>
  <c r="K496" i="10"/>
  <c r="S496" i="10"/>
  <c r="Q496" i="10"/>
  <c r="E496" i="10"/>
  <c r="M496" i="10"/>
  <c r="G496" i="10"/>
  <c r="Q918" i="10"/>
  <c r="O918" i="10"/>
  <c r="M918" i="10"/>
  <c r="K918" i="10"/>
  <c r="I918" i="10"/>
  <c r="S918" i="10"/>
  <c r="G918" i="10"/>
  <c r="E918" i="10"/>
  <c r="S726" i="10"/>
  <c r="Q726" i="10"/>
  <c r="O726" i="10"/>
  <c r="K726" i="10"/>
  <c r="M726" i="10"/>
  <c r="I726" i="10"/>
  <c r="G726" i="10"/>
  <c r="E726" i="10"/>
  <c r="G693" i="10"/>
  <c r="E693" i="10"/>
  <c r="Q693" i="10"/>
  <c r="S693" i="10"/>
  <c r="O693" i="10"/>
  <c r="M693" i="10"/>
  <c r="K693" i="10"/>
  <c r="I693" i="10"/>
  <c r="E326" i="10"/>
  <c r="G326" i="10"/>
  <c r="I835" i="10"/>
  <c r="G835" i="10"/>
  <c r="M835" i="10"/>
  <c r="K835" i="10"/>
  <c r="E835" i="10"/>
  <c r="S835" i="10"/>
  <c r="Q835" i="10"/>
  <c r="O835" i="10"/>
  <c r="M808" i="10"/>
  <c r="I808" i="10"/>
  <c r="K808" i="10"/>
  <c r="Q808" i="10"/>
  <c r="O808" i="10"/>
  <c r="G808" i="10"/>
  <c r="E808" i="10"/>
  <c r="S808" i="10"/>
  <c r="U143" i="10"/>
  <c r="T143" i="10" s="1"/>
  <c r="S137" i="10"/>
  <c r="O137" i="10"/>
  <c r="M137" i="10"/>
  <c r="I137" i="10"/>
  <c r="G137" i="10"/>
  <c r="K137" i="10"/>
  <c r="E137" i="10"/>
  <c r="Q137" i="10"/>
  <c r="S927" i="10"/>
  <c r="Q927" i="10"/>
  <c r="M927" i="10"/>
  <c r="I927" i="10"/>
  <c r="K927" i="10"/>
  <c r="E927" i="10"/>
  <c r="G927" i="10"/>
  <c r="O927" i="10"/>
  <c r="S810" i="10"/>
  <c r="O810" i="10"/>
  <c r="I810" i="10"/>
  <c r="M810" i="10"/>
  <c r="Q810" i="10"/>
  <c r="G810" i="10"/>
  <c r="E810" i="10"/>
  <c r="K810" i="10"/>
  <c r="M102" i="10"/>
  <c r="E128" i="10"/>
  <c r="Q935" i="10"/>
  <c r="S42" i="10"/>
  <c r="I326" i="10"/>
  <c r="E871" i="10"/>
  <c r="I150" i="10"/>
  <c r="G150" i="10"/>
  <c r="E150" i="10"/>
  <c r="Q150" i="10"/>
  <c r="S150" i="10"/>
  <c r="O150" i="10"/>
  <c r="K150" i="10"/>
  <c r="M150" i="10"/>
  <c r="S537" i="10"/>
  <c r="Q537" i="10"/>
  <c r="M537" i="10"/>
  <c r="I537" i="10"/>
  <c r="K537" i="10"/>
  <c r="G537" i="10"/>
  <c r="Q625" i="10"/>
  <c r="O625" i="10"/>
  <c r="M625" i="10"/>
  <c r="K625" i="10"/>
  <c r="G625" i="10"/>
  <c r="I625" i="10"/>
  <c r="E625" i="10"/>
  <c r="S625" i="10"/>
  <c r="S700" i="10"/>
  <c r="O700" i="10"/>
  <c r="Q700" i="10"/>
  <c r="I700" i="10"/>
  <c r="K700" i="10"/>
  <c r="M700" i="10"/>
  <c r="E700" i="10"/>
  <c r="G700" i="10"/>
  <c r="U404" i="10"/>
  <c r="T404" i="10" s="1"/>
  <c r="U159" i="10"/>
  <c r="T159" i="10" s="1"/>
  <c r="I401" i="10"/>
  <c r="G401" i="10"/>
  <c r="E401" i="10"/>
  <c r="Q401" i="10"/>
  <c r="S401" i="10"/>
  <c r="O401" i="10"/>
  <c r="M401" i="10"/>
  <c r="K401" i="10"/>
  <c r="Q745" i="10"/>
  <c r="I128" i="10"/>
  <c r="E768" i="10"/>
  <c r="U75" i="10"/>
  <c r="T75" i="10" s="1"/>
  <c r="E550" i="10"/>
  <c r="M322" i="10"/>
  <c r="K322" i="10"/>
  <c r="K42" i="10"/>
  <c r="E322" i="10"/>
  <c r="O326" i="10"/>
  <c r="K871" i="10"/>
  <c r="S271" i="10"/>
  <c r="O271" i="10"/>
  <c r="M271" i="10"/>
  <c r="K271" i="10"/>
  <c r="I271" i="10"/>
  <c r="E271" i="10"/>
  <c r="G271" i="10"/>
  <c r="Q271" i="10"/>
  <c r="Q246" i="10"/>
  <c r="S246" i="10"/>
  <c r="M246" i="10"/>
  <c r="K246" i="10"/>
  <c r="O246" i="10"/>
  <c r="I246" i="10"/>
  <c r="G246" i="10"/>
  <c r="E246" i="10"/>
  <c r="S541" i="10"/>
  <c r="O541" i="10"/>
  <c r="E541" i="10"/>
  <c r="G541" i="10"/>
  <c r="Q541" i="10"/>
  <c r="K541" i="10"/>
  <c r="M541" i="10"/>
  <c r="I541" i="10"/>
  <c r="G893" i="10"/>
  <c r="Q893" i="10"/>
  <c r="S893" i="10"/>
  <c r="O893" i="10"/>
  <c r="I893" i="10"/>
  <c r="K893" i="10"/>
  <c r="E893" i="10"/>
  <c r="M893" i="10"/>
  <c r="U279" i="10"/>
  <c r="T279" i="10" s="1"/>
  <c r="G359" i="10"/>
  <c r="K359" i="10"/>
  <c r="I359" i="10"/>
  <c r="S359" i="10"/>
  <c r="O359" i="10"/>
  <c r="Q359" i="10"/>
  <c r="M359" i="10"/>
  <c r="E359" i="10"/>
  <c r="Q674" i="10"/>
  <c r="U68" i="10"/>
  <c r="T68" i="10" s="1"/>
  <c r="E745" i="10"/>
  <c r="K128" i="10"/>
  <c r="G768" i="10"/>
  <c r="U328" i="10"/>
  <c r="T328" i="10" s="1"/>
  <c r="I550" i="10"/>
  <c r="G322" i="10"/>
  <c r="K326" i="10"/>
  <c r="O871" i="10"/>
  <c r="O280" i="10"/>
  <c r="M280" i="10"/>
  <c r="E280" i="10"/>
  <c r="K280" i="10"/>
  <c r="K248" i="10"/>
  <c r="Q248" i="10"/>
  <c r="G248" i="10"/>
  <c r="I248" i="10"/>
  <c r="E248" i="10"/>
  <c r="O248" i="10"/>
  <c r="S248" i="10"/>
  <c r="M248" i="10"/>
  <c r="I654" i="10"/>
  <c r="G654" i="10"/>
  <c r="E654" i="10"/>
  <c r="O654" i="10"/>
  <c r="S654" i="10"/>
  <c r="Q654" i="10"/>
  <c r="K654" i="10"/>
  <c r="M654" i="10"/>
  <c r="M765" i="10"/>
  <c r="I765" i="10"/>
  <c r="O765" i="10"/>
  <c r="K765" i="10"/>
  <c r="S765" i="10"/>
  <c r="G765" i="10"/>
  <c r="E765" i="10"/>
  <c r="Q765" i="10"/>
  <c r="K572" i="10"/>
  <c r="G572" i="10"/>
  <c r="I572" i="10"/>
  <c r="E572" i="10"/>
  <c r="S572" i="10"/>
  <c r="Q572" i="10"/>
  <c r="O572" i="10"/>
  <c r="M572" i="10"/>
  <c r="E924" i="10"/>
  <c r="S924" i="10"/>
  <c r="Q924" i="10"/>
  <c r="G924" i="10"/>
  <c r="O924" i="10"/>
  <c r="K924" i="10"/>
  <c r="M924" i="10"/>
  <c r="I924" i="10"/>
  <c r="Q377" i="10"/>
  <c r="S377" i="10"/>
  <c r="M377" i="10"/>
  <c r="O377" i="10"/>
  <c r="I377" i="10"/>
  <c r="K377" i="10"/>
  <c r="G377" i="10"/>
  <c r="E377" i="10"/>
  <c r="S658" i="10"/>
  <c r="Q658" i="10"/>
  <c r="O658" i="10"/>
  <c r="M658" i="10"/>
  <c r="K658" i="10"/>
  <c r="I658" i="10"/>
  <c r="E658" i="10"/>
  <c r="G658" i="10"/>
  <c r="M551" i="10"/>
  <c r="G551" i="10"/>
  <c r="E551" i="10"/>
  <c r="Q551" i="10"/>
  <c r="O551" i="10"/>
  <c r="K551" i="10"/>
  <c r="I551" i="10"/>
  <c r="S551" i="10"/>
  <c r="M445" i="10"/>
  <c r="K445" i="10"/>
  <c r="G445" i="10"/>
  <c r="I445" i="10"/>
  <c r="E445" i="10"/>
  <c r="O445" i="10"/>
  <c r="S445" i="10"/>
  <c r="Q445" i="10"/>
  <c r="E939" i="10"/>
  <c r="I218" i="10"/>
  <c r="G674" i="10"/>
  <c r="M768" i="10"/>
  <c r="M411" i="10"/>
  <c r="M550" i="10"/>
  <c r="O322" i="10"/>
  <c r="S326" i="10"/>
  <c r="I871" i="10"/>
  <c r="Q379" i="10"/>
  <c r="S379" i="10"/>
  <c r="O379" i="10"/>
  <c r="M379" i="10"/>
  <c r="I379" i="10"/>
  <c r="K379" i="10"/>
  <c r="E379" i="10"/>
  <c r="G379" i="10"/>
  <c r="O666" i="10"/>
  <c r="K666" i="10"/>
  <c r="I666" i="10"/>
  <c r="G666" i="10"/>
  <c r="E666" i="10"/>
  <c r="S666" i="10"/>
  <c r="Q666" i="10"/>
  <c r="M666" i="10"/>
  <c r="O576" i="10"/>
  <c r="K576" i="10"/>
  <c r="I576" i="10"/>
  <c r="E576" i="10"/>
  <c r="G576" i="10"/>
  <c r="Q576" i="10"/>
  <c r="M576" i="10"/>
  <c r="S576" i="10"/>
  <c r="Q546" i="10"/>
  <c r="S546" i="10"/>
  <c r="M546" i="10"/>
  <c r="O546" i="10"/>
  <c r="K546" i="10"/>
  <c r="I546" i="10"/>
  <c r="G546" i="10"/>
  <c r="E546" i="10"/>
  <c r="S417" i="10"/>
  <c r="Q417" i="10"/>
  <c r="O417" i="10"/>
  <c r="M417" i="10"/>
  <c r="I417" i="10"/>
  <c r="K417" i="10"/>
  <c r="G417" i="10"/>
  <c r="E417" i="10"/>
  <c r="U380" i="10"/>
  <c r="T380" i="10" s="1"/>
  <c r="Q326" i="10"/>
  <c r="I210" i="10"/>
  <c r="G210" i="10"/>
  <c r="E210" i="10"/>
  <c r="K210" i="10"/>
  <c r="S210" i="10"/>
  <c r="Q210" i="10"/>
  <c r="M210" i="10"/>
  <c r="O210" i="10"/>
  <c r="O574" i="10"/>
  <c r="M574" i="10"/>
  <c r="K574" i="10"/>
  <c r="I574" i="10"/>
  <c r="G574" i="10"/>
  <c r="E574" i="10"/>
  <c r="S574" i="10"/>
  <c r="Q574" i="10"/>
  <c r="K218" i="10"/>
  <c r="I674" i="10"/>
  <c r="K768" i="10"/>
  <c r="S411" i="10"/>
  <c r="Q936" i="10"/>
  <c r="U365" i="10"/>
  <c r="T365" i="10" s="1"/>
  <c r="U301" i="10"/>
  <c r="T301" i="10" s="1"/>
  <c r="O550" i="10"/>
  <c r="S322" i="10"/>
  <c r="M326" i="10"/>
  <c r="G673" i="10"/>
  <c r="S673" i="10"/>
  <c r="Q673" i="10"/>
  <c r="O673" i="10"/>
  <c r="M673" i="10"/>
  <c r="K673" i="10"/>
  <c r="I673" i="10"/>
  <c r="E673" i="10"/>
  <c r="S634" i="10"/>
  <c r="Q634" i="10"/>
  <c r="K634" i="10"/>
  <c r="E634" i="10"/>
  <c r="G634" i="10"/>
  <c r="O634" i="10"/>
  <c r="I634" i="10"/>
  <c r="M634" i="10"/>
  <c r="S813" i="10"/>
  <c r="G813" i="10"/>
  <c r="E813" i="10"/>
  <c r="Q813" i="10"/>
  <c r="O813" i="10"/>
  <c r="M813" i="10"/>
  <c r="K813" i="10"/>
  <c r="I813" i="10"/>
  <c r="S548" i="10"/>
  <c r="M548" i="10"/>
  <c r="Q548" i="10"/>
  <c r="O548" i="10"/>
  <c r="K548" i="10"/>
  <c r="I548" i="10"/>
  <c r="E548" i="10"/>
  <c r="G548" i="10"/>
  <c r="Q686" i="10"/>
  <c r="O686" i="10"/>
  <c r="K686" i="10"/>
  <c r="M686" i="10"/>
  <c r="S686" i="10"/>
  <c r="E686" i="10"/>
  <c r="G686" i="10"/>
  <c r="U616" i="10"/>
  <c r="T616" i="10" s="1"/>
  <c r="M871" i="10"/>
  <c r="S871" i="10"/>
  <c r="E674" i="10"/>
  <c r="Q550" i="10"/>
  <c r="O675" i="10"/>
  <c r="S675" i="10"/>
  <c r="I815" i="10"/>
  <c r="M815" i="10"/>
  <c r="Q815" i="10"/>
  <c r="K815" i="10"/>
  <c r="G815" i="10"/>
  <c r="I709" i="10"/>
  <c r="M709" i="10"/>
  <c r="K709" i="10"/>
  <c r="G709" i="10"/>
  <c r="E709" i="10"/>
  <c r="S709" i="10"/>
  <c r="O709" i="10"/>
  <c r="Q709" i="10"/>
  <c r="U385" i="10"/>
  <c r="T385" i="10" s="1"/>
  <c r="U538" i="10"/>
  <c r="T538" i="10" s="1"/>
  <c r="U718" i="10"/>
  <c r="T718" i="10" s="1"/>
  <c r="U575" i="10"/>
  <c r="T575" i="10" s="1"/>
  <c r="U35" i="10"/>
  <c r="T35" i="10" s="1"/>
  <c r="U493" i="10"/>
  <c r="T493" i="10" s="1"/>
  <c r="U416" i="10"/>
  <c r="T416" i="10" s="1"/>
  <c r="U152" i="10"/>
  <c r="T152" i="10" s="1"/>
  <c r="U80" i="10"/>
  <c r="T80" i="10" s="1"/>
  <c r="U421" i="10"/>
  <c r="T421" i="10" s="1"/>
  <c r="U231" i="10"/>
  <c r="T231" i="10" s="1"/>
  <c r="U217" i="10"/>
  <c r="T217" i="10" s="1"/>
  <c r="U38" i="10"/>
  <c r="T38" i="10" s="1"/>
  <c r="U259" i="10"/>
  <c r="T259" i="10" s="1"/>
  <c r="U225" i="10"/>
  <c r="T225" i="10" s="1"/>
  <c r="U191" i="10"/>
  <c r="T191" i="10" s="1"/>
  <c r="U662" i="10"/>
  <c r="T662" i="10" s="1"/>
  <c r="U87" i="10"/>
  <c r="T87" i="10" s="1"/>
  <c r="U628" i="10"/>
  <c r="T628" i="10" s="1"/>
  <c r="U553" i="10"/>
  <c r="T553" i="10" s="1"/>
  <c r="U171" i="10"/>
  <c r="T171" i="10" s="1"/>
  <c r="U646" i="10"/>
  <c r="T646" i="10" s="1"/>
  <c r="U72" i="10"/>
  <c r="T72" i="10" s="1"/>
  <c r="U19" i="10"/>
  <c r="T19" i="10" s="1"/>
  <c r="U26" i="10"/>
  <c r="T26" i="10" s="1"/>
  <c r="U39" i="10"/>
  <c r="T39" i="10" s="1"/>
  <c r="U789" i="10"/>
  <c r="T789" i="10" s="1"/>
  <c r="K102" i="10"/>
  <c r="K867" i="10"/>
  <c r="S936" i="10"/>
  <c r="E935" i="10"/>
  <c r="K861" i="10"/>
  <c r="O861" i="10"/>
  <c r="G861" i="10"/>
  <c r="E861" i="10"/>
  <c r="M861" i="10"/>
  <c r="I861" i="10"/>
  <c r="S861" i="10"/>
  <c r="Q861" i="10"/>
  <c r="U22" i="10"/>
  <c r="T22" i="10" s="1"/>
  <c r="U266" i="10"/>
  <c r="T266" i="10" s="1"/>
  <c r="O102" i="10"/>
  <c r="M867" i="10"/>
  <c r="O936" i="10"/>
  <c r="I935" i="10"/>
  <c r="S745" i="10"/>
  <c r="M745" i="10"/>
  <c r="G745" i="10"/>
  <c r="M492" i="10"/>
  <c r="K492" i="10"/>
  <c r="I492" i="10"/>
  <c r="E492" i="10"/>
  <c r="G492" i="10"/>
  <c r="Q492" i="10"/>
  <c r="S492" i="10"/>
  <c r="O492" i="10"/>
  <c r="U174" i="10"/>
  <c r="T174" i="10" s="1"/>
  <c r="S102" i="10"/>
  <c r="O867" i="10"/>
  <c r="U506" i="10"/>
  <c r="T506" i="10" s="1"/>
  <c r="M936" i="10"/>
  <c r="O877" i="10"/>
  <c r="I877" i="10"/>
  <c r="S877" i="10"/>
  <c r="Q877" i="10"/>
  <c r="M877" i="10"/>
  <c r="K877" i="10"/>
  <c r="E877" i="10"/>
  <c r="G877" i="10"/>
  <c r="I791" i="10"/>
  <c r="S791" i="10"/>
  <c r="O791" i="10"/>
  <c r="Q791" i="10"/>
  <c r="E791" i="10"/>
  <c r="M791" i="10"/>
  <c r="K791" i="10"/>
  <c r="G791" i="10"/>
  <c r="U215" i="10"/>
  <c r="T215" i="10" s="1"/>
  <c r="U714" i="10"/>
  <c r="T714" i="10" s="1"/>
  <c r="U163" i="10"/>
  <c r="T163" i="10" s="1"/>
  <c r="S755" i="10"/>
  <c r="Q755" i="10"/>
  <c r="O755" i="10"/>
  <c r="M755" i="10"/>
  <c r="K755" i="10"/>
  <c r="I755" i="10"/>
  <c r="E755" i="10"/>
  <c r="G755" i="10"/>
  <c r="Q102" i="10"/>
  <c r="K12" i="10"/>
  <c r="M12" i="10"/>
  <c r="E12" i="10"/>
  <c r="I12" i="10"/>
  <c r="O12" i="10"/>
  <c r="S12" i="10"/>
  <c r="G12" i="10"/>
  <c r="Q12" i="10"/>
  <c r="Q872" i="10"/>
  <c r="O872" i="10"/>
  <c r="K872" i="10"/>
  <c r="U100" i="10"/>
  <c r="T100" i="10" s="1"/>
  <c r="U549" i="10"/>
  <c r="T549" i="10" s="1"/>
  <c r="E779" i="10"/>
  <c r="E455" i="10"/>
  <c r="U219" i="10"/>
  <c r="T219" i="10" s="1"/>
  <c r="S867" i="10"/>
  <c r="I9" i="10"/>
  <c r="K9" i="10"/>
  <c r="G9" i="10"/>
  <c r="E9" i="10"/>
  <c r="O9" i="10"/>
  <c r="M9" i="10"/>
  <c r="Q9" i="10"/>
  <c r="S9" i="10"/>
  <c r="U290" i="10"/>
  <c r="T290" i="10" s="1"/>
  <c r="U708" i="10"/>
  <c r="T708" i="10" s="1"/>
  <c r="U500" i="10"/>
  <c r="T500" i="10" s="1"/>
  <c r="K455" i="10"/>
  <c r="I270" i="10"/>
  <c r="G270" i="10"/>
  <c r="E936" i="10"/>
  <c r="K936" i="10"/>
  <c r="S310" i="10"/>
  <c r="Q310" i="10"/>
  <c r="O310" i="10"/>
  <c r="M310" i="10"/>
  <c r="K310" i="10"/>
  <c r="I310" i="10"/>
  <c r="G310" i="10"/>
  <c r="E310" i="10"/>
  <c r="S188" i="10"/>
  <c r="Q188" i="10"/>
  <c r="M188" i="10"/>
  <c r="O188" i="10"/>
  <c r="I188" i="10"/>
  <c r="E188" i="10"/>
  <c r="K188" i="10"/>
  <c r="G188" i="10"/>
  <c r="U95" i="10"/>
  <c r="T95" i="10" s="1"/>
  <c r="O731" i="10"/>
  <c r="G731" i="10"/>
  <c r="S731" i="10"/>
  <c r="Q731" i="10"/>
  <c r="I731" i="10"/>
  <c r="E731" i="10"/>
  <c r="M731" i="10"/>
  <c r="K731" i="10"/>
  <c r="Q221" i="10"/>
  <c r="O221" i="10"/>
  <c r="Q28" i="10"/>
  <c r="O28" i="10"/>
  <c r="M28" i="10"/>
  <c r="K28" i="10"/>
  <c r="I28" i="10"/>
  <c r="G28" i="10"/>
  <c r="E28" i="10"/>
  <c r="S28" i="10"/>
  <c r="E567" i="10"/>
  <c r="S567" i="10"/>
  <c r="Q567" i="10"/>
  <c r="O567" i="10"/>
  <c r="I567" i="10"/>
  <c r="G567" i="10"/>
  <c r="M567" i="10"/>
  <c r="K567" i="10"/>
  <c r="U668" i="10"/>
  <c r="T668" i="10" s="1"/>
  <c r="U103" i="10"/>
  <c r="T103" i="10" s="1"/>
  <c r="U76" i="10"/>
  <c r="T76" i="10" s="1"/>
  <c r="U364" i="10"/>
  <c r="T364" i="10" s="1"/>
  <c r="U584" i="10"/>
  <c r="T584" i="10" s="1"/>
  <c r="E656" i="10"/>
  <c r="G656" i="10"/>
  <c r="M656" i="10"/>
  <c r="Q656" i="10"/>
  <c r="K656" i="10"/>
  <c r="I656" i="10"/>
  <c r="S656" i="10"/>
  <c r="O656" i="10"/>
  <c r="M919" i="10"/>
  <c r="G919" i="10"/>
  <c r="S919" i="10"/>
  <c r="Q919" i="10"/>
  <c r="O919" i="10"/>
  <c r="K919" i="10"/>
  <c r="I919" i="10"/>
  <c r="E919" i="10"/>
  <c r="U125" i="10"/>
  <c r="T125" i="10" s="1"/>
  <c r="U160" i="10"/>
  <c r="T160" i="10" s="1"/>
  <c r="U165" i="10"/>
  <c r="T165" i="10" s="1"/>
  <c r="U618" i="10"/>
  <c r="T618" i="10" s="1"/>
  <c r="U844" i="10"/>
  <c r="T844" i="10" s="1"/>
  <c r="U358" i="10"/>
  <c r="T358" i="10" s="1"/>
  <c r="U61" i="10"/>
  <c r="T61" i="10" s="1"/>
  <c r="U341" i="10"/>
  <c r="T341" i="10" s="1"/>
  <c r="I939" i="10"/>
  <c r="G939" i="10"/>
  <c r="E938" i="10"/>
  <c r="G938" i="10"/>
  <c r="I938" i="10"/>
  <c r="S938" i="10"/>
  <c r="Q938" i="10"/>
  <c r="O938" i="10"/>
  <c r="M938" i="10"/>
  <c r="K938" i="10"/>
  <c r="U465" i="10"/>
  <c r="T465" i="10" s="1"/>
  <c r="O218" i="10"/>
  <c r="S521" i="10"/>
  <c r="Q521" i="10"/>
  <c r="O521" i="10"/>
  <c r="M521" i="10"/>
  <c r="I521" i="10"/>
  <c r="E521" i="10"/>
  <c r="G521" i="10"/>
  <c r="K521" i="10"/>
  <c r="U169" i="10"/>
  <c r="T169" i="10" s="1"/>
  <c r="S779" i="10"/>
  <c r="U320" i="10"/>
  <c r="T320" i="10" s="1"/>
  <c r="M629" i="10"/>
  <c r="I629" i="10"/>
  <c r="K629" i="10"/>
  <c r="G629" i="10"/>
  <c r="E629" i="10"/>
  <c r="O629" i="10"/>
  <c r="S629" i="10"/>
  <c r="Q629" i="10"/>
  <c r="E881" i="10"/>
  <c r="G881" i="10"/>
  <c r="S881" i="10"/>
  <c r="M881" i="10"/>
  <c r="K881" i="10"/>
  <c r="Q881" i="10"/>
  <c r="O881" i="10"/>
  <c r="I881" i="10"/>
  <c r="U305" i="10"/>
  <c r="T305" i="10" s="1"/>
  <c r="M779" i="10"/>
  <c r="S599" i="10"/>
  <c r="Q599" i="10"/>
  <c r="O599" i="10"/>
  <c r="G599" i="10"/>
  <c r="E599" i="10"/>
  <c r="K599" i="10"/>
  <c r="I599" i="10"/>
  <c r="M599" i="10"/>
  <c r="Q218" i="10"/>
  <c r="E218" i="10"/>
  <c r="G218" i="10"/>
  <c r="Q833" i="10"/>
  <c r="O833" i="10"/>
  <c r="S833" i="10"/>
  <c r="K833" i="10"/>
  <c r="I833" i="10"/>
  <c r="M833" i="10"/>
  <c r="E833" i="10"/>
  <c r="G833" i="10"/>
  <c r="U208" i="10"/>
  <c r="T208" i="10" s="1"/>
  <c r="U283" i="10"/>
  <c r="T283" i="10" s="1"/>
  <c r="U638" i="10"/>
  <c r="T638" i="10" s="1"/>
  <c r="U370" i="10"/>
  <c r="T370" i="10" s="1"/>
  <c r="K779" i="10"/>
  <c r="I811" i="10"/>
  <c r="M811" i="10"/>
  <c r="E811" i="10"/>
  <c r="G811" i="10"/>
  <c r="O811" i="10"/>
  <c r="K811" i="10"/>
  <c r="Q811" i="10"/>
  <c r="S811" i="10"/>
  <c r="G921" i="10"/>
  <c r="E921" i="10"/>
  <c r="Q921" i="10"/>
  <c r="I921" i="10"/>
  <c r="K921" i="10"/>
  <c r="M921" i="10"/>
  <c r="S921" i="10"/>
  <c r="O921" i="10"/>
  <c r="S933" i="10"/>
  <c r="Q933" i="10"/>
  <c r="M933" i="10"/>
  <c r="I933" i="10"/>
  <c r="K933" i="10"/>
  <c r="O933" i="10"/>
  <c r="G933" i="10"/>
  <c r="E933" i="10"/>
  <c r="U564" i="10"/>
  <c r="T564" i="10" s="1"/>
  <c r="U536" i="10"/>
  <c r="T536" i="10" s="1"/>
  <c r="M932" i="10"/>
  <c r="O932" i="10"/>
  <c r="K932" i="10"/>
  <c r="G932" i="10"/>
  <c r="I932" i="10"/>
  <c r="E932" i="10"/>
  <c r="S932" i="10"/>
  <c r="Q932" i="10"/>
  <c r="U30" i="10"/>
  <c r="T30" i="10" s="1"/>
  <c r="S489" i="10"/>
  <c r="Q489" i="10"/>
  <c r="O489" i="10"/>
  <c r="K489" i="10"/>
  <c r="I489" i="10"/>
  <c r="M489" i="10"/>
  <c r="G489" i="10"/>
  <c r="E489" i="10"/>
  <c r="U220" i="10"/>
  <c r="T220" i="10" s="1"/>
  <c r="O779" i="10"/>
  <c r="S934" i="10"/>
  <c r="Q934" i="10"/>
  <c r="O934" i="10"/>
  <c r="K934" i="10"/>
  <c r="I934" i="10"/>
  <c r="M934" i="10"/>
  <c r="G934" i="10"/>
  <c r="E934" i="10"/>
  <c r="G455" i="10"/>
  <c r="I455" i="10"/>
  <c r="I831" i="10"/>
  <c r="E831" i="10"/>
  <c r="G831" i="10"/>
  <c r="S831" i="10"/>
  <c r="K831" i="10"/>
  <c r="M831" i="10"/>
  <c r="Q831" i="10"/>
  <c r="O831" i="10"/>
  <c r="U190" i="10"/>
  <c r="T190" i="10" s="1"/>
  <c r="U509" i="10"/>
  <c r="T509" i="10" s="1"/>
  <c r="G907" i="10"/>
  <c r="I907" i="10"/>
  <c r="S907" i="10"/>
  <c r="Q907" i="10"/>
  <c r="O907" i="10"/>
  <c r="E907" i="10"/>
  <c r="K907" i="10"/>
  <c r="M907" i="10"/>
  <c r="Q800" i="10"/>
  <c r="M800" i="10"/>
  <c r="K800" i="10"/>
  <c r="I800" i="10"/>
  <c r="E800" i="10"/>
  <c r="G800" i="10"/>
  <c r="S800" i="10"/>
  <c r="O800" i="10"/>
  <c r="S775" i="10"/>
  <c r="Q775" i="10"/>
  <c r="O775" i="10"/>
  <c r="E775" i="10"/>
  <c r="G775" i="10"/>
  <c r="M775" i="10"/>
  <c r="K775" i="10"/>
  <c r="I775" i="10"/>
  <c r="K889" i="10"/>
  <c r="I889" i="10"/>
  <c r="E889" i="10"/>
  <c r="G889" i="10"/>
  <c r="M889" i="10"/>
  <c r="Q889" i="10"/>
  <c r="S889" i="10"/>
  <c r="O889" i="10"/>
  <c r="U415" i="10"/>
  <c r="T415" i="10" s="1"/>
  <c r="U329" i="10"/>
  <c r="T329" i="10" s="1"/>
  <c r="U226" i="10"/>
  <c r="T226" i="10" s="1"/>
  <c r="I931" i="10"/>
  <c r="G931" i="10"/>
  <c r="S931" i="10"/>
  <c r="M931" i="10"/>
  <c r="E931" i="10"/>
  <c r="Q931" i="10"/>
  <c r="O931" i="10"/>
  <c r="K931" i="10"/>
  <c r="U79" i="10"/>
  <c r="T79" i="10" s="1"/>
  <c r="S218" i="10"/>
  <c r="S296" i="10"/>
  <c r="M296" i="10"/>
  <c r="Q296" i="10"/>
  <c r="O296" i="10"/>
  <c r="K296" i="10"/>
  <c r="G296" i="10"/>
  <c r="E296" i="10"/>
  <c r="I296" i="10"/>
  <c r="G102" i="10"/>
  <c r="I102" i="10"/>
  <c r="K722" i="10"/>
  <c r="M722" i="10"/>
  <c r="E722" i="10"/>
  <c r="I722" i="10"/>
  <c r="G722" i="10"/>
  <c r="Q722" i="10"/>
  <c r="S722" i="10"/>
  <c r="O722" i="10"/>
  <c r="K697" i="10"/>
  <c r="E697" i="10"/>
  <c r="G697" i="10"/>
  <c r="I697" i="10"/>
  <c r="S697" i="10"/>
  <c r="M697" i="10"/>
  <c r="O697" i="10"/>
  <c r="Q697" i="10"/>
  <c r="U334" i="10"/>
  <c r="T334" i="10" s="1"/>
  <c r="U369" i="10"/>
  <c r="T369" i="10" s="1"/>
  <c r="U99" i="10"/>
  <c r="T99" i="10" s="1"/>
  <c r="U403" i="10"/>
  <c r="T403" i="10" s="1"/>
  <c r="U227" i="10"/>
  <c r="T227" i="10" s="1"/>
  <c r="G312" i="10"/>
  <c r="Q312" i="10"/>
  <c r="O312" i="10"/>
  <c r="I312" i="10"/>
  <c r="E312" i="10"/>
  <c r="S312" i="10"/>
  <c r="K312" i="10"/>
  <c r="M312" i="10"/>
  <c r="U82" i="10"/>
  <c r="T82" i="10" s="1"/>
  <c r="S366" i="10"/>
  <c r="Q366" i="10"/>
  <c r="O366" i="10"/>
  <c r="K366" i="10"/>
  <c r="I366" i="10"/>
  <c r="M366" i="10"/>
  <c r="G366" i="10"/>
  <c r="E366" i="10"/>
  <c r="E173" i="10"/>
  <c r="O173" i="10"/>
  <c r="M173" i="10"/>
  <c r="K173" i="10"/>
  <c r="G173" i="10"/>
  <c r="Q727" i="10"/>
  <c r="S727" i="10"/>
  <c r="O727" i="10"/>
  <c r="M727" i="10"/>
  <c r="I727" i="10"/>
  <c r="G727" i="10"/>
  <c r="K727" i="10"/>
  <c r="E727" i="10"/>
  <c r="S776" i="10"/>
  <c r="O776" i="10"/>
  <c r="M776" i="10"/>
  <c r="G776" i="10"/>
  <c r="E776" i="10"/>
  <c r="Q776" i="10"/>
  <c r="K776" i="10"/>
  <c r="I776" i="10"/>
  <c r="U139" i="10"/>
  <c r="T139" i="10" s="1"/>
  <c r="M937" i="10"/>
  <c r="K937" i="10"/>
  <c r="E937" i="10"/>
  <c r="G937" i="10"/>
  <c r="Q937" i="10"/>
  <c r="S937" i="10"/>
  <c r="O937" i="10"/>
  <c r="I937" i="10"/>
  <c r="K817" i="10"/>
  <c r="I817" i="10"/>
  <c r="E817" i="10"/>
  <c r="G817" i="10"/>
  <c r="O817" i="10"/>
  <c r="M817" i="10"/>
  <c r="S817" i="10"/>
  <c r="Q817" i="10"/>
  <c r="U91" i="10"/>
  <c r="T91" i="10" s="1"/>
  <c r="U346" i="10"/>
  <c r="T346" i="10" s="1"/>
  <c r="G510" i="10"/>
  <c r="E510" i="10"/>
  <c r="S510" i="10"/>
  <c r="M510" i="10"/>
  <c r="I510" i="10"/>
  <c r="K510" i="10"/>
  <c r="Q510" i="10"/>
  <c r="O510" i="10"/>
  <c r="E760" i="10"/>
  <c r="S760" i="10"/>
  <c r="Q760" i="10"/>
  <c r="G760" i="10"/>
  <c r="K760" i="10"/>
  <c r="I760" i="10"/>
  <c r="O760" i="10"/>
  <c r="M760" i="10"/>
  <c r="Q738" i="10"/>
  <c r="S738" i="10"/>
  <c r="K738" i="10"/>
  <c r="O738" i="10"/>
  <c r="M738" i="10"/>
  <c r="E738" i="10"/>
  <c r="I738" i="10"/>
  <c r="G738" i="10"/>
  <c r="U520" i="10"/>
  <c r="T520" i="10" s="1"/>
  <c r="U382" i="10"/>
  <c r="T382" i="10" s="1"/>
  <c r="AJ6" i="4"/>
  <c r="K940" i="10"/>
  <c r="I940" i="10"/>
  <c r="G940" i="10"/>
  <c r="E940" i="10"/>
  <c r="S940" i="10"/>
  <c r="Q940" i="10"/>
  <c r="O940" i="10"/>
  <c r="M940" i="10"/>
  <c r="I941" i="10"/>
  <c r="K941" i="10"/>
  <c r="E941" i="10"/>
  <c r="M941" i="10"/>
  <c r="G941" i="10"/>
  <c r="Q941" i="10"/>
  <c r="S941" i="10"/>
  <c r="O941" i="10"/>
  <c r="AG7" i="4"/>
  <c r="U282" i="10"/>
  <c r="T282" i="10" s="1"/>
  <c r="U644" i="10"/>
  <c r="T644" i="10" s="1"/>
  <c r="U21" i="10"/>
  <c r="T21" i="10" s="1"/>
  <c r="U34" i="10"/>
  <c r="T34" i="10" s="1"/>
  <c r="U33" i="10"/>
  <c r="T33" i="10" s="1"/>
  <c r="U612" i="10"/>
  <c r="T612" i="10" s="1"/>
  <c r="X13" i="4"/>
  <c r="Y13" i="4" s="1"/>
  <c r="T6" i="4"/>
  <c r="U6" i="4" s="1"/>
  <c r="V14" i="4"/>
  <c r="W14" i="4" s="1"/>
  <c r="X14" i="4"/>
  <c r="Y14" i="4" s="1"/>
  <c r="X7" i="4"/>
  <c r="Y7" i="4" s="1"/>
  <c r="V7" i="4"/>
  <c r="W7" i="4" s="1"/>
  <c r="V6" i="4"/>
  <c r="W6" i="4" s="1"/>
  <c r="T13" i="4"/>
  <c r="U13" i="4" s="1"/>
  <c r="V15" i="4"/>
  <c r="W15" i="4" s="1"/>
  <c r="T7" i="4"/>
  <c r="U7" i="4" s="1"/>
  <c r="X6" i="4"/>
  <c r="Y6" i="4" s="1"/>
  <c r="X15" i="4"/>
  <c r="Y15" i="4" s="1"/>
  <c r="T15" i="4"/>
  <c r="U15" i="4" s="1"/>
  <c r="V13" i="4"/>
  <c r="W13" i="4" s="1"/>
  <c r="T14" i="4"/>
  <c r="U14" i="4" s="1"/>
  <c r="U733" i="10"/>
  <c r="T733" i="10" s="1"/>
  <c r="U912" i="10"/>
  <c r="T912" i="10" s="1"/>
  <c r="U863" i="10"/>
  <c r="T863" i="10" s="1"/>
  <c r="U94" i="10"/>
  <c r="T94" i="10" s="1"/>
  <c r="U54" i="10"/>
  <c r="T54" i="10" s="1"/>
  <c r="U240" i="10"/>
  <c r="T240" i="10" s="1"/>
  <c r="AG6" i="4"/>
  <c r="U418" i="10"/>
  <c r="T418" i="10" s="1"/>
  <c r="U255" i="10"/>
  <c r="T255" i="10" s="1"/>
  <c r="U66" i="10"/>
  <c r="T66" i="10" s="1"/>
  <c r="U386" i="10"/>
  <c r="T386" i="10" s="1"/>
  <c r="U145" i="10"/>
  <c r="T145" i="10" s="1"/>
  <c r="U170" i="10"/>
  <c r="T170" i="10" s="1"/>
  <c r="U154" i="10"/>
  <c r="T154" i="10" s="1"/>
  <c r="Q898" i="10"/>
  <c r="S898" i="10"/>
  <c r="O898" i="10"/>
  <c r="M898" i="10"/>
  <c r="K898" i="10"/>
  <c r="G898" i="10"/>
  <c r="I898" i="10"/>
  <c r="E898" i="10"/>
  <c r="S886" i="10"/>
  <c r="Q886" i="10"/>
  <c r="O886" i="10"/>
  <c r="K886" i="10"/>
  <c r="G886" i="10"/>
  <c r="E886" i="10"/>
  <c r="M886" i="10"/>
  <c r="I886" i="10"/>
  <c r="U311" i="10"/>
  <c r="T311" i="10" s="1"/>
  <c r="U560" i="10"/>
  <c r="T560" i="10" s="1"/>
  <c r="U267" i="10"/>
  <c r="T267" i="10" s="1"/>
  <c r="U187" i="10"/>
  <c r="T187" i="10" s="1"/>
  <c r="AG13" i="4"/>
  <c r="U60" i="10"/>
  <c r="T60" i="10" s="1"/>
  <c r="U98" i="10"/>
  <c r="T98" i="10" s="1"/>
  <c r="U368" i="10"/>
  <c r="T368" i="10" s="1"/>
  <c r="U610" i="10"/>
  <c r="T610" i="10" s="1"/>
  <c r="U13" i="10"/>
  <c r="T13" i="10" s="1"/>
  <c r="U278" i="10"/>
  <c r="T278" i="10" s="1"/>
  <c r="U216" i="10"/>
  <c r="T216" i="10" s="1"/>
  <c r="U710" i="10"/>
  <c r="T710" i="10" s="1"/>
  <c r="U64" i="10"/>
  <c r="T64" i="10" s="1"/>
  <c r="U101" i="10"/>
  <c r="T101" i="10" s="1"/>
  <c r="U121" i="10"/>
  <c r="T121" i="10" s="1"/>
  <c r="U198" i="10"/>
  <c r="T198" i="10" s="1"/>
  <c r="U339" i="10"/>
  <c r="T339" i="10" s="1"/>
  <c r="U600" i="10"/>
  <c r="T600" i="10" s="1"/>
  <c r="F14" i="4"/>
  <c r="G14" i="4" s="1"/>
  <c r="H14" i="4"/>
  <c r="I14" i="4" s="1"/>
  <c r="D13" i="4"/>
  <c r="E13" i="4" s="1"/>
  <c r="D15" i="4"/>
  <c r="E15" i="4" s="1"/>
  <c r="H13" i="4"/>
  <c r="I13" i="4" s="1"/>
  <c r="H6" i="4"/>
  <c r="I6" i="4" s="1"/>
  <c r="F6" i="4"/>
  <c r="G6" i="4" s="1"/>
  <c r="D14" i="4"/>
  <c r="E14" i="4" s="1"/>
  <c r="H15" i="4"/>
  <c r="I15" i="4" s="1"/>
  <c r="D7" i="4"/>
  <c r="E7" i="4" s="1"/>
  <c r="F7" i="4"/>
  <c r="G7" i="4" s="1"/>
  <c r="F15" i="4"/>
  <c r="G15" i="4" s="1"/>
  <c r="D6" i="4"/>
  <c r="E6" i="4" s="1"/>
  <c r="H7" i="4"/>
  <c r="I7" i="4" s="1"/>
  <c r="F13" i="4"/>
  <c r="G13" i="4" s="1"/>
  <c r="D25" i="4" l="1"/>
  <c r="D26" i="4" s="1"/>
  <c r="D27" i="4" s="1"/>
  <c r="G15" i="1"/>
  <c r="C6" i="10"/>
  <c r="O6" i="10" s="1"/>
  <c r="T19" i="4"/>
  <c r="S25" i="4"/>
  <c r="AO4" i="2"/>
  <c r="T25" i="4"/>
  <c r="T26" i="4" s="1"/>
  <c r="T27" i="4" s="1"/>
  <c r="AL6" i="4"/>
  <c r="AG15" i="4"/>
  <c r="S26" i="4" s="1"/>
  <c r="AM4" i="2"/>
  <c r="AN4" i="2" s="1"/>
  <c r="U895" i="10"/>
  <c r="T895" i="10" s="1"/>
  <c r="U928" i="10"/>
  <c r="T928" i="10" s="1"/>
  <c r="U679" i="10"/>
  <c r="T679" i="10" s="1"/>
  <c r="U603" i="10"/>
  <c r="T603" i="10" s="1"/>
  <c r="U593" i="10"/>
  <c r="T593" i="10" s="1"/>
  <c r="U138" i="10"/>
  <c r="T138" i="10" s="1"/>
  <c r="U539" i="10"/>
  <c r="T539" i="10" s="1"/>
  <c r="U458" i="10"/>
  <c r="T458" i="10" s="1"/>
  <c r="U639" i="10"/>
  <c r="T639" i="10" s="1"/>
  <c r="U635" i="10"/>
  <c r="T635" i="10" s="1"/>
  <c r="U468" i="10"/>
  <c r="T468" i="10" s="1"/>
  <c r="U814" i="10"/>
  <c r="T814" i="10" s="1"/>
  <c r="U820" i="10"/>
  <c r="T820" i="10" s="1"/>
  <c r="U742" i="10"/>
  <c r="T742" i="10" s="1"/>
  <c r="U707" i="10"/>
  <c r="T707" i="10" s="1"/>
  <c r="U699" i="10"/>
  <c r="T699" i="10" s="1"/>
  <c r="U451" i="10"/>
  <c r="T451" i="10" s="1"/>
  <c r="U759" i="10"/>
  <c r="T759" i="10" s="1"/>
  <c r="U232" i="10"/>
  <c r="T232" i="10" s="1"/>
  <c r="U754" i="10"/>
  <c r="T754" i="10" s="1"/>
  <c r="U796" i="10"/>
  <c r="T796" i="10" s="1"/>
  <c r="U611" i="10"/>
  <c r="T611" i="10" s="1"/>
  <c r="U571" i="10"/>
  <c r="T571" i="10" s="1"/>
  <c r="U209" i="10"/>
  <c r="T209" i="10" s="1"/>
  <c r="U659" i="10"/>
  <c r="T659" i="10" s="1"/>
  <c r="U444" i="10"/>
  <c r="T444" i="10" s="1"/>
  <c r="U442" i="10"/>
  <c r="T442" i="10" s="1"/>
  <c r="U744" i="10"/>
  <c r="T744" i="10" s="1"/>
  <c r="U59" i="10"/>
  <c r="T59" i="10" s="1"/>
  <c r="U224" i="10"/>
  <c r="T224" i="10" s="1"/>
  <c r="U434" i="10"/>
  <c r="T434" i="10" s="1"/>
  <c r="U555" i="10"/>
  <c r="T555" i="10" s="1"/>
  <c r="U464" i="10"/>
  <c r="T464" i="10" s="1"/>
  <c r="U203" i="10"/>
  <c r="T203" i="10" s="1"/>
  <c r="U735" i="10"/>
  <c r="T735" i="10" s="1"/>
  <c r="U615" i="10"/>
  <c r="T615" i="10" s="1"/>
  <c r="U903" i="10"/>
  <c r="T903" i="10" s="1"/>
  <c r="U701" i="10"/>
  <c r="T701" i="10" s="1"/>
  <c r="U460" i="10"/>
  <c r="T460" i="10" s="1"/>
  <c r="U535" i="10"/>
  <c r="T535" i="10" s="1"/>
  <c r="U739" i="10"/>
  <c r="T739" i="10" s="1"/>
  <c r="U189" i="10"/>
  <c r="T189" i="10" s="1"/>
  <c r="U457" i="10"/>
  <c r="T457" i="10" s="1"/>
  <c r="U432" i="10"/>
  <c r="T432" i="10" s="1"/>
  <c r="U651" i="10"/>
  <c r="T651" i="10" s="1"/>
  <c r="U543" i="10"/>
  <c r="T543" i="10" s="1"/>
  <c r="U690" i="10"/>
  <c r="T690" i="10" s="1"/>
  <c r="U622" i="10"/>
  <c r="T622" i="10" s="1"/>
  <c r="U565" i="10"/>
  <c r="T565" i="10" s="1"/>
  <c r="U841" i="10"/>
  <c r="T841" i="10" s="1"/>
  <c r="U108" i="10"/>
  <c r="T108" i="10" s="1"/>
  <c r="U900" i="10"/>
  <c r="T900" i="10" s="1"/>
  <c r="U120" i="10"/>
  <c r="T120" i="10" s="1"/>
  <c r="U454" i="10"/>
  <c r="T454" i="10" s="1"/>
  <c r="U57" i="10"/>
  <c r="T57" i="10" s="1"/>
  <c r="U222" i="10"/>
  <c r="T222" i="10" s="1"/>
  <c r="U920" i="10"/>
  <c r="T920" i="10" s="1"/>
  <c r="U478" i="10"/>
  <c r="T478" i="10" s="1"/>
  <c r="U621" i="10"/>
  <c r="T621" i="10" s="1"/>
  <c r="U132" i="10"/>
  <c r="T132" i="10" s="1"/>
  <c r="U437" i="10"/>
  <c r="T437" i="10" s="1"/>
  <c r="U452" i="10"/>
  <c r="T452" i="10" s="1"/>
  <c r="U31" i="10"/>
  <c r="T31" i="10" s="1"/>
  <c r="U601" i="10"/>
  <c r="T601" i="10" s="1"/>
  <c r="U201" i="10"/>
  <c r="T201" i="10" s="1"/>
  <c r="U870" i="10"/>
  <c r="T870" i="10" s="1"/>
  <c r="U440" i="10"/>
  <c r="T440" i="10" s="1"/>
  <c r="U591" i="10"/>
  <c r="T591" i="10" s="1"/>
  <c r="U482" i="10"/>
  <c r="T482" i="10" s="1"/>
  <c r="U623" i="10"/>
  <c r="T623" i="10" s="1"/>
  <c r="U724" i="10"/>
  <c r="T724" i="10" s="1"/>
  <c r="U466" i="10"/>
  <c r="T466" i="10" s="1"/>
  <c r="U883" i="10"/>
  <c r="T883" i="10" s="1"/>
  <c r="U450" i="10"/>
  <c r="T450" i="10" s="1"/>
  <c r="U354" i="10"/>
  <c r="T354" i="10" s="1"/>
  <c r="U513" i="10"/>
  <c r="T513" i="10" s="1"/>
  <c r="U790" i="10"/>
  <c r="T790" i="10" s="1"/>
  <c r="U592" i="10"/>
  <c r="T592" i="10" s="1"/>
  <c r="U522" i="10"/>
  <c r="T522" i="10" s="1"/>
  <c r="U528" i="10"/>
  <c r="T528" i="10" s="1"/>
  <c r="U764" i="10"/>
  <c r="T764" i="10" s="1"/>
  <c r="U24" i="10"/>
  <c r="T24" i="10" s="1"/>
  <c r="U184" i="10"/>
  <c r="T184" i="10" s="1"/>
  <c r="U315" i="10"/>
  <c r="T315" i="10" s="1"/>
  <c r="U330" i="10"/>
  <c r="T330" i="10" s="1"/>
  <c r="U891" i="10"/>
  <c r="T891" i="10" s="1"/>
  <c r="U134" i="10"/>
  <c r="T134" i="10" s="1"/>
  <c r="U582" i="10"/>
  <c r="T582" i="10" s="1"/>
  <c r="U876" i="10"/>
  <c r="T876" i="10" s="1"/>
  <c r="U643" i="10"/>
  <c r="T643" i="10" s="1"/>
  <c r="U471" i="10"/>
  <c r="T471" i="10" s="1"/>
  <c r="U106" i="10"/>
  <c r="T106" i="10" s="1"/>
  <c r="U843" i="10"/>
  <c r="T843" i="10" s="1"/>
  <c r="U743" i="10"/>
  <c r="T743" i="10" s="1"/>
  <c r="U90" i="10"/>
  <c r="T90" i="10" s="1"/>
  <c r="U448" i="10"/>
  <c r="T448" i="10" s="1"/>
  <c r="U73" i="10"/>
  <c r="T73" i="10" s="1"/>
  <c r="U577" i="10"/>
  <c r="T577" i="10" s="1"/>
  <c r="U858" i="10"/>
  <c r="T858" i="10" s="1"/>
  <c r="U675" i="10"/>
  <c r="T675" i="10" s="1"/>
  <c r="U717" i="10"/>
  <c r="T717" i="10" s="1"/>
  <c r="U774" i="10"/>
  <c r="T774" i="10" s="1"/>
  <c r="U887" i="10"/>
  <c r="T887" i="10" s="1"/>
  <c r="U840" i="10"/>
  <c r="T840" i="10" s="1"/>
  <c r="U122" i="10"/>
  <c r="T122" i="10" s="1"/>
  <c r="U914" i="10"/>
  <c r="T914" i="10" s="1"/>
  <c r="U719" i="10"/>
  <c r="T719" i="10" s="1"/>
  <c r="U332" i="10"/>
  <c r="T332" i="10" s="1"/>
  <c r="U671" i="10"/>
  <c r="T671" i="10" s="1"/>
  <c r="U52" i="10"/>
  <c r="T52" i="10" s="1"/>
  <c r="U462" i="10"/>
  <c r="T462" i="10" s="1"/>
  <c r="U436" i="10"/>
  <c r="T436" i="10" s="1"/>
  <c r="U438" i="10"/>
  <c r="T438" i="10" s="1"/>
  <c r="U470" i="10"/>
  <c r="T470" i="10" s="1"/>
  <c r="U456" i="10"/>
  <c r="T456" i="10" s="1"/>
  <c r="U834" i="10"/>
  <c r="T834" i="10" s="1"/>
  <c r="U782" i="10"/>
  <c r="T782" i="10" s="1"/>
  <c r="U324" i="10"/>
  <c r="T324" i="10" s="1"/>
  <c r="U306" i="10"/>
  <c r="T306" i="10" s="1"/>
  <c r="U515" i="10"/>
  <c r="T515" i="10" s="1"/>
  <c r="U802" i="10"/>
  <c r="T802" i="10" s="1"/>
  <c r="U866" i="10"/>
  <c r="T866" i="10" s="1"/>
  <c r="U723" i="10"/>
  <c r="T723" i="10" s="1"/>
  <c r="U429" i="10"/>
  <c r="T429" i="10" s="1"/>
  <c r="U792" i="10"/>
  <c r="T792" i="10" s="1"/>
  <c r="U847" i="10"/>
  <c r="T847" i="10" s="1"/>
  <c r="U684" i="10"/>
  <c r="T684" i="10" s="1"/>
  <c r="U74" i="10"/>
  <c r="T74" i="10" s="1"/>
  <c r="U516" i="10"/>
  <c r="T516" i="10" s="1"/>
  <c r="U874" i="10"/>
  <c r="T874" i="10" s="1"/>
  <c r="U873" i="10"/>
  <c r="T873" i="10" s="1"/>
  <c r="U613" i="10"/>
  <c r="T613" i="10" s="1"/>
  <c r="U581" i="10"/>
  <c r="T581" i="10" s="1"/>
  <c r="U725" i="10"/>
  <c r="T725" i="10" s="1"/>
  <c r="U857" i="10"/>
  <c r="T857" i="10" s="1"/>
  <c r="U655" i="10"/>
  <c r="T655" i="10" s="1"/>
  <c r="U688" i="10"/>
  <c r="T688" i="10" s="1"/>
  <c r="U261" i="10"/>
  <c r="T261" i="10" s="1"/>
  <c r="U472" i="10"/>
  <c r="T472" i="10" s="1"/>
  <c r="U317" i="10"/>
  <c r="T317" i="10" s="1"/>
  <c r="U459" i="10"/>
  <c r="T459" i="10" s="1"/>
  <c r="U685" i="10"/>
  <c r="T685" i="10" s="1"/>
  <c r="U653" i="10"/>
  <c r="T653" i="10" s="1"/>
  <c r="U793" i="10"/>
  <c r="T793" i="10" s="1"/>
  <c r="U447" i="10"/>
  <c r="T447" i="10" s="1"/>
  <c r="U136" i="10"/>
  <c r="T136" i="10" s="1"/>
  <c r="U751" i="10"/>
  <c r="T751" i="10" s="1"/>
  <c r="U729" i="10"/>
  <c r="T729" i="10" s="1"/>
  <c r="U818" i="10"/>
  <c r="T818" i="10" s="1"/>
  <c r="U408" i="10"/>
  <c r="T408" i="10" s="1"/>
  <c r="U667" i="10"/>
  <c r="T667" i="10" s="1"/>
  <c r="U804" i="10"/>
  <c r="T804" i="10" s="1"/>
  <c r="U532" i="10"/>
  <c r="T532" i="10" s="1"/>
  <c r="U865" i="10"/>
  <c r="T865" i="10" s="1"/>
  <c r="U130" i="10"/>
  <c r="T130" i="10" s="1"/>
  <c r="U828" i="10"/>
  <c r="T828" i="10" s="1"/>
  <c r="U430" i="10"/>
  <c r="T430" i="10" s="1"/>
  <c r="U323" i="10"/>
  <c r="T323" i="10" s="1"/>
  <c r="U703" i="10"/>
  <c r="T703" i="10" s="1"/>
  <c r="U20" i="10"/>
  <c r="T20" i="10" s="1"/>
  <c r="U144" i="10"/>
  <c r="T144" i="10" s="1"/>
  <c r="U557" i="10"/>
  <c r="T557" i="10" s="1"/>
  <c r="U845" i="10"/>
  <c r="T845" i="10" s="1"/>
  <c r="C26" i="4"/>
  <c r="C27" i="4" s="1"/>
  <c r="U280" i="10"/>
  <c r="T280" i="10" s="1"/>
  <c r="U302" i="10"/>
  <c r="T302" i="10" s="1"/>
  <c r="U805" i="10"/>
  <c r="T805" i="10" s="1"/>
  <c r="U556" i="10"/>
  <c r="T556" i="10" s="1"/>
  <c r="U441" i="10"/>
  <c r="T441" i="10" s="1"/>
  <c r="U585" i="10"/>
  <c r="T585" i="10" s="1"/>
  <c r="U930" i="10"/>
  <c r="T930" i="10" s="1"/>
  <c r="U534" i="10"/>
  <c r="T534" i="10" s="1"/>
  <c r="U823" i="10"/>
  <c r="T823" i="10" s="1"/>
  <c r="U647" i="10"/>
  <c r="T647" i="10" s="1"/>
  <c r="U241" i="10"/>
  <c r="T241" i="10" s="1"/>
  <c r="U526" i="10"/>
  <c r="T526" i="10" s="1"/>
  <c r="U839" i="10"/>
  <c r="T839" i="10" s="1"/>
  <c r="U211" i="10"/>
  <c r="T211" i="10" s="1"/>
  <c r="U124" i="10"/>
  <c r="T124" i="10" s="1"/>
  <c r="U896" i="10"/>
  <c r="T896" i="10" s="1"/>
  <c r="U112" i="10"/>
  <c r="T112" i="10" s="1"/>
  <c r="U167" i="10"/>
  <c r="T167" i="10" s="1"/>
  <c r="U424" i="10"/>
  <c r="T424" i="10" s="1"/>
  <c r="U517" i="10"/>
  <c r="T517" i="10" s="1"/>
  <c r="U126" i="10"/>
  <c r="T126" i="10" s="1"/>
  <c r="U695" i="10"/>
  <c r="T695" i="10" s="1"/>
  <c r="U253" i="10"/>
  <c r="T253" i="10" s="1"/>
  <c r="U391" i="10"/>
  <c r="T391" i="10" s="1"/>
  <c r="U885" i="10"/>
  <c r="T885" i="10" s="1"/>
  <c r="U837" i="10"/>
  <c r="T837" i="10" s="1"/>
  <c r="U14" i="10"/>
  <c r="T14" i="10" s="1"/>
  <c r="U7" i="10"/>
  <c r="T7" i="10" s="1"/>
  <c r="U872" i="10"/>
  <c r="T872" i="10" s="1"/>
  <c r="U507" i="10"/>
  <c r="T507" i="10" s="1"/>
  <c r="U910" i="10"/>
  <c r="T910" i="10" s="1"/>
  <c r="U595" i="10"/>
  <c r="T595" i="10" s="1"/>
  <c r="U702" i="10"/>
  <c r="T702" i="10" s="1"/>
  <c r="U860" i="10"/>
  <c r="T860" i="10" s="1"/>
  <c r="U110" i="10"/>
  <c r="T110" i="10" s="1"/>
  <c r="U182" i="10"/>
  <c r="T182" i="10" s="1"/>
  <c r="U698" i="10"/>
  <c r="T698" i="10" s="1"/>
  <c r="U663" i="10"/>
  <c r="T663" i="10" s="1"/>
  <c r="U687" i="10"/>
  <c r="T687" i="10" s="1"/>
  <c r="U806" i="10"/>
  <c r="T806" i="10" s="1"/>
  <c r="U929" i="10"/>
  <c r="T929" i="10" s="1"/>
  <c r="U249" i="10"/>
  <c r="T249" i="10" s="1"/>
  <c r="U879" i="10"/>
  <c r="T879" i="10" s="1"/>
  <c r="U617" i="10"/>
  <c r="T617" i="10" s="1"/>
  <c r="U771" i="10"/>
  <c r="T771" i="10" s="1"/>
  <c r="U587" i="10"/>
  <c r="T587" i="10" s="1"/>
  <c r="U476" i="10"/>
  <c r="T476" i="10" s="1"/>
  <c r="U864" i="10"/>
  <c r="T864" i="10" s="1"/>
  <c r="U756" i="10"/>
  <c r="T756" i="10" s="1"/>
  <c r="U327" i="10"/>
  <c r="T327" i="10" s="1"/>
  <c r="U519" i="10"/>
  <c r="T519" i="10" s="1"/>
  <c r="U142" i="10"/>
  <c r="T142" i="10" s="1"/>
  <c r="U816" i="10"/>
  <c r="T816" i="10" s="1"/>
  <c r="U607" i="10"/>
  <c r="T607" i="10" s="1"/>
  <c r="U692" i="10"/>
  <c r="T692" i="10" s="1"/>
  <c r="U770" i="10"/>
  <c r="T770" i="10" s="1"/>
  <c r="U53" i="10"/>
  <c r="T53" i="10" s="1"/>
  <c r="U583" i="10"/>
  <c r="T583" i="10" s="1"/>
  <c r="U390" i="10"/>
  <c r="T390" i="10" s="1"/>
  <c r="U829" i="10"/>
  <c r="T829" i="10" s="1"/>
  <c r="U234" i="10"/>
  <c r="T234" i="10" s="1"/>
  <c r="U563" i="10"/>
  <c r="T563" i="10" s="1"/>
  <c r="U140" i="10"/>
  <c r="T140" i="10" s="1"/>
  <c r="U371" i="10"/>
  <c r="T371" i="10" s="1"/>
  <c r="U446" i="10"/>
  <c r="T446" i="10" s="1"/>
  <c r="U51" i="10"/>
  <c r="T51" i="10" s="1"/>
  <c r="U923" i="10"/>
  <c r="T923" i="10" s="1"/>
  <c r="U579" i="10"/>
  <c r="T579" i="10" s="1"/>
  <c r="U67" i="10"/>
  <c r="T67" i="10" s="1"/>
  <c r="U641" i="10"/>
  <c r="T641" i="10" s="1"/>
  <c r="U763" i="10"/>
  <c r="T763" i="10" s="1"/>
  <c r="U627" i="10"/>
  <c r="T627" i="10" s="1"/>
  <c r="U55" i="10"/>
  <c r="T55" i="10" s="1"/>
  <c r="U573" i="10"/>
  <c r="T573" i="10" s="1"/>
  <c r="U772" i="10"/>
  <c r="T772" i="10" s="1"/>
  <c r="U561" i="10"/>
  <c r="T561" i="10" s="1"/>
  <c r="U681" i="10"/>
  <c r="T681" i="10" s="1"/>
  <c r="U677" i="10"/>
  <c r="T677" i="10" s="1"/>
  <c r="U766" i="10"/>
  <c r="T766" i="10" s="1"/>
  <c r="U819" i="10"/>
  <c r="T819" i="10" s="1"/>
  <c r="U645" i="10"/>
  <c r="T645" i="10" s="1"/>
  <c r="U746" i="10"/>
  <c r="T746" i="10" s="1"/>
  <c r="U609" i="10"/>
  <c r="T609" i="10" s="1"/>
  <c r="U631" i="10"/>
  <c r="T631" i="10" s="1"/>
  <c r="U407" i="10"/>
  <c r="T407" i="10" s="1"/>
  <c r="U619" i="10"/>
  <c r="T619" i="10" s="1"/>
  <c r="U657" i="10"/>
  <c r="T657" i="10" s="1"/>
  <c r="U922" i="10"/>
  <c r="T922" i="10" s="1"/>
  <c r="U683" i="10"/>
  <c r="T683" i="10" s="1"/>
  <c r="U878" i="10"/>
  <c r="T878" i="10" s="1"/>
  <c r="U428" i="10"/>
  <c r="T428" i="10" s="1"/>
  <c r="U373" i="10"/>
  <c r="T373" i="10" s="1"/>
  <c r="U880" i="10"/>
  <c r="T880" i="10" s="1"/>
  <c r="U349" i="10"/>
  <c r="T349" i="10" s="1"/>
  <c r="U321" i="10"/>
  <c r="T321" i="10" s="1"/>
  <c r="U748" i="10"/>
  <c r="T748" i="10" s="1"/>
  <c r="U605" i="10"/>
  <c r="T605" i="10" s="1"/>
  <c r="U780" i="10"/>
  <c r="T780" i="10" s="1"/>
  <c r="U388" i="10"/>
  <c r="T388" i="10" s="1"/>
  <c r="U514" i="10"/>
  <c r="T514" i="10" s="1"/>
  <c r="U463" i="10"/>
  <c r="T463" i="10" s="1"/>
  <c r="U300" i="10"/>
  <c r="T300" i="10" s="1"/>
  <c r="U257" i="10"/>
  <c r="T257" i="10" s="1"/>
  <c r="U270" i="10"/>
  <c r="T270" i="10" s="1"/>
  <c r="U345" i="10"/>
  <c r="T345" i="10" s="1"/>
  <c r="U589" i="10"/>
  <c r="T589" i="10" s="1"/>
  <c r="U917" i="10"/>
  <c r="T917" i="10" s="1"/>
  <c r="U11" i="10"/>
  <c r="T11" i="10" s="1"/>
  <c r="U461" i="10"/>
  <c r="T461" i="10" s="1"/>
  <c r="U289" i="10"/>
  <c r="T289" i="10" s="1"/>
  <c r="U402" i="10"/>
  <c r="T402" i="10" s="1"/>
  <c r="U915" i="10"/>
  <c r="T915" i="10" s="1"/>
  <c r="U469" i="10"/>
  <c r="T469" i="10" s="1"/>
  <c r="U740" i="10"/>
  <c r="T740" i="10" s="1"/>
  <c r="U298" i="10"/>
  <c r="T298" i="10" s="1"/>
  <c r="U166" i="10"/>
  <c r="T166" i="10" s="1"/>
  <c r="U678" i="10"/>
  <c r="T678" i="10" s="1"/>
  <c r="U480" i="10"/>
  <c r="T480" i="10" s="1"/>
  <c r="U251" i="10"/>
  <c r="T251" i="10" s="1"/>
  <c r="U882" i="10"/>
  <c r="T882" i="10" s="1"/>
  <c r="U433" i="10"/>
  <c r="T433" i="10" s="1"/>
  <c r="U554" i="10"/>
  <c r="T554" i="10" s="1"/>
  <c r="U689" i="10"/>
  <c r="T689" i="10" s="1"/>
  <c r="U443" i="10"/>
  <c r="T443" i="10" s="1"/>
  <c r="U63" i="10"/>
  <c r="T63" i="10" s="1"/>
  <c r="U935" i="10"/>
  <c r="T935" i="10" s="1"/>
  <c r="U494" i="10"/>
  <c r="T494" i="10" s="1"/>
  <c r="U400" i="10"/>
  <c r="T400" i="10" s="1"/>
  <c r="U164" i="10"/>
  <c r="T164" i="10" s="1"/>
  <c r="U871" i="10"/>
  <c r="T871" i="10" s="1"/>
  <c r="U597" i="10"/>
  <c r="T597" i="10" s="1"/>
  <c r="U838" i="10"/>
  <c r="T838" i="10" s="1"/>
  <c r="U633" i="10"/>
  <c r="T633" i="10" s="1"/>
  <c r="U734" i="10"/>
  <c r="T734" i="10" s="1"/>
  <c r="U797" i="10"/>
  <c r="T797" i="10" s="1"/>
  <c r="U325" i="10"/>
  <c r="T325" i="10" s="1"/>
  <c r="U439" i="10"/>
  <c r="T439" i="10" s="1"/>
  <c r="U474" i="10"/>
  <c r="T474" i="10" s="1"/>
  <c r="U620" i="10"/>
  <c r="T620" i="10" s="1"/>
  <c r="U264" i="10"/>
  <c r="T264" i="10" s="1"/>
  <c r="U65" i="10"/>
  <c r="T65" i="10" s="1"/>
  <c r="U909" i="10"/>
  <c r="T909" i="10" s="1"/>
  <c r="U812" i="10"/>
  <c r="T812" i="10" s="1"/>
  <c r="U899" i="10"/>
  <c r="T899" i="10" s="1"/>
  <c r="U42" i="10"/>
  <c r="T42" i="10" s="1"/>
  <c r="U356" i="10"/>
  <c r="T356" i="10" s="1"/>
  <c r="U902" i="10"/>
  <c r="T902" i="10" s="1"/>
  <c r="U906" i="10"/>
  <c r="T906" i="10" s="1"/>
  <c r="U925" i="10"/>
  <c r="T925" i="10" s="1"/>
  <c r="U753" i="10"/>
  <c r="T753" i="10" s="1"/>
  <c r="U137" i="10"/>
  <c r="T137" i="10" s="1"/>
  <c r="U326" i="10"/>
  <c r="T326" i="10" s="1"/>
  <c r="U798" i="10"/>
  <c r="T798" i="10" s="1"/>
  <c r="U778" i="10"/>
  <c r="T778" i="10" s="1"/>
  <c r="U230" i="10"/>
  <c r="T230" i="10" s="1"/>
  <c r="U694" i="10"/>
  <c r="T694" i="10" s="1"/>
  <c r="U665" i="10"/>
  <c r="T665" i="10" s="1"/>
  <c r="U869" i="10"/>
  <c r="T869" i="10" s="1"/>
  <c r="U394" i="10"/>
  <c r="T394" i="10" s="1"/>
  <c r="U711" i="10"/>
  <c r="T711" i="10" s="1"/>
  <c r="U892" i="10"/>
  <c r="T892" i="10" s="1"/>
  <c r="U426" i="10"/>
  <c r="T426" i="10" s="1"/>
  <c r="U749" i="10"/>
  <c r="T749" i="10" s="1"/>
  <c r="U97" i="10"/>
  <c r="T97" i="10" s="1"/>
  <c r="U758" i="10"/>
  <c r="T758" i="10" s="1"/>
  <c r="U705" i="10"/>
  <c r="T705" i="10" s="1"/>
  <c r="U862" i="10"/>
  <c r="T862" i="10" s="1"/>
  <c r="U911" i="10"/>
  <c r="T911" i="10" s="1"/>
  <c r="U769" i="10"/>
  <c r="T769" i="10" s="1"/>
  <c r="U908" i="10"/>
  <c r="T908" i="10" s="1"/>
  <c r="U884" i="10"/>
  <c r="T884" i="10" s="1"/>
  <c r="U550" i="10"/>
  <c r="T550" i="10" s="1"/>
  <c r="U559" i="10"/>
  <c r="T559" i="10" s="1"/>
  <c r="U794" i="10"/>
  <c r="T794" i="10" s="1"/>
  <c r="U392" i="10"/>
  <c r="T392" i="10" s="1"/>
  <c r="U830" i="10"/>
  <c r="T830" i="10" s="1"/>
  <c r="U904" i="10"/>
  <c r="T904" i="10" s="1"/>
  <c r="U732" i="10"/>
  <c r="T732" i="10" s="1"/>
  <c r="U637" i="10"/>
  <c r="T637" i="10" s="1"/>
  <c r="U649" i="10"/>
  <c r="T649" i="10" s="1"/>
  <c r="U859" i="10"/>
  <c r="T859" i="10" s="1"/>
  <c r="U781" i="10"/>
  <c r="T781" i="10" s="1"/>
  <c r="U313" i="10"/>
  <c r="T313" i="10" s="1"/>
  <c r="U680" i="10"/>
  <c r="T680" i="10" s="1"/>
  <c r="U788" i="10"/>
  <c r="T788" i="10" s="1"/>
  <c r="U905" i="10"/>
  <c r="T905" i="10" s="1"/>
  <c r="U331" i="10"/>
  <c r="T331" i="10" s="1"/>
  <c r="U801" i="10"/>
  <c r="T801" i="10" s="1"/>
  <c r="U672" i="10"/>
  <c r="T672" i="10" s="1"/>
  <c r="U128" i="10"/>
  <c r="T128" i="10" s="1"/>
  <c r="U625" i="10"/>
  <c r="T625" i="10" s="1"/>
  <c r="U894" i="10"/>
  <c r="T894" i="10" s="1"/>
  <c r="U825" i="10"/>
  <c r="T825" i="10" s="1"/>
  <c r="U704" i="10"/>
  <c r="T704" i="10" s="1"/>
  <c r="U682" i="10"/>
  <c r="T682" i="10" s="1"/>
  <c r="U767" i="10"/>
  <c r="T767" i="10" s="1"/>
  <c r="U574" i="10"/>
  <c r="T574" i="10" s="1"/>
  <c r="U786" i="10"/>
  <c r="T786" i="10" s="1"/>
  <c r="U214" i="10"/>
  <c r="T214" i="10" s="1"/>
  <c r="U363" i="10"/>
  <c r="T363" i="10" s="1"/>
  <c r="U890" i="10"/>
  <c r="T890" i="10" s="1"/>
  <c r="U897" i="10"/>
  <c r="T897" i="10" s="1"/>
  <c r="U277" i="10"/>
  <c r="T277" i="10" s="1"/>
  <c r="U853" i="10"/>
  <c r="T853" i="10" s="1"/>
  <c r="U512" i="10"/>
  <c r="T512" i="10" s="1"/>
  <c r="U419" i="10"/>
  <c r="T419" i="10" s="1"/>
  <c r="U730" i="10"/>
  <c r="T730" i="10" s="1"/>
  <c r="U178" i="10"/>
  <c r="T178" i="10" s="1"/>
  <c r="U762" i="10"/>
  <c r="T762" i="10" s="1"/>
  <c r="U525" i="10"/>
  <c r="T525" i="10" s="1"/>
  <c r="U815" i="10"/>
  <c r="T815" i="10" s="1"/>
  <c r="U768" i="10"/>
  <c r="T768" i="10" s="1"/>
  <c r="U630" i="10"/>
  <c r="T630" i="10" s="1"/>
  <c r="U721" i="10"/>
  <c r="T721" i="10" s="1"/>
  <c r="U676" i="10"/>
  <c r="T676" i="10" s="1"/>
  <c r="U686" i="10"/>
  <c r="T686" i="10" s="1"/>
  <c r="U728" i="10"/>
  <c r="T728" i="10" s="1"/>
  <c r="U205" i="10"/>
  <c r="T205" i="10" s="1"/>
  <c r="U803" i="10"/>
  <c r="T803" i="10" s="1"/>
  <c r="U580" i="10"/>
  <c r="T580" i="10" s="1"/>
  <c r="U272" i="10"/>
  <c r="T272" i="10" s="1"/>
  <c r="U674" i="10"/>
  <c r="T674" i="10" s="1"/>
  <c r="U414" i="10"/>
  <c r="T414" i="10" s="1"/>
  <c r="U832" i="10"/>
  <c r="T832" i="10" s="1"/>
  <c r="U590" i="10"/>
  <c r="T590" i="10" s="1"/>
  <c r="U799" i="10"/>
  <c r="T799" i="10" s="1"/>
  <c r="U736" i="10"/>
  <c r="T736" i="10" s="1"/>
  <c r="U810" i="10"/>
  <c r="T810" i="10" s="1"/>
  <c r="U726" i="10"/>
  <c r="T726" i="10" s="1"/>
  <c r="U146" i="10"/>
  <c r="T146" i="10" s="1"/>
  <c r="U361" i="10"/>
  <c r="T361" i="10" s="1"/>
  <c r="U411" i="10"/>
  <c r="T411" i="10" s="1"/>
  <c r="U821" i="10"/>
  <c r="T821" i="10" s="1"/>
  <c r="U281" i="10"/>
  <c r="T281" i="10" s="1"/>
  <c r="U379" i="10"/>
  <c r="T379" i="10" s="1"/>
  <c r="U537" i="10"/>
  <c r="T537" i="10" s="1"/>
  <c r="U926" i="10"/>
  <c r="T926" i="10" s="1"/>
  <c r="U868" i="10"/>
  <c r="T868" i="10" s="1"/>
  <c r="U850" i="10"/>
  <c r="T850" i="10" s="1"/>
  <c r="U180" i="10"/>
  <c r="T180" i="10" s="1"/>
  <c r="U849" i="10"/>
  <c r="T849" i="10" s="1"/>
  <c r="U498" i="10"/>
  <c r="T498" i="10" s="1"/>
  <c r="U784" i="10"/>
  <c r="T784" i="10" s="1"/>
  <c r="U913" i="10"/>
  <c r="T913" i="10" s="1"/>
  <c r="U750" i="10"/>
  <c r="T750" i="10" s="1"/>
  <c r="U523" i="10"/>
  <c r="T523" i="10" s="1"/>
  <c r="U410" i="10"/>
  <c r="T410" i="10" s="1"/>
  <c r="U210" i="10"/>
  <c r="T210" i="10" s="1"/>
  <c r="U150" i="10"/>
  <c r="T150" i="10" s="1"/>
  <c r="U693" i="10"/>
  <c r="T693" i="10" s="1"/>
  <c r="U691" i="10"/>
  <c r="T691" i="10" s="1"/>
  <c r="U114" i="10"/>
  <c r="T114" i="10" s="1"/>
  <c r="U634" i="10"/>
  <c r="T634" i="10" s="1"/>
  <c r="U546" i="10"/>
  <c r="T546" i="10" s="1"/>
  <c r="U576" i="10"/>
  <c r="T576" i="10" s="1"/>
  <c r="U658" i="10"/>
  <c r="T658" i="10" s="1"/>
  <c r="U835" i="10"/>
  <c r="T835" i="10" s="1"/>
  <c r="U248" i="10"/>
  <c r="T248" i="10" s="1"/>
  <c r="U808" i="10"/>
  <c r="T808" i="10" s="1"/>
  <c r="U822" i="10"/>
  <c r="T822" i="10" s="1"/>
  <c r="U548" i="10"/>
  <c r="T548" i="10" s="1"/>
  <c r="U813" i="10"/>
  <c r="T813" i="10" s="1"/>
  <c r="U572" i="10"/>
  <c r="T572" i="10" s="1"/>
  <c r="U893" i="10"/>
  <c r="T893" i="10" s="1"/>
  <c r="U826" i="10"/>
  <c r="T826" i="10" s="1"/>
  <c r="U713" i="10"/>
  <c r="T713" i="10" s="1"/>
  <c r="U102" i="10"/>
  <c r="T102" i="10" s="1"/>
  <c r="U221" i="10"/>
  <c r="T221" i="10" s="1"/>
  <c r="U673" i="10"/>
  <c r="T673" i="10" s="1"/>
  <c r="U417" i="10"/>
  <c r="T417" i="10" s="1"/>
  <c r="U322" i="10"/>
  <c r="T322" i="10" s="1"/>
  <c r="U596" i="10"/>
  <c r="T596" i="10" s="1"/>
  <c r="U406" i="10"/>
  <c r="T406" i="10" s="1"/>
  <c r="U401" i="10"/>
  <c r="T401" i="10" s="1"/>
  <c r="U824" i="10"/>
  <c r="T824" i="10" s="1"/>
  <c r="U752" i="10"/>
  <c r="T752" i="10" s="1"/>
  <c r="U399" i="10"/>
  <c r="T399" i="10" s="1"/>
  <c r="U666" i="10"/>
  <c r="T666" i="10" s="1"/>
  <c r="U377" i="10"/>
  <c r="T377" i="10" s="1"/>
  <c r="U541" i="10"/>
  <c r="T541" i="10" s="1"/>
  <c r="U496" i="10"/>
  <c r="T496" i="10" s="1"/>
  <c r="U37" i="10"/>
  <c r="T37" i="10" s="1"/>
  <c r="U551" i="10"/>
  <c r="T551" i="10" s="1"/>
  <c r="U924" i="10"/>
  <c r="T924" i="10" s="1"/>
  <c r="U654" i="10"/>
  <c r="T654" i="10" s="1"/>
  <c r="U271" i="10"/>
  <c r="T271" i="10" s="1"/>
  <c r="U491" i="10"/>
  <c r="T491" i="10" s="1"/>
  <c r="U700" i="10"/>
  <c r="T700" i="10" s="1"/>
  <c r="U918" i="10"/>
  <c r="T918" i="10" s="1"/>
  <c r="U135" i="10"/>
  <c r="T135" i="10" s="1"/>
  <c r="U715" i="10"/>
  <c r="T715" i="10" s="1"/>
  <c r="U709" i="10"/>
  <c r="T709" i="10" s="1"/>
  <c r="U445" i="10"/>
  <c r="T445" i="10" s="1"/>
  <c r="U765" i="10"/>
  <c r="T765" i="10" s="1"/>
  <c r="U359" i="10"/>
  <c r="T359" i="10" s="1"/>
  <c r="U246" i="10"/>
  <c r="T246" i="10" s="1"/>
  <c r="U927" i="10"/>
  <c r="T927" i="10" s="1"/>
  <c r="U916" i="10"/>
  <c r="T916" i="10" s="1"/>
  <c r="U524" i="10"/>
  <c r="T524" i="10" s="1"/>
  <c r="U745" i="10"/>
  <c r="T745" i="10" s="1"/>
  <c r="U936" i="10"/>
  <c r="T936" i="10" s="1"/>
  <c r="U939" i="10"/>
  <c r="T939" i="10" s="1"/>
  <c r="U455" i="10"/>
  <c r="T455" i="10" s="1"/>
  <c r="U727" i="10"/>
  <c r="T727" i="10" s="1"/>
  <c r="U173" i="10"/>
  <c r="T173" i="10" s="1"/>
  <c r="U697" i="10"/>
  <c r="T697" i="10" s="1"/>
  <c r="U831" i="10"/>
  <c r="T831" i="10" s="1"/>
  <c r="U779" i="10"/>
  <c r="T779" i="10" s="1"/>
  <c r="U833" i="10"/>
  <c r="T833" i="10" s="1"/>
  <c r="U567" i="10"/>
  <c r="T567" i="10" s="1"/>
  <c r="U310" i="10"/>
  <c r="T310" i="10" s="1"/>
  <c r="U919" i="10"/>
  <c r="T919" i="10" s="1"/>
  <c r="U489" i="10"/>
  <c r="T489" i="10" s="1"/>
  <c r="U755" i="10"/>
  <c r="T755" i="10" s="1"/>
  <c r="U867" i="10"/>
  <c r="T867" i="10" s="1"/>
  <c r="U877" i="10"/>
  <c r="T877" i="10" s="1"/>
  <c r="U492" i="10"/>
  <c r="T492" i="10" s="1"/>
  <c r="U656" i="10"/>
  <c r="T656" i="10" s="1"/>
  <c r="U28" i="10"/>
  <c r="T28" i="10" s="1"/>
  <c r="U731" i="10"/>
  <c r="T731" i="10" s="1"/>
  <c r="U9" i="10"/>
  <c r="T9" i="10" s="1"/>
  <c r="U12" i="10"/>
  <c r="T12" i="10" s="1"/>
  <c r="U907" i="10"/>
  <c r="T907" i="10" s="1"/>
  <c r="U188" i="10"/>
  <c r="T188" i="10" s="1"/>
  <c r="U218" i="10"/>
  <c r="T218" i="10" s="1"/>
  <c r="U791" i="10"/>
  <c r="T791" i="10" s="1"/>
  <c r="U861" i="10"/>
  <c r="T861" i="10" s="1"/>
  <c r="U938" i="10"/>
  <c r="T938" i="10" s="1"/>
  <c r="U366" i="10"/>
  <c r="T366" i="10" s="1"/>
  <c r="U296" i="10"/>
  <c r="T296" i="10" s="1"/>
  <c r="U932" i="10"/>
  <c r="T932" i="10" s="1"/>
  <c r="U933" i="10"/>
  <c r="T933" i="10" s="1"/>
  <c r="U599" i="10"/>
  <c r="T599" i="10" s="1"/>
  <c r="U629" i="10"/>
  <c r="T629" i="10" s="1"/>
  <c r="U931" i="10"/>
  <c r="T931" i="10" s="1"/>
  <c r="U521" i="10"/>
  <c r="T521" i="10" s="1"/>
  <c r="U312" i="10"/>
  <c r="T312" i="10" s="1"/>
  <c r="U775" i="10"/>
  <c r="T775" i="10" s="1"/>
  <c r="U760" i="10"/>
  <c r="T760" i="10" s="1"/>
  <c r="U921" i="10"/>
  <c r="T921" i="10" s="1"/>
  <c r="U934" i="10"/>
  <c r="T934" i="10" s="1"/>
  <c r="U889" i="10"/>
  <c r="T889" i="10" s="1"/>
  <c r="U776" i="10"/>
  <c r="T776" i="10" s="1"/>
  <c r="U722" i="10"/>
  <c r="T722" i="10" s="1"/>
  <c r="U937" i="10"/>
  <c r="T937" i="10" s="1"/>
  <c r="U738" i="10"/>
  <c r="T738" i="10" s="1"/>
  <c r="U881" i="10"/>
  <c r="T881" i="10" s="1"/>
  <c r="U510" i="10"/>
  <c r="T510" i="10" s="1"/>
  <c r="U817" i="10"/>
  <c r="T817" i="10" s="1"/>
  <c r="U800" i="10"/>
  <c r="T800" i="10" s="1"/>
  <c r="U811" i="10"/>
  <c r="T811" i="10" s="1"/>
  <c r="S14" i="4"/>
  <c r="S7" i="4"/>
  <c r="S15" i="4"/>
  <c r="U940" i="10"/>
  <c r="T940" i="10" s="1"/>
  <c r="U941" i="10"/>
  <c r="T941" i="10" s="1"/>
  <c r="C14" i="4"/>
  <c r="U886" i="10"/>
  <c r="T886" i="10" s="1"/>
  <c r="K17" i="10"/>
  <c r="E17" i="10"/>
  <c r="S17" i="10"/>
  <c r="Q17" i="10"/>
  <c r="I17" i="10"/>
  <c r="G17" i="10"/>
  <c r="O17" i="10"/>
  <c r="M17" i="10"/>
  <c r="AM6" i="4"/>
  <c r="B41" i="1" s="1"/>
  <c r="U898" i="10"/>
  <c r="T898" i="10" s="1"/>
  <c r="S13" i="4"/>
  <c r="AK6" i="4"/>
  <c r="S6" i="4"/>
  <c r="C7" i="4"/>
  <c r="C6" i="4"/>
  <c r="C15" i="4"/>
  <c r="C13" i="4"/>
  <c r="G6" i="10" l="1"/>
  <c r="E6" i="10"/>
  <c r="I6" i="10"/>
  <c r="Q6" i="10"/>
  <c r="M6" i="10"/>
  <c r="K6" i="10"/>
  <c r="S6" i="10"/>
  <c r="S27" i="4"/>
  <c r="D26" i="1" s="1"/>
  <c r="B42" i="1" s="1"/>
  <c r="S8" i="4"/>
  <c r="S16" i="4"/>
  <c r="C8" i="4"/>
  <c r="C16" i="4"/>
  <c r="U17" i="10"/>
  <c r="T17" i="10" s="1"/>
  <c r="S15" i="10"/>
  <c r="O15" i="10"/>
  <c r="AC4" i="10" s="1"/>
  <c r="Q15" i="10"/>
  <c r="M15" i="10"/>
  <c r="G15" i="10"/>
  <c r="I15" i="10"/>
  <c r="K15" i="10"/>
  <c r="E15" i="10"/>
  <c r="W4" i="10"/>
  <c r="Y4" i="10" l="1"/>
  <c r="AA4" i="10"/>
  <c r="U6" i="10"/>
  <c r="T6" i="10" s="1"/>
  <c r="AD4" i="10"/>
  <c r="Z4" i="10"/>
  <c r="AB4" i="10"/>
  <c r="AE4" i="10"/>
  <c r="B40" i="1"/>
  <c r="U15" i="10"/>
  <c r="T15" i="10" s="1"/>
  <c r="X4" i="10"/>
  <c r="B6" i="1"/>
  <c r="AF4" i="10" l="1"/>
  <c r="H27" i="1"/>
  <c r="E2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Loami Xavier de Barros</author>
    <author/>
  </authors>
  <commentList>
    <comment ref="B3" authorId="0" shapeId="0" xr:uid="{92E042DC-098B-4220-89E7-E9BCC87E798B}">
      <text>
        <r>
          <rPr>
            <sz val="9"/>
            <color indexed="81"/>
            <rFont val="Segoe UI"/>
            <family val="2"/>
          </rPr>
          <t xml:space="preserve">PBI / WP
Product Backlog Item - Work product
</t>
        </r>
      </text>
    </comment>
    <comment ref="D3" authorId="1" shapeId="0" xr:uid="{00000000-0006-0000-0100-000008000000}">
      <text>
        <r>
          <rPr>
            <sz val="11"/>
            <color theme="1"/>
            <rFont val="Calibri"/>
            <family val="2"/>
            <scheme val="minor"/>
          </rPr>
          <t xml:space="preserve">Detalhada/Estimada
ALI, AIE, EE, CE, SE
Simplificada
P = Processo Elementar
A = Arquivo Lógico
</t>
        </r>
      </text>
    </comment>
    <comment ref="E3" authorId="1" shapeId="0" xr:uid="{00000000-0006-0000-0100-000006000000}">
      <text>
        <r>
          <rPr>
            <sz val="11"/>
            <color theme="1"/>
            <rFont val="Calibri"/>
            <family val="2"/>
            <scheme val="minor"/>
          </rPr>
          <t>Veja na Lista de Itens em SISP Deflatores e INMS</t>
        </r>
      </text>
    </comment>
    <comment ref="F3" authorId="1" shapeId="0" xr:uid="{00000000-0006-0000-0100-000001000000}">
      <text>
        <r>
          <rPr>
            <sz val="11"/>
            <color theme="1"/>
            <rFont val="Calibri"/>
            <family val="2"/>
            <scheme val="minor"/>
          </rPr>
          <t>Quantidade de Tipos de Dados (TD, DET, DER)</t>
        </r>
      </text>
    </comment>
    <comment ref="H3" authorId="1" shapeId="0" xr:uid="{00000000-0006-0000-0100-000003000000}">
      <text>
        <r>
          <rPr>
            <sz val="11"/>
            <color theme="1"/>
            <rFont val="Calibri"/>
            <family val="2"/>
            <scheme val="minor"/>
          </rPr>
          <t>Quantidade de Arquivos Referenciados (AR) / Tipos de Registros (TR / RET)</t>
        </r>
      </text>
    </comment>
    <comment ref="J3" authorId="0" shapeId="0" xr:uid="{9341F71A-2F2A-48EE-9B85-05C7A45A778E}">
      <text>
        <r>
          <rPr>
            <sz val="9"/>
            <color indexed="81"/>
            <rFont val="Segoe UI"/>
            <family val="2"/>
          </rPr>
          <t>Multiplicador para grupo de função. 
Utilize de preferencia para os itens INM do SISP  4.7, 4.11 e 4.15 que não envolvem funcionalidade. Para funcionalidade de preferencia para um só função por linha para evidenciar melhor a funcionalidade.
A célula ficara amarela para indicar que o INM deve ser utilizado.</t>
        </r>
      </text>
    </comment>
    <comment ref="N3" authorId="0" shapeId="0" xr:uid="{F3A26B3E-A53C-45A8-8716-27A6D0B7624F}">
      <text>
        <r>
          <rPr>
            <sz val="9"/>
            <color indexed="81"/>
            <rFont val="Segoe UI"/>
            <family val="2"/>
          </rPr>
          <t>Se Detalhada = D
Se Estimada = E</t>
        </r>
      </text>
    </comment>
    <comment ref="O3" authorId="0" shapeId="0" xr:uid="{767BEEC7-1F5D-48EF-9EA0-B5BDCABDD707}">
      <text>
        <r>
          <rPr>
            <sz val="9"/>
            <color indexed="81"/>
            <rFont val="Segoe UI"/>
            <family val="2"/>
          </rPr>
          <t xml:space="preserve">Concatena Contagem com o tipo da função
</t>
        </r>
      </text>
    </comment>
    <comment ref="X3" authorId="1" shapeId="0" xr:uid="{92431810-E92D-434C-B00A-5E9C7413396A}">
      <text>
        <r>
          <rPr>
            <sz val="11"/>
            <color theme="1"/>
            <rFont val="Calibri"/>
            <family val="2"/>
            <scheme val="minor"/>
          </rPr>
          <t>ALI, AIE, EE, CE, SE</t>
        </r>
      </text>
    </comment>
    <comment ref="Y3" authorId="1" shapeId="0" xr:uid="{E309D68E-DD56-4774-92DD-F705E85EF3BF}">
      <text>
        <r>
          <rPr>
            <sz val="11"/>
            <color theme="1"/>
            <rFont val="Calibri"/>
            <family val="2"/>
            <scheme val="minor"/>
          </rPr>
          <t>Veja na Lista de Itens em SISP Deflatores e INMS</t>
        </r>
      </text>
    </comment>
    <comment ref="Z3" authorId="1" shapeId="0" xr:uid="{00000000-0006-0000-0100-000007000000}">
      <text>
        <r>
          <rPr>
            <sz val="11"/>
            <color theme="1"/>
            <rFont val="Calibri"/>
            <family val="2"/>
            <scheme val="minor"/>
          </rPr>
          <t>Quantidade de Tipos de Dados (TD, DET, DER)</t>
        </r>
      </text>
    </comment>
    <comment ref="AB3" authorId="1" shapeId="0" xr:uid="{00000000-0006-0000-0100-000002000000}">
      <text>
        <r>
          <rPr>
            <sz val="11"/>
            <color theme="1"/>
            <rFont val="Calibri"/>
            <family val="2"/>
            <scheme val="minor"/>
          </rPr>
          <t>Quantidade de Arquivos Referenciados (AR) / Tipos de Registros (TR / RET)</t>
        </r>
      </text>
    </comment>
    <comment ref="AD3" authorId="0" shapeId="0" xr:uid="{8865B7C5-CBCF-41B9-8B04-CB30BBE72517}">
      <text>
        <r>
          <rPr>
            <sz val="9"/>
            <color indexed="81"/>
            <rFont val="Segoe UI"/>
            <family val="2"/>
          </rPr>
          <t>Multiplicador para grupo de função. 
Utilize de preferencia para os itens INM do SISP  4.7, 4.11 e 4.15 que não envolvem funcionalidade. Para funcionalidade de preferencia para um só função por linha para evidenciar melhor a funcionalidade.
A célula ficara amarela para indicar que o INM deve ser utilizado.</t>
        </r>
      </text>
    </comment>
  </commentList>
  <extLst>
    <ext xmlns:r="http://schemas.openxmlformats.org/officeDocument/2006/relationships" uri="GoogleSheetsCustomDataVersion2">
      <go:sheetsCustomData xmlns:go="http://customooxmlschemas.google.com/" r:id="rId1" roundtripDataSignature="AMtx7mg8GXCyok2XU0LihUaC/0Pzg9K64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Loami Xavier de Barros</author>
  </authors>
  <commentList>
    <comment ref="C4" authorId="0" shapeId="0" xr:uid="{00000000-0006-0000-0400-000012000000}">
      <text>
        <r>
          <rPr>
            <sz val="11"/>
            <color theme="1"/>
            <rFont val="Calibri"/>
            <family val="2"/>
            <scheme val="minor"/>
          </rPr>
          <t>4.1 Aplicação
Utilizar esta contagem quando for necessário realizar a medição do tamanho da aplicação. Esta contagem é tipicamente utilizando quando se quer fazer uma medição para aplicação do % de esforço por disciplina (Ex.: projetos de redoc, testes, implantação, etc.)
4.1 Novo sistema
Desenvolvimento de novo sistema.
4.2 Projeto de Melhoria
Criação de novas funcionalidades (grupos de dados ou
processos elementares) em uma aplicação existente implantada em produção (PF_INCLUIDO).
PF_INCLUÍDO = Pontos de Função associados às novas funcionalidades que farão parte da aplicação.</t>
        </r>
      </text>
    </comment>
    <comment ref="C5" authorId="0" shapeId="0" xr:uid="{00000000-0006-0000-0400-000010000000}">
      <text>
        <r>
          <rPr>
            <sz val="11"/>
            <color theme="1"/>
            <rFont val="Calibri"/>
            <family val="2"/>
            <scheme val="minor"/>
          </rPr>
          <t>4.2 Projeto de Melhoria
FI (Fator de Impacto) pode variar de 50% a 90% conforme condições abaixo:
• FI = 50% para funcionalidade de sistema desenvolvida ou mantida por meio de
um projeto de melhoria pela empresa  contratada.
FI = 75% para funcionalidade de sistema não desenvolvida ou mantida por meio
de um projeto de melhoria pela empresa contratada e sem necessidade de
redocumentação da funcionalidade.
• FI = 90% para funcionalidade de sistema não desenvolvida ou mantida por
meio de um projeto de melhoria pela empresa contratada e com necessidade
de redocumentação da funcionalidade. FI = 90% representa a adição de 15%
como fator de redocumentação ao Fator de Impacto anterior (75%). Nesse
caso, a contratada deve redocumentar a funcionalidade mantida, gerando
a documentação completa da mesma, aderente ao processo de software
da contratante. Se houver uma nova demanda de projeto de melhoria na
funcionalidade em questão, será considerado que a contratada desenvolveu a
funcionalidade. Observe que o percentual de 90% apenas será considerado na
primeira demanda de projeto de melhoria em cada funcionalidade.
Em projetos de manutenção, o fator de 15% está remunerando apenas a atividade de
documentação.</t>
        </r>
      </text>
    </comment>
    <comment ref="C6" authorId="0" shapeId="0" xr:uid="{00000000-0006-0000-0400-00000A000000}">
      <text>
        <r>
          <rPr>
            <sz val="11"/>
            <color theme="1"/>
            <rFont val="Calibri"/>
            <family val="2"/>
            <scheme val="minor"/>
          </rPr>
          <t>4.2 Projeto de Melhoria
FI (Fator de Impacto) pode variar de 50% a 90% conforme condições abaixo:
• FI = 50% para funcionalidade de sistema desenvolvida ou mantida por meio de
um projeto de melhoria pela empresa contratada.
FI = 75% para funcionalidade de sistema não desenvolvida ou mantida por meio
de um projeto de melhoria pela empresa contratada e sem necessidade de
redocumentação da funcionalidade.
• FI = 90% para funcionalidade de sistema não desenvolvida ou mantida por
meio de um projeto de melhoria pela empresa contratada e com necessidade
de redocumentação da funcionalidade. FI = 90% representa a adição de 15%
como fator de redocumentação ao Fator de Impacto anterior (75%). Nesse
caso, a contratada deve redocumentar a funcionalidade mantida, gerando
a documentação completa da mesma, aderente ao processo de software
da contratante. Se houver uma nova demanda de projeto de melhoria na
funcionalidade em questão, será considerado que a contratada desenvolveu a
funcionalidade. Observe que o percentual de 90% apenas será considerado na
primeira demanda de projeto de melhoria em cada funcionalidade.
Em projetos de manutenção, o fator de 15% está remunerando apenas a atividade de
documentação.</t>
        </r>
      </text>
    </comment>
    <comment ref="C7" authorId="0" shapeId="0" xr:uid="{00000000-0006-0000-0400-000011000000}">
      <text>
        <r>
          <rPr>
            <sz val="11"/>
            <color theme="1"/>
            <rFont val="Calibri"/>
            <family val="2"/>
            <scheme val="minor"/>
          </rPr>
          <t>4.2 Projeto de Melhoria
FI (Fator de Impacto) pode variar de 50% a 90% conforme condições abaixo:
• FI = 50% para funcionalidade de sistema desenvolvida ou mantida por meio de
um projeto de melhoria pela empresa contratada.
FI = 75% para funcionalidade de sistema não desenvolvida ou mantida por meio
de um projeto de melhoria pela empresa contratada e sem necessidade de
redocumentação da funcionalidade.
• FI = 90% para funcionalidade de sistema não desenvolvida ou mantida por
meio de um projeto de melhoria pela empresa contratada e com necessidade
de redocumentação da funcionalidade. FI = 90% representa a adição de 15%
como fator de redocumentação ao Fator de Impacto anterior (75%). Nesse
caso, a contratada deve redocumentar a funcionalidade mantida, gerando
a documentação completa da mesma, aderente ao processo de software
da contratante. Se houver uma nova demanda de projeto de melhoria na
funcionalidade em questão, será considerado que a contratada desenvolveu a
funcionalidade. Observe que o percentual de 90% apenas será considerado na
primeira demanda de projeto de melhoria em cada funcionalidade.
Em projetos de manutenção, o fator de 15% está remunerando apenas a atividade de
documentação.</t>
        </r>
      </text>
    </comment>
    <comment ref="C8" authorId="1" shapeId="0" xr:uid="{6191AB98-E37C-489E-9C4A-C04DE903538B}">
      <text>
        <r>
          <rPr>
            <sz val="9"/>
            <color indexed="81"/>
            <rFont val="Segoe UI"/>
            <family val="2"/>
          </rPr>
          <t xml:space="preserve">Somente utilize essa opção caso vc tenha essa clausula no contrato da empresa </t>
        </r>
      </text>
    </comment>
    <comment ref="C9" authorId="0" shapeId="0" xr:uid="{00000000-0006-0000-0400-00001B000000}">
      <text>
        <r>
          <rPr>
            <sz val="11"/>
            <color theme="1"/>
            <rFont val="Calibri"/>
            <family val="2"/>
            <scheme val="minor"/>
          </rPr>
          <t>4.2 Projeto de Melhoria
FI (Fator de Impacto) pode variar de 50% a 90% conforme condições abaixo:
• FI = 50% para funcionalidade de sistema desenvolvida ou mantida por meio de
um projeto de melhoria pela empresa contratada.
FI = 75% para funcionalidade de sistema não desenvolvida ou mantida por meio
de um projeto de melhoria pela empresa contratada e sem necessidade de
redocumentação da funcionalidade.
• FI = 90% para funcionalidade de sistema não desenvolvida ou mantida por
meio de um projeto de melhoria pela empresa contratada e com necessidade
de redocumentação da funcionalidade. FI = 90% representa a adição de 15%
como fator de redocumentação ao Fator de Impacto anterior (75%). Nesse
caso, a contratada deve redocumentar a funcionalidade mantida, gerando
a documentação completa da mesma, aderente ao processo de software
da contratante. Se houver uma nova demanda de projeto de melhoria na
funcionalidade em questão, será considerado que a contratada desenvolveu a
funcionalidade. Observe que o percentual de 90% apenas será considerado na
primeira demanda de projeto de melhoria em cada funcionalidade.
Em projetos de manutenção, o fator de 15% está remunerando apenas a atividade de
documentação.</t>
        </r>
      </text>
    </comment>
    <comment ref="C10" authorId="0" shapeId="0" xr:uid="{00000000-0006-0000-0400-00000E000000}">
      <text>
        <r>
          <rPr>
            <sz val="11"/>
            <color theme="1"/>
            <rFont val="Calibri"/>
            <family val="2"/>
            <scheme val="minor"/>
          </rPr>
          <t>4.2 Projeto de Melhoria
Exclusão de funcionalidades (grupos de dados ou processos elementares) em uma aplicação existente implantada em produção (PF_EXCLUÍDO).
PF_EXCLUÍDO = Pontos de Função associados às funcionalidades existentes na aplicação que serão excluídas no projeto de manutenção.
PF_MELHORIA = PF_INCLUIDO + (FI x PF_ALTERADO) +
(0,30 x PF_EXCLUIDO) + PF_CONVERSÃO</t>
        </r>
      </text>
    </comment>
    <comment ref="C11" authorId="0" shapeId="0" xr:uid="{91C29267-7904-4409-9B91-9F24430A7E0E}">
      <text>
        <r>
          <rPr>
            <sz val="11"/>
            <color theme="1"/>
            <rFont val="Calibri"/>
            <family val="2"/>
            <scheme val="minor"/>
          </rPr>
          <t xml:space="preserve">Somente utilize essa opção caso vc tenha essa clausula no contrato da empresa </t>
        </r>
      </text>
    </comment>
    <comment ref="C12" authorId="0" shapeId="0" xr:uid="{00000000-0006-0000-0400-000008000000}">
      <text>
        <r>
          <rPr>
            <sz val="11"/>
            <color theme="1"/>
            <rFont val="Calibri"/>
            <family val="2"/>
            <scheme val="minor"/>
          </rPr>
          <t>4.3 Projetos de Migração de Dados
Conforme mencionado na seção 3.3, este roteiro recomenda a supressão
do PF_CONVERSÃO das fórmulas de contagem de pontos de função de projetos de
desenvolvimento e de melhoria nos casos específicos onde for caracterizado um esforço
relativamente maior dessa atividade, tais como, nos casos de migração de dados de banco
de dados hierárquico para relacional, e no tratamento de funções complexas de migração
de dados. Nesses casos, recomenda-se tratar esse serviço como projeto separado de
migração de dados.
Os projetos de migração de dados devem ser contados como um novo projeto de
desenvolvimento de um sistema, seguindo a fórmula abaixo:
PF_CONVERSÃO = PF_INCLUIDO
Um projeto de migração deve contemplar minimamente: os ALI mantidos pela
migração, as Entradas Externas – considerando as cargas de dados nos ALI – e, caso seja
solicitado pelo usuário, os relatórios gerenciais das cargas, que serão contados como Saídas
Externas. Todas as contagens de PF devem ser realizadas com base nas funcionalidades
requisitadas e recebidas pelo usuário.</t>
        </r>
      </text>
    </comment>
    <comment ref="C13" authorId="0" shapeId="0" xr:uid="{00000000-0006-0000-0400-000002000000}">
      <text>
        <r>
          <rPr>
            <sz val="11"/>
            <color theme="1"/>
            <rFont val="Calibri"/>
            <family val="2"/>
            <scheme val="minor"/>
          </rPr>
          <t>Corretiva - Garantia
Quando o sistema em produção tiver sido desenvolvido pela contratada, a
manutenção corretiva será do tipo Garantia, conforme prazos e demais cláusulas do
contrato em questão. Caso não exista cláusula contratual de Garantia, deve ser
considerada a garantia de seis meses, preconizada por lei (Código do Consumidor).
No presente contrato a garantia é de 1 ano.</t>
        </r>
      </text>
    </comment>
    <comment ref="C14" authorId="0" shapeId="0" xr:uid="{00000000-0006-0000-0400-000016000000}">
      <text>
        <r>
          <rPr>
            <sz val="11"/>
            <color theme="1"/>
            <rFont val="Calibri"/>
            <family val="2"/>
            <scheme val="minor"/>
          </rPr>
          <t>4.4 Manutenção Corretiva
50% quando estiver fora da garantia e a correção for feita pela mesma empresa
que desenvolveu a funcionalidade.
As demandas de manutenção corretiva não contemplam atualização de
documentação da funcionalidade corrigida, pois este roteiro considera que, normalmente,
manutenção corretiva não se refere a erros de requisitos. Caso seja erro em requisitos,
essa demanda deve ser tratada como projeto de melhoria (alteração de funcionalidade),
descrito na seção 4.2. Porém, quando o erro for causado por documentação dúbia ou
imprecisa (elaborada pela contratada) da funcionalidade corrigida, a manutenção corretiva
poderá contemplar os ajustes na documentação, mesmo fora da garantia, mediante
negociação entre as partes.
Caso seja demandada a redocumentação da funcionalidade corrigida, porque
a documentação não existe ou está desatualizada, deve-se adicionar ao FI um fator de
redocumentação de 15%, conforme descrito na seção 4.2.
Os percentuais de multiplicação são estimados, podendo ser reajustados conforme
avaliação da base histórica dos serviços realizados no órgão ou entidade.</t>
        </r>
      </text>
    </comment>
    <comment ref="C15" authorId="0" shapeId="0" xr:uid="{00000000-0006-0000-0400-00001A000000}">
      <text>
        <r>
          <rPr>
            <sz val="11"/>
            <color theme="1"/>
            <rFont val="Calibri"/>
            <family val="2"/>
            <scheme val="minor"/>
          </rPr>
          <t>4.4 Manutenção Corretiva
50% quando estiver fora da garantia e a correção for feita pela mesma empresa
que desenvolveu a funcionalidade.
As demandas de manutenção corretiva não contemplam atualização de
documentação da funcionalidade corrigida, pois este roteiro considera que, normalmente,
manutenção corretiva não se refere a erros de requisitos. Caso seja erro em requisitos,
essa demanda deve ser tratada como projeto de melhoria (alteração de funcionalidade),
descrito na seção 4.2. Porém, quando o erro for causado por documentação dúbia ou
imprecisa (elaborada pela contratada) da funcionalidade corrigida, a manutenção corretiva
poderá contemplar os ajustes na documentação, mesmo fora da garantia, mediante
negociação entre as partes.
Caso seja demandada a redocumentação da funcionalidade corrigida, porque
a documentação não existe ou está desatualizada, deve-se adicionar ao FI um fator de
redocumentação de 15%, conforme descrito na seção 4.2.
Os percentuais de multiplicação são estimados, podendo ser reajustados conforme
avaliação da base histórica dos serviços realizados no órgão ou entidade.</t>
        </r>
      </text>
    </comment>
    <comment ref="C16" authorId="0" shapeId="0" xr:uid="{00000000-0006-0000-0400-00001C000000}">
      <text>
        <r>
          <rPr>
            <sz val="11"/>
            <color theme="1"/>
            <rFont val="Calibri"/>
            <family val="2"/>
            <scheme val="minor"/>
          </rPr>
          <t>4.4 Manutenção Corretiva
75% quando estiver fora da garantia e a correção for feita por empresa diferente
daquela que desenvolveu a funcionalidade.
As demandas de manutenção corretiva não contemplam atualização de
documentação da funcionalidade corrigida, pois este roteiro considera que, normalmente,
manutenção corretiva não se refere a erros de requisitos. Caso seja erro em requisitos,
essa demanda deve ser tratada como projeto de melhoria (alteração de funcionalidade),
descrito na seção 4.2. Porém, quando o erro for causado por documentação dúbia ou
imprecisa (elaborada pela contratada) da funcionalidade corrigida, a manutenção corretiva
poderá contemplar os ajustes na documentação, mesmo fora da garantia, mediante
negociação entre as partes.
Caso seja demandada a redocumentação da funcionalidade corrigida, porque
a documentação não existe ou está desatualizada, deve-se adicionar ao FI um fator de
redocumentação de 15%, conforme descrito na seção 4.2.
Os percentuais de multiplicação são estimados, podendo ser reajustados conforme
avaliação da base histórica dos serviços realizados no órgão ou entidade.</t>
        </r>
      </text>
    </comment>
    <comment ref="C17" authorId="0" shapeId="0" xr:uid="{00000000-0006-0000-0400-00000F000000}">
      <text>
        <r>
          <rPr>
            <sz val="11"/>
            <color theme="1"/>
            <rFont val="Calibri"/>
            <family val="2"/>
            <scheme val="minor"/>
          </rPr>
          <t>4.4 Manutenção Corretiva
75% quando estiver fora da garantia e a correção for feita por empresa diferente
daquela que desenvolveu a funcionalidade.
As demandas de manutenção corretiva não contemplam atualização de
documentação da funcionalidade corrigida, pois este roteiro considera que, normalmente,
manutenção corretiva não se refere a erros de requisitos. Caso seja erro em requisitos,
essa demanda deve ser tratada como projeto de melhoria (alteração de funcionalidade),
descrito na seção 4.2. Porém, quando o erro for causado por documentação dúbia ou
imprecisa (elaborada pela contratada) da funcionalidade corrigida, a manutenção corretiva
poderá contemplar os ajustes na documentação, mesmo fora da garantia, mediante
negociação entre as partes.
Caso seja demandada a redocumentação da funcionalidade corrigida, porque
a documentação não existe ou está desatualizada, deve-se adicionar ao FI um fator de
redocumentação de 15%, conforme descrito na seção 4.2.
Os percentuais de multiplicação são estimados, podendo ser reajustados conforme
avaliação da base histórica dos serviços realizados no órgão ou entidade.</t>
        </r>
      </text>
    </comment>
    <comment ref="C18" authorId="0" shapeId="0" xr:uid="{00000000-0006-0000-0400-000015000000}">
      <text>
        <r>
          <rPr>
            <sz val="11"/>
            <color theme="1"/>
            <rFont val="Calibri"/>
            <family val="2"/>
            <scheme val="minor"/>
          </rPr>
          <t>4.5.1 Mudança de Plataforma - Linguagem de Programação
Nesta categoria encontram-se as demandas de redesenvolvimento de sistemas em
outra linguagem de programação. Como os projetos legados, frequentemente, não possuem
documentação, devem ser considerados como novos projetos de desenvolvimento. Assim,
será utilizada a fórmula de projetos de desenvolvimento do CPM 4.3.
Observe que caso não exista mudança nas funções de dados, ou seja, o banco
de dados da aplicação seja mantido, as funções de dados não devem ser contadas. No
entanto, nesse caso, deve ser realizada a contagem das funções de dados a fim de compor
a documentação da contagem final do projeto.
Outro ponto a ser observado são as fases contratadas. Caso o projeto já possua
documentação de requisitos, a fase de requisitos não será contratada. Deve-se considerar
apenas os percentuais das fases contratadas.
PF_REDESENVOLVIMENTO_LINGUAGEM = PF_INCLUÍDO + PF_CONVERSÃO
Este roteiro recomenda a supressão do PF_CONVERSÃO da fórmula de contagem de
pontos de função de projetos de redesenvolvimento quando for caracterizado um esforço
relativamente maior dessa atividade, conforme descrito na seção 3.3.</t>
        </r>
      </text>
    </comment>
    <comment ref="C19" authorId="0" shapeId="0" xr:uid="{00000000-0006-0000-0400-000005000000}">
      <text>
        <r>
          <rPr>
            <sz val="11"/>
            <color theme="1"/>
            <rFont val="Calibri"/>
            <family val="2"/>
            <scheme val="minor"/>
          </rPr>
          <t>4.5.2 Mudança de Plataforma - Banco de Dados
Nesta categoria encontram-se as demandas de redesenvolvimento de sistemas
para utilizar um outro sistema gerenciador de banco de dados.
Observe que caso não exista mudança nas funções de dados, ou seja, o banco de
dados da aplicação seja mantido, então as funções de dados não devem ser contadas. No
entanto, nesse caso, deve ser realizada a contagem das funções de dados a fim de compor
a documentação da contagem final do projeto.
Em casos de mudança de banco hierárquico para relacional, em sistemas sem
documentação, devido às mudanças envolvidas, deve-se considerar como um novo
projeto de desenvolvimento, ou seja, as funções de dados e funções transacionais devem
ser contadas. Assim, será utilizada a fórmula de projeto de desenvolvimento do CPM 4.3,
conforme fórmula abaixo:
PF_REDESENVOLVIMENTO_BD_HIERÁRQUICO =
PF_INCLUÍDO + PF_CONVERSÃO
Nos projetos de redesenvolvimento de banco de dados hierárquico para relacional,
recomenda-se a supressão do PF_CONVERSÃO da fórmula acima, conforme descrito na
seção 3.3.
Caso o projeto já possua documentação de requisitos, então a fase de requisitos
não deve ser contratada. É importante destacar que isso se aplica a qualquer fase que
não se deseja contratar. Deve-se considerar apenas os percentuais das fases contratadas.
Caso a demanda de redesenvolvimento seja de um sistema gerenciador de banco
de dados relacional para outro relacional, deve ser utilizada a seguinte fórmula:
PF_REDESENVOLVIMENTO_BD_RELACIONAL =
(PF_ALTERADO X 0,30) + PF_CONVERSÃO
O PF_ALTERADO deve considerar apenas as funcionalidades impactadas. As
funcionalidades que possuem apenas demandas de testes, devem ser contadas usando o
percentual da fase de testes (ver Tabela 7).
Nos projetos de redesenvolvimento de banco de dados relacional para outro
relacional, recomenda-se tratar o PF_CONVERSÃO dentro do mesmo projeto.
Na mudança de banco relacional para relacional, geralmente a estrutura de dados
não é alterada, desta forma não contamos as funções de dados.</t>
        </r>
      </text>
    </comment>
    <comment ref="C20" authorId="0" shapeId="0" xr:uid="{00000000-0006-0000-0400-000022000000}">
      <text>
        <r>
          <rPr>
            <sz val="11"/>
            <color theme="1"/>
            <rFont val="Calibri"/>
            <family val="2"/>
            <scheme val="minor"/>
          </rPr>
          <t>4.5.2 Mudança de Plataforma - Banco de Dados
Nesta categoria encontram-se as demandas de redesenvolvimento de sistemas
para utilizar um outro sistema gerenciador de banco de dados.
Observe que caso não exista mudança nas funções de dados, ou seja, o banco de
dados da aplicação seja mantido, então as funções de dados não devem ser contadas. No
entanto, nesse caso, deve ser realizada a contagem das funções de dados a fim de compor
a documentação da contagem final do projeto.
Em casos de mudança de banco hierárquico para relacional, em sistemas sem
documentação, devido às mudanças envolvidas, deve-se considerar como um novo
projeto de desenvolvimento, ou seja, as funções de dados e funções transacionais devem
ser contadas. Assim, será utilizada a fórmula de projeto de desenvolvimento do CPM 4.3,
conforme fórmula abaixo:
PF_REDESENVOLVIMENTO_BD_HIERÁRQUICO =
PF_INCLUÍDO + PF_CONVERSÃO
Nos projetos de redesenvolvimento de banco de dados hierárquico para relacional,
recomenda-se a supressão do PF_CONVERSÃO da fórmula acima, conforme descrito na
seção 3.3.
Caso o projeto já possua documentação de requisitos, então a fase de requisitos
não deve ser contratada. É importante destacar que isso se aplica a qualquer fase que
não se deseja contratar. Deve-se considerar apenas os percentuais das fases contratadas.
Caso a demanda de redesenvolvimento seja de um sistema gerenciador de banco
de dados relacional para outro relacional, deve ser utilizada a seguinte fórmula:
PF_REDESENVOLVIMENTO_BD_RELACIONAL =
(PF_ALTERADO X 0,30) + PF_CONVERSÃO
O PF_ALTERADO deve considerar apenas as funcionalidades impactadas. As
funcionalidades que possuem apenas demandas de testes, devem ser contadas usando o
percentual da fase de testes (ver Tabela 7).
Nos projetos de redesenvolvimento de banco de dados relacional para outro
relacional, recomenda-se tratar o PF_CONVERSÃO dentro do mesmo projeto.
Na mudança de banco relacional para relacional, geralmente a estrutura de dados
não é alterada, desta forma não contamos as funções de dados.</t>
        </r>
      </text>
    </comment>
    <comment ref="C21" authorId="0" shapeId="0" xr:uid="{00000000-0006-0000-0400-000007000000}">
      <text>
        <r>
          <rPr>
            <sz val="11"/>
            <color theme="1"/>
            <rFont val="Calibri"/>
            <family val="2"/>
            <scheme val="minor"/>
          </rPr>
          <t>4.6.1 Atualização de Versão – Linguagem de Programação
Nesta categoria encontram-se as demandas de atualização de versão de linguagem
de programação de sistemas. As funções de dados não devem ser contadas. Estas
demandas devem ser dimensionadas de acordo com a fórmula abaixo.
PF_ATUALIZAÇÃO_VERSÃO_LINGUAGEM = PF_ALTERADO x 0,30
O PF_ALTERADO deve considerar apenas as funcionalidades impactadas. As
funcionalidades que possuem apenas demandas de testes, devem ser contadas usando o
percentual da fase de testes (ver Tabela 7).
Cabe ressaltar que o redutor depende da linguagem da programação utilizada,
considerando o grau de complexidade de implementação da mudança de versão no
sistema em questão. Desta forma, recomenda-se fortemente a análise do percentual
redutor da fórmula de contagem pelo órgão.</t>
        </r>
      </text>
    </comment>
    <comment ref="C22" authorId="0" shapeId="0" xr:uid="{00000000-0006-0000-0400-000009000000}">
      <text>
        <r>
          <rPr>
            <sz val="11"/>
            <color theme="1"/>
            <rFont val="Calibri"/>
            <family val="2"/>
            <scheme val="minor"/>
          </rPr>
          <t>4.6.2 Atualização de Versão – Browser
Nesta categoria encontram-se as demandas de atualização de aplicações Web para
executar em novas versões de um mesmo browser e para suportar a execução em mais
de um browser. É importante destacar que este tipo de procedimento usualmente é
realizado quando é necessário resolver algum problema de incompatibilidade. As funções
de dados não devem ser contadas. Estas demandas devem ser dimensionadas de acordo
com a fórmula abaixo.
PF_ATUALIZAÇÃO_VERSÃO_BROWSER = PF_ALTERADO x 0,30
O PF_ALTERADO deve considerar apenas as funcionalidades impactadas. As
funcionalidades que possuem apenas demandas de testes, devem ser contadas usando o
percentual da fase de testes (ver Tabela 7).
Essas atualizações podem implicar em manutenções em componentes específicos
da plataforma utilizada. Nesse caso, a demanda deve ser contada como componente
interno reusável, descrita na seção 4.15 deste roteiro.
Recomenda-se enfaticamente a realização da análise de impacto das mudanças
propostas para efeito de determinação do percentual adequado. Por exemplo, para
sistemas que já atendem ao padrão W3C (World Wide Web Consortium) o esforço é
menor, podendo usar, neste caso, um percentual diferente do citado acima. É importante
ressaltar que os sistemas Web devem seguir o padrão W3C, como recomendado na e-
Ping. Caso seja necessário fazer a adequação do sistema para atendimento ao padrão
W3C, pode-se usar a fórmula acima.</t>
        </r>
      </text>
    </comment>
    <comment ref="C23" authorId="0" shapeId="0" xr:uid="{00000000-0006-0000-0400-000013000000}">
      <text>
        <r>
          <rPr>
            <sz val="11"/>
            <color theme="1"/>
            <rFont val="Calibri"/>
            <family val="2"/>
            <scheme val="minor"/>
          </rPr>
          <t>4.7 Manutenção em Interface (INM)
A manutenção em interface, denominada na literatura de manutenção cosmética,
é associada às demandas de alterações de interface, por exemplo: fonte de letra, cores de
telas, logotipos, mudança de botões na tela, mudança de posição de campos ou texto na
tela. Também se enquadram nessa categoria as seguintes manutenções:
• Mudanças de texto em mensagens de erro, validação, aviso, alerta, confirmação
de cadastro ou conclusão de processamento;
• Mudança em texto estático de e-mail enviado para o usuário em uma
funcionalidade de cadastro. A demanda deve ser contada como manutenção em
interface na funcionalidade de cadastro;
• Alteração de título de um relatório;
• Alteração de labels de uma tela de consulta.
Nestes casos, a aferição do tamanho em pontos de função das funções transacionais
impactadas será realizada com a aplicação de um fator de redução de modo a considerar
20% da contagem de uma função transacional de mais baixa complexidade (3 PF), ou seja
0,6 PF, independentemente da complexidade da funcionalidade alterada. Neste tipo de
manutenção não são contadas funções de dados.
PF_INTERFACE = 0,6 PF x QUANTIDADE DE FUNÇÕES
TRANSACIONAIS IMPACTADAS
Está contemplada a atualização da documentação das funcionalidades da aplicação
impactadas pela manutenção nas demandas desta categoria. Assim, a documentação
(documento de requisitos, documento de interface, protótipo, entre outros) das
funcionalidades alteradas deve ser atualizada. Caso não exista documentação para as
funcionalidades alteradas, não será contemplada a redocumentação das funcionalidades
da aplicação impactadas pela manutenção nas demandas desta categoria.
O percentual de multiplicação é estimado, podendo ser reajustado conforme
avaliação da base histórica dos serviços realizados no órgão ou entidade.</t>
        </r>
      </text>
    </comment>
    <comment ref="C24" authorId="0" shapeId="0" xr:uid="{9A7E71BF-C558-43A3-AF19-90B533873678}">
      <text>
        <r>
          <rPr>
            <sz val="11"/>
            <color theme="1"/>
            <rFont val="Calibri"/>
            <family val="2"/>
            <scheme val="minor"/>
          </rPr>
          <t xml:space="preserve">Somente utilize essa opção caso vc tenha essa clausula no contrato da empresa </t>
        </r>
      </text>
    </comment>
    <comment ref="C25" authorId="0" shapeId="0" xr:uid="{00000000-0006-0000-0400-00000C000000}">
      <text>
        <r>
          <rPr>
            <sz val="11"/>
            <color theme="1"/>
            <rFont val="Calibri"/>
            <family val="2"/>
            <scheme val="minor"/>
          </rPr>
          <t>4.8 Adaptação em Funcionalidades sem Alteração de Requisitos Funcionais
São consideradas nesta categoria as demandas de manutenção adaptativa
associadas a solicitações que envolvem aspectos não funcionais, sem alteração em
requisitos funcionais. Seguem alguns exemplos:
• Aumentar a quantidade de linhas por página em um relatório;
• Colocar paginação em um relatório;
• Limitar a quantidade de linhas por página em uma consulta existente;
• Permitir exclusões múltiplas em uma funcionalidade que antes só possibilitava a
exclusão de um item;
• Adaptação de uma funcionalidade para possibilitar a chamada por um
webservice ou para outro tipo de integração com outros sistemas;
• Replicação de funcionalidade: chamar uma consulta existente em outra tela da
aplicação;
• Alteração na aplicação para adaptação às alterações realizadas na interface com
rotinas de integração com outros softwares, por exemplo, alteração em sub-rotinas
chamadas por este software;
• Modificar o servidor a ser acessado em uma funcionalidade de download de
arquivo;
• Adequar mensagem do sistema que em algumas telas apresenta “Usuário Não
está Habilitado a ver esta Página”, para que passe a enviar uma mensagem
mais adequada ao fato do usuário não possuir mais uma sessão ativa e ainda
estar navegando no sistema. A demanda deve ser contada como manutenção
adaptativa considerando as funcionalidades impactadas. Observe que trata-se
de mudança em validação com regra de negócio não funcional.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r>
      </text>
    </comment>
    <comment ref="C26" authorId="0" shapeId="0" xr:uid="{00000000-0006-0000-0400-000019000000}">
      <text>
        <r>
          <rPr>
            <sz val="11"/>
            <color theme="1"/>
            <rFont val="Calibri"/>
            <family val="2"/>
            <scheme val="minor"/>
          </rPr>
          <t>4.8 Adaptação em Funcionalidades sem Alteração de Requisitos Funcionais
São consideradas nesta categoria as demandas de manutenção adaptativa
associadas a solicitações que envolvem aspectos não funcionais, sem alteração em
requisitos funcionais. Seguem alguns exemplos:
• Aumentar a quantidade de linhas por página em um relatório;
• Colocar paginação em um relatório;
• Limitar a quantidade de linhas por página em uma consulta existente;
• Permitir exclusões múltiplas em uma funcionalidade que antes só possibilitava a
exclusão de um item;
• Adaptação de uma funcionalidade para possibilitar a chamada por um
webservice ou para outro tipo de integração com outros sistemas;
• Replicação de funcionalidade: chamar uma consulta existente em outra tela da
aplicação;
• Alteração na aplicação para adaptação às alterações realizadas na interface com
rotinas de integração com outros softwares, por exemplo, alteração em sub-rotinas
chamadas por este software;
• Modificar o servidor a ser acessado em uma funcionalidade de download de
arquivo;
• Adequar mensagem do sistema que em algumas telas apresenta “Usuário Não
está Habilitado a ver esta Página”, para que passe a enviar uma mensagem
mais adequada ao fato do usuário não possuir mais uma sessão ativa e ainda
estar navegando no sistema. A demanda deve ser contada como manutenção
adaptativa considerando as funcionalidades impactadas. Observe que trata-se
de mudança em validação com regra de negócio não funcional.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
Deve-se destacar que além da adequação das funcionalidades em questão, a
documentação do projeto de manutenção adaptativa deve ser realizada. Além disso, caso
exista a documentação das funcionalidades impactadas, estas deverão ser atualizadas,
caso contrário, se for demandada a redocumentação dessas funcionalidades, deve-se adicionar ao FI um fator de redocumentação de 15%, conforme descrito na seção 4.2.</t>
        </r>
      </text>
    </comment>
    <comment ref="C27" authorId="0" shapeId="0" xr:uid="{00000000-0006-0000-0400-000006000000}">
      <text>
        <r>
          <rPr>
            <sz val="11"/>
            <color theme="1"/>
            <rFont val="Calibri"/>
            <family val="2"/>
            <scheme val="minor"/>
          </rPr>
          <t>4.8 Adaptação em Funcionalidades sem Alteração de Requisitos Funcionais
São consideradas nesta categoria as demandas de manutenção adaptativa
associadas a solicitações que envolvem aspectos não funcionais, sem alteração em
requisitos funcionais. Seguem alguns exemplos:
• Aumentar a quantidade de linhas por página em um relatório;
• Colocar paginação em um relatório;
• Limitar a quantidade de linhas por página em uma consulta existente;
• Permitir exclusões múltiplas em uma funcionalidade que antes só possibilitava a
exclusão de um item;
• Adaptação de uma funcionalidade para possibilitar a chamada por um
webservice ou para outro tipo de integração com outros sistemas;
• Replicação de funcionalidade: chamar uma consulta existente em outra tela da
aplicação;
• Alteração na aplicação para adaptação às alterações realizadas na interface com
rotinas de integração com outros softwares, por exemplo, alteração em sub-rotinas
chamadas por este software;
• Modificar o servidor a ser acessado em uma funcionalidade de download de
arquivo;
• Adequar mensagem do sistema que em algumas telas apresenta “Usuário Não
está Habilitado a ver esta Página”, para que passe a enviar uma mensagem
mais adequada ao fato do usuário não possuir mais uma sessão ativa e ainda
estar navegando no sistema. A demanda deve ser contada como manutenção
adaptativa considerando as funcionalidades impactadas. Observe que trata-se
de mudança em validação com regra de negócio não funcional.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t>
        </r>
      </text>
    </comment>
    <comment ref="C28" authorId="0" shapeId="0" xr:uid="{00000000-0006-0000-0400-000004000000}">
      <text>
        <r>
          <rPr>
            <sz val="11"/>
            <color theme="1"/>
            <rFont val="Calibri"/>
            <family val="2"/>
            <scheme val="minor"/>
          </rPr>
          <t>4.8 Adaptação em Funcionalidades sem Alteração de Requisitos Funcionais
São consideradas nesta categoria as demandas de manutenção adaptativa
associadas a solicitações que envolvem aspectos não funcionais, sem alteração em
requisitos funcionais. Seguem alguns exemplos:
• Aumentar a quantidade de linhas por página em um relatório;
• Colocar paginação em um relatório;
• Limitar a quantidade de linhas por página em uma consulta existente;
• Permitir exclusões múltiplas em uma funcionalidade que antes só possibilitava a
exclusão de um item;
• Adaptação de uma funcionalidade para possibilitar a chamada por um
webservice ou para outro tipo de integração com outros sistemas;
• Replicação de funcionalidade: chamar uma consulta existente em outra tela da
aplicação;
• Alteração na aplicação para adaptação às alterações realizadas na interface com
rotinas de integração com outros softwares, por exemplo, alteração em sub-rotinas
chamadas por este software;
• Modificar o servidor a ser acessado em uma funcionalidade de download de
arquivo;
• Adequar mensagem do sistema que em algumas telas apresenta “Usuário Não
está Habilitado a ver esta Página”, para que passe a enviar uma mensagem
mais adequada ao fato do usuário não possuir mais uma sessão ativa e ainda
estar navegando no sistema. A demanda deve ser contada como manutenção
adaptativa considerando as funcionalidades impactadas. Observe que trata-se
de mudança em validação com regra de negócio não funcional.
Nestes casos, a aferição do tamanho em pontos de função da funcionalidade ou das
funcionalidades que sofreram impacto deve considerar um fator de impacto (FI) sobre o
PF_ALTERADO, seguindo os conceitos do CPM 4.3, apresentados na seção 4.2.
PF_ADAPTATIVA = FI x PF_ALTERADO
FI (Fator de Impacto) pode variar conforme condições abaixo:
• FI = 50% para funcionalidade de sistema desenvolvida ou mantida por meio de um projeto de melhoria pela empresa contratada.
• FI = 75% para funcionalidade de sistema não desenvolvida ou mantida por meio de um projeto de melhoria pela empresa contratada.
Deve-se destacar que além da adequação das funcionalidades em questão, a
documentação do projeto de manutenção adaptativa deve ser realizada. Além disso, caso
exista a documentação das funcionalidades impactadas, estas deverão ser atualizadas,
caso contrário, se for demandada a redocumentação dessas funcionalidades, deve-se adicionar ao FI um fator de redocumentação de 15%, conforme descrito na seção 4.2.</t>
        </r>
      </text>
    </comment>
    <comment ref="C29" authorId="0" shapeId="0" xr:uid="{00000000-0006-0000-0400-00001E000000}">
      <text>
        <r>
          <rPr>
            <sz val="11"/>
            <color theme="1"/>
            <rFont val="Calibri"/>
            <family val="2"/>
            <scheme val="minor"/>
          </rPr>
          <t>4.9.1 Apuração Especial – Base de Dados
Este tipo de apuração especial é um projeto que inclui a geração de procedimentos
para atualização da base de dados. Deve-se destacar que estas funções são executadas
apenas uma vez, não fazendo parte da aplicação, visando a correção de dados incorretos
na base de dados da aplicação ou atualização em função de modificação da estrutura de
dados, por exemplo inclusão de valor “sim” ou “não” no campo “indicador de matriz”
referente ao CNPJ. Normalmente, nesse tipo de atualização são afetados múltiplos
registros. Nestes casos, considera-se a contagem de pontos de função das funcionalidades
desenvolvidas. Geralmente, estas funcionalidades são classificadas como Entradas
Externas. Nesse caso, como artefato de homologação da demanda, deve ser gerado um
relatório para validação do usuário.
É importante ressaltar que as funções de dados associadas aos dados atualizados
não devem ser contadas, considerando que não há mudanças nas estruturas dos Arquivos
Lógicos Internos.
Foram identificados três tipos de Apuração Especial - Base de Dados, cujas fórmulas
de cálculo são apresentadas a seguir:
a) Atualização de Dados sem Consulta Prévia
PF_APURAÇÃO_BD = PF_INCLUÍDO</t>
        </r>
      </text>
    </comment>
    <comment ref="C30" authorId="0" shapeId="0" xr:uid="{00000000-0006-0000-0400-00000D000000}">
      <text>
        <r>
          <rPr>
            <sz val="11"/>
            <color theme="1"/>
            <rFont val="Calibri"/>
            <family val="2"/>
            <scheme val="minor"/>
          </rPr>
          <t>4.9.1 Apuração Especial – Base de Dados
Este tipo de apuração especial é um projeto que inclui a geração de procedimentos
para atualização da base de dados. Deve-se destacar que estas funções são executadas
apenas uma vez, não fazendo parte da aplicação, visando a correção de dados incorretos
na base de dados da aplicação ou atualização em função de modificação da estrutura de
dados, por exemplo inclusão de valor “sim” ou “não” no campo “indicador de matriz”
referente ao CNPJ. Normalmente, nesse tipo de atualização são afetados múltiplos
registros. Nestes casos, considera-se a contagem de pontos de função das funcionalidades
desenvolvidas. Geralmente, estas funcionalidades são classificadas como Entradas
Externas. Nesse caso, como artefato de homologação da demanda, deve ser gerado um
relatório para validação do usuário.
É importante ressaltar que as funções de dados associadas aos dados atualizados
não devem ser contadas, considerando que não há mudanças nas estruturas dos Arquivos
Lógicos Internos.
Foram identificados três tipos de Apuração Especial - Base de Dados, cujas fórmulas
de cálculo são apresentadas a seguir:
b) Consulta Prévia sem Atualização
Em alguns casos de Apuração Especial – Base de Dados, o usuário solicita uma
consulta prévia das informações. Deve-se ressaltar que essa consulta deve ser realizada
antes da construção da funcionalidade, não se trata de homologação. A consulta prévia
não é definida pela empresa contratada, obrigatoriamente essa deve ser solicitada pelo
órgão contratante para a avaliação da viabilidade de implementar a Apuração Especial -
Base de Dados. De fato, é uma prática interessante para evitar informações errôneas na
base de produção dos sistemas. Esta consulta prévia, classificada como Consulta Externa
ou Saída Externa deve ser dimensionada considerando-se o tamanho da funcionalidade
em questão, conforme a fórmula abaixo:
PF _CONSULTA_PRÉVIA = PF_INCLUÍDO</t>
        </r>
      </text>
    </comment>
    <comment ref="C31" authorId="0" shapeId="0" xr:uid="{00000000-0006-0000-0400-000023000000}">
      <text>
        <r>
          <rPr>
            <sz val="11"/>
            <color theme="1"/>
            <rFont val="Calibri"/>
            <family val="2"/>
            <scheme val="minor"/>
          </rPr>
          <t>4.9.1 Apuração Especial – Base de Dados
Este tipo de apuração especial é um projeto que inclui a geração de procedimentos
para atualização da base de dados. Deve-se destacar que estas funções são executadas
apenas uma vez, não fazendo parte da aplicação, visando a correção de dados incorretos
na base de dados da aplicação ou atualização em função de modificação da estrutura de
dados, por exemplo inclusão de valor “sim” ou “não” no campo “indicador de matriz”
referente ao CNPJ. Normalmente, nesse tipo de atualização são afetados múltiplos
registros. Nestes casos, considera-se a contagem de pontos de função das funcionalidades
desenvolvidas. Geralmente, estas funcionalidades são classificadas como Entradas
Externas. Nesse caso, como artefato de homologação da demanda, deve ser gerado um
relatório para validação do usuário.
É importante ressaltar que as funções de dados associadas aos dados atualizados
não devem ser contadas, considerando que não há mudanças nas estruturas dos Arquivos
Lógicos Internos.
Foram identificados três tipos de Apuração Especial - Base de Dados, cujas fórmulas
de cálculo são apresentadas a seguir:
c) Atualização de Dados com Consulta Prévia
Caso a Apuração Especial - Base de Dados seja solicitada após uma demanda de
consulta prévia, deve-se aplicar um fator de 60% na fórmula de contagem da Apuração
Especial - Base de Dados, seguindo a fórmula abaixo.
PF_APURAÇÃO_BD_PÓS_CONSULTA_PRÉVIA = PF_INCLUÍDO x 0,60</t>
        </r>
      </text>
    </comment>
    <comment ref="C32" authorId="0" shapeId="0" xr:uid="{00000000-0006-0000-0400-000001000000}">
      <text>
        <r>
          <rPr>
            <sz val="11"/>
            <color theme="1"/>
            <rFont val="Calibri"/>
            <family val="2"/>
            <scheme val="minor"/>
          </rPr>
          <t>4.9.2 Apuração Especial – Geração de Relatórios
Este tipo de apuração especial é um projeto que inclui a geração de relatórios em
uma ou mais mídias para o usuário. Em alguns casos, são solicitadas extrações de dados
e envio dos dados para outros sistemas. Caso, neste envio de dados, sejam requisitadas
atualizações no sistema de origem, então essas funções transacionais são Saídas Externas,
devido à atualização do Arquivo Lógico Interno.
Deve-se destacar que essas funções são executadas apenas uma vez, não fazendo
parte da aplicação. Nestes casos, considera-se contagem de pontos de função das
funcionalidades desenvolvidas. Frequentemente, estas funcionalidades são classificadas
como Saídas Externas. Também podem ser classificadas como Consultas Externas, caso
não possuam cálculos ou criação de dados derivados.
É importante ressaltar que as funções de dados associadas aos dados atualizados
não devem ser contadas, considerando que não há mudanças nas estruturas dos Arquivos
Lógicos.
PF_APURAÇÃO_RELATÓRIOS = PF_INCLUÍDO</t>
        </r>
      </text>
    </comment>
    <comment ref="C33" authorId="0" shapeId="0" xr:uid="{00000000-0006-0000-0400-000014000000}">
      <text>
        <r>
          <rPr>
            <sz val="11"/>
            <color theme="1"/>
            <rFont val="Calibri"/>
            <family val="2"/>
            <scheme val="minor"/>
          </rPr>
          <t>4.9.3 Apuração Especial – Reexecução
Em alguns casos, a empresa contratante pode ter interesse em executar uma
apuração especial mais de uma vez. Nestes casos, ela deve solicitar formalmente à
contratada o armazenamento do script executado. Desta forma, se for solicitada a
reexecução de uma apuração especial, esta deve ser dimensionada com a aplicação de um
fator redutor de 10% na contagem de pontos de função da apuração especial em questão,
da seguinte maneira:
PF_REEXECUÇÃO_APURAÇÃO = PF_NÃO_AJUSTADO x 0,10
O percentual de multiplicação proposto no item acima é estimado, podendo ser
reajustado conforme avaliação da base histórica dos serviços realizados no órgão ou
entidade.</t>
        </r>
      </text>
    </comment>
    <comment ref="C34" authorId="0" shapeId="0" xr:uid="{00000000-0006-0000-0400-000018000000}">
      <text>
        <r>
          <rPr>
            <sz val="11"/>
            <color theme="1"/>
            <rFont val="Calibri"/>
            <family val="2"/>
            <scheme val="minor"/>
          </rPr>
          <t>4.10 Atualização de Dados
Em alguns casos, as demandas de correção de problemas em base de dados estão
associadas a atualizações manuais (de forma interativa), diretamente no banco de dados
em um único registro, e que não envolvem cálculos ou procedimentos complexos. São
exemplos desse tipo de demanda, a atualização do valor de um campo de uma tabela
cadastrado erroneamente ou a exclusão de um registro de uma tabela.
Nestes casos, a aferição do tamanho em Pontos de Função deve considerar 10%
do PF de uma Entrada Externa e os Tipos de Dados da Entrada Externa são todos os TD
considerados na funcionalidade – campos atualizados e campos utilizados para a seleção
do registro.
PF_ATUALIZAÇÃO_BD = PF_INCLUÍDO x 0,10
Deve-se ressaltar que neste tipo de demanda não há gestão de configuração
(armazenamento de script, versionamento, etc.) das atualizações. Caso a contratante
identifique a necessidade de realização de gestão de configuração das atualizações no
banco de dados, então a demanda será classificada como Apuração Especial - Base de
Dados (subseção 4.9.1).
O percentual de multiplicação proposto acima é estimado, podendo ser reajustado
conforme avaliação da base histórica dos serviços realizados no órgão ou entidade.</t>
        </r>
      </text>
    </comment>
    <comment ref="C35" authorId="0" shapeId="0" xr:uid="{00000000-0006-0000-0400-00001D000000}">
      <text>
        <r>
          <rPr>
            <sz val="11"/>
            <color theme="1"/>
            <rFont val="Calibri"/>
            <family val="2"/>
            <scheme val="minor"/>
          </rPr>
          <t>4.11 Desenvolvimento, Manutenção e Publicação de Páginas Estáticas de Intranet, Internet ou Portal (INM)
Nesta seção são tratados desenvolvimentos e manutenções específicas em
páginas estáticas de portais, intranets ou websites. As demandas desta seção abrangem
a publicação de páginas Web com conteúdo estático. Por exemplo: criação de página
HTML, atualização de menu estático, atualização de texto ou banner estáticos em páginas
HTML existentes.
Caso o desenvolvimento de páginas estáticas esteja contido em um projeto de
desenvolvimento, então elas serão contabilizadas no projeto de desenvolvimento e não
devem ser mensuradas em separado. Ou seja, esta seção 4.11 se aplica quando ocorrer a
demanda exclusivamente para o desenvolvimento ou manutenção de páginas estáticas.
Estas demandas são consideradas como desenvolvimento de consultas. Nestes
casos, considera-se 20% dos pontos de função das consultas desenvolvidas. Cada página
é contada como uma consulta. As consultas são consideradas consultas externas simples
(3 PF). Ou seja, 0,6 PF por cada página desenvolvida ou mantida, de acordo com a fórmula
abaixo:
PF_PUBLICAÇÃO = 0,6 PF x Quantidade de Páginas Alteradas ou Incluídas
As demandas de criação de logomarcas ou identidade visual, além de outras
demandas de criação de arte, associadas à área de Comunicação Social, não são
enquadradas nessa categoria. Tais demandas não se referem a contratos de prestação de
serviços de desenvolvimento e manutenção de sistemas, portanto não são consideradas
neste roteiro.
É recomendada a construção de portais com ferramentas que apoiem a construção
de conteúdo pelo usuário, os chamados Gerenciadores de Conteúdo, de modo a minimizar
as demandas de criação de páginas estáticas.
O percentual de multiplicação proposto acima é estimado, podendo ser reajustado
conforme avaliação da base histórica dos serviços realizados no órgão ou entidade.</t>
        </r>
      </text>
    </comment>
    <comment ref="C36" authorId="0" shapeId="0" xr:uid="{00000000-0006-0000-0400-00000B000000}">
      <text>
        <r>
          <rPr>
            <sz val="11"/>
            <color theme="1"/>
            <rFont val="Calibri"/>
            <family val="2"/>
            <scheme val="minor"/>
          </rPr>
          <t>4.12 Manutenção de Documentação de Sistemas Legados
Nesta seção são tratadas demandas de documentação ou atualização de
documentação de sistemas legados. Observe que o desenvolvedor deve realizar uma
engenharia reversa da aplicação para gerar a documentação. Para este tipo de projeto
foi definido o fator de impacto de 25% dos pontos de função da aplicação em questão,
considerando a fase de requisitos e a geração de artefatos associados a requisitos,
conforme a fórmula abaixo.
PF_DOCUMENTAÇÃO = PF_NÃO_AJUSTADO x 0,25
Caso a demanda seja a geração de artefatos de documentação de outras fases
do processo de desenvolvimento, deve-se considerar um outro fator de impacto,
considerando as fases do ciclo de vida e os demais artefatos a serem gerados. As premissas
utilizadas devem ser definidas nas cláusulas contratuais e documentadas no documento
de estimativas do projeto.
O percentual de multiplicação proposto acima é estimado, podendo ser reajustado
conforme avaliação da base histórica dos serviços realizados no órgão ou entidade.</t>
        </r>
      </text>
    </comment>
    <comment ref="C37" authorId="0" shapeId="0" xr:uid="{6B491DF5-8A20-4A6F-88EF-1040255E636D}">
      <text>
        <r>
          <rPr>
            <sz val="11"/>
            <color theme="1"/>
            <rFont val="Calibri"/>
            <family val="2"/>
            <scheme val="minor"/>
          </rPr>
          <t>4.13 Verificação de Erros
As verificações de erro ou análise e solução de problemas são as demandas
referentes a todo comportamento anormal ou indevido apontado pelo cliente nos sistemas
aplicativos. Neste caso, a equipe de desenvolvimento da contratada se mobilizará para
encontrar as causas do problema ocorrido. Se for constatado algum erro de sistema, a
demanda será atendida como manutenção corretiva (seção 4.4).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não exista documentação de
testes disponível dessas funcionalidades verificadas, será considerado 20% do tamanho
funcional dessas funcionalidades com solicitação de análise pelo órgão contratante,
segundo a fórmula abaixo:
PF_VERIFICAÇÃO = PF_Funcionalidade_Reportada_Com_Erro x 0,20
É importante ressaltar que a demanda de verificação de erros deve ser associada a
uma funcionalidade específica. Os casos de sistema fora do ar por conta de problemas de
rede ou banco de dados devem ser tratados como serviços de suporte e não serviços de
desenvolvimento e manutenção de sistemas. Esses serviços de suporte não fazem parte
do escopo desse roteiro de métricas, não se aplicando verificação de erros nestes casos.
O percentual de multiplicação proposto acima é estimado, podendo ser reajustado
conforme avaliação da base histórica dos serviços realizados no órgão ou entidade.</t>
        </r>
      </text>
    </comment>
    <comment ref="C38" authorId="0" shapeId="0" xr:uid="{00000000-0006-0000-0400-00001F000000}">
      <text>
        <r>
          <rPr>
            <sz val="11"/>
            <color theme="1"/>
            <rFont val="Calibri"/>
            <family val="2"/>
            <scheme val="minor"/>
          </rPr>
          <t>4.13 Verificação de Erros
As verificações de erro ou análise e solução de problemas são as demandas
referentes a todo comportamento anormal ou indevido apontado pelo cliente nos sistemas
aplicativos. Neste caso, a equipe de desenvolvimento da contratada se mobilizará para
encontrar as causas do problema ocorrido. Se for constatado algum erro de sistema, a
demanda será atendida como manutenção corretiva (seção 4.4).
Entretanto, uma vez não constatado o problema apontado pelo cliente ou o
mesmo for decorrente de regras de negócio implementadas ou utilização incorreta
das funcionalidades, será realizada a aferição do tamanho em pontos de função das
funcionalidades verificadas que o cliente reportou erro. Caso não exista documentação de
testes disponível dessas funcionalidades verificadas, será considerado 20% do tamanho
funcional dessas funcionalidades com solicitação de análise pelo órgão contratante,
segundo a fórmula abaixo:
PF_VERIFICAÇÃO = PF_Funcionalidade_Reportada_Com_Erro x 0,20
É importante ressaltar que a demanda de verificação de erros deve ser associada a
uma funcionalidade específica. Os casos de sistema fora do ar por conta de problemas de
rede ou banco de dados devem ser tratados como serviços de suporte e não serviços de
desenvolvimento e manutenção de sistemas. Esses serviços de suporte não fazem parte
do escopo desse roteiro de métricas, não se aplicando verificação de erros nestes casos.
O percentual de multiplicação proposto acima é estimado, podendo ser reajustado
conforme avaliação da base histórica dos serviços realizados no órgão ou entidade.</t>
        </r>
      </text>
    </comment>
    <comment ref="C39" authorId="0" shapeId="0" xr:uid="{00000000-0006-0000-0400-000020000000}">
      <text>
        <r>
          <rPr>
            <sz val="11"/>
            <color theme="1"/>
            <rFont val="Calibri"/>
            <family val="2"/>
            <scheme val="minor"/>
          </rPr>
          <t>4.14 Pontos de Função de Teste
Muitas vezes, em projetos de manutenção, o conjunto de funções transacionais
a serem testadas é maior do que a quantidade de funções a serem implementadas, isto
é, além das funcionalidades que são afetadas diretamente pelo projeto de manutenção,
outras precisam ser testadas [NESMA, 2009]. O tamanho das funções a serem apenas
testadas deve ser aferido em Pontos de Função de Teste (PFT). Não considerar as
funcionalidades incluídas, alteradas ou excluídas do projeto de manutenção na contagem
de Pontos de Função de Teste.
A contagem de PFT será o somatório dos tamanhos em pontos de função das
funções transacionais envolvidas no teste:
PFT = Somatório dos Tamanhos das Funções Transacionais Testadas
A conversão do PFT em ponto de função deve ser feita de acordo com a fórmula
abaixo:
PF_TESTES = PFT x 0,15
É importante ressaltar que no caso de uma função ser testada várias vezes, com
cenários diferentes, a função só pode ser contada uma vez. Outra observação é que
as funções testadas, consideradas no PFT, devem ser documentadas pela contratada
considerando-se a documentação de testes definida no processo de desenvolvimento da
contratante. Observe que estas funções farão parte do escopo do projeto de manutenção.</t>
        </r>
      </text>
    </comment>
    <comment ref="C40" authorId="0" shapeId="0" xr:uid="{00000000-0006-0000-0400-000003000000}">
      <text>
        <r>
          <rPr>
            <sz val="11"/>
            <color theme="1"/>
            <rFont val="Calibri"/>
            <family val="2"/>
            <scheme val="minor"/>
          </rPr>
          <t>4.15 Componente Interno Reusável
Em alguns casos são demandadas manutenções em componentes, que implementam
regras de negócio, específicos de uma aplicação e estes são reusados por várias
funcionalidades da aplicação. Por exemplo, uma mudança em uma rotina de validação
de um CPF usada em várias funcionalidades de cadastro. Se considerarmos o método de
contagem de projetos de melhoria do CPM, seriam contadas todas as funcionalidades
impactadas por essa mudança.
No entanto, este roteiro propõe que o componente, o qual deverá ser testado, seja
considerado como um processo elementar independente e sua alteração seja contada
aplicando-se um fator de impacto (FI) sobre o PF_ALTERADO, seguindo os conceitos do
CPM 4.3, apresentados na seção 4.2 - Projeto de Melhoria. Além disso, as funcionalidades
da aplicação que necessitem de teste devem ser requisitadas pela contratante e
dimensionadas por meio da métrica Pontos de Função de Teste proposta na seção 4.14.
PF_COMPONENTE = FI x PF_ALTERADO</t>
        </r>
      </text>
    </comment>
    <comment ref="C41" authorId="0" shapeId="0" xr:uid="{00000000-0006-0000-0400-000017000000}">
      <text>
        <r>
          <rPr>
            <sz val="11"/>
            <color theme="1"/>
            <rFont val="Calibri"/>
            <family val="2"/>
            <scheme val="minor"/>
          </rPr>
          <t>4.15 Componente Interno Reusável (INM)
Em alguns casos são demandadas manutenções em componentes, que implementam
regras de negócio, específicos de uma aplicação e estes são reusados por várias
funcionalidades da aplicação. Por exemplo, uma mudança em uma rotina de validação
de um CPF usada em várias funcionalidades de cadastro. Se considerarmos o método de
contagem de projetos de melhoria do CPM, seriam contadas todas as funcionalidades
impactadas por essa mudança.
No entanto, este roteiro propõe que o componente, o qual deverá ser testado, seja
considerado como um processo elementar independente e sua alteração seja contada
aplicando-se um fator de impacto (FI) sobre o PF_ALTERADO, seguindo os conceitos do
CPM 4.3, apresentados na seção 4.2 - Projeto de Melhoria. Além disso, as funcionalidades
da aplicação que necessitem de teste devem ser requisitadas pela contratante e
dimensionadas por meio da métrica Pontos de Função de Teste proposta na seção 4.14.
PF_COMPONENTE = FI x PF_ALTERADO</t>
        </r>
      </text>
    </comment>
    <comment ref="C42" authorId="0" shapeId="0" xr:uid="{00000000-0006-0000-0400-000021000000}">
      <text>
        <r>
          <rPr>
            <sz val="11"/>
            <color theme="1"/>
            <rFont val="Calibri"/>
            <family val="2"/>
            <scheme val="minor"/>
          </rPr>
          <t>4.16 Contagem de Pontos de Função com Múltiplas Mídias
A contagem de PF de funcionalidades entregues em mais de uma mídia, na aplicação das regras de contagem de pontos de função definidas no CPM, tem levado a duas abordagens alternativas, a saber: single instance e multiple instance. É importante enfatizar que o IFPUG reconhece ambas abordagens, single instance e multiple instance, para a aplicação das regras definidas no CPM. A determinação da contagem de PF seguindo a abordagem multiple instance ou single instance depende da avaliação do Escritório de Métricas da instituição. As estimativas e contagens de PF abordadas neste documento são baseadas em multiple instance, com exceção dos casos de consultas em .pdf, .doc, .xls e consultas idênticas em tela e papel, que serão consideradas uma única funcionalidade.</t>
        </r>
      </text>
    </comment>
  </commentList>
  <extLst>
    <ext xmlns:r="http://schemas.openxmlformats.org/officeDocument/2006/relationships" uri="GoogleSheetsCustomDataVersion2">
      <go:sheetsCustomData xmlns:go="http://customooxmlschemas.google.com/" r:id="rId1" roundtripDataSignature="AMtx7mgEoxdYlteLigA9b/Za6ASmQtK2LA=="/>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27" authorId="0" shapeId="0" xr:uid="{00000000-0006-0000-0300-000002000000}">
      <text>
        <r>
          <rPr>
            <sz val="11"/>
            <color theme="1"/>
            <rFont val="Calibri"/>
            <family val="2"/>
            <scheme val="minor"/>
          </rPr>
          <t>Quando o valor deste campo estiver vermelho, significa que há funcionalidades sem o tipo de manutenção (I, A, E) preenchido.</t>
        </r>
      </text>
    </comment>
    <comment ref="S27" authorId="0" shapeId="0" xr:uid="{00000000-0006-0000-0300-000001000000}">
      <text>
        <r>
          <rPr>
            <sz val="11"/>
            <color theme="1"/>
            <rFont val="Calibri"/>
            <family val="2"/>
            <scheme val="minor"/>
          </rPr>
          <t>Quando o valor deste campo estiver vermelho, significa que há funcionalidades sem o tipo de manutenção (I, A, E) preenchido.</t>
        </r>
      </text>
    </comment>
  </commentList>
  <extLst>
    <ext xmlns:r="http://schemas.openxmlformats.org/officeDocument/2006/relationships" uri="GoogleSheetsCustomDataVersion2">
      <go:sheetsCustomData xmlns:go="http://customooxmlschemas.google.com/" r:id="rId1" roundtripDataSignature="AMtx7mhmuRwu7nfRp9Wq/XCY3O481lfD9Q=="/>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G2" authorId="0" shapeId="0" xr:uid="{00000000-0006-0000-0200-000001000000}">
      <text>
        <r>
          <rPr>
            <sz val="11"/>
            <color theme="1"/>
            <rFont val="Calibri"/>
            <family val="2"/>
            <scheme val="minor"/>
          </rPr>
          <t>======
ID#AAABHecfI3U
Daniel Maranhão de Sá e Carvalho    (2024-03-21 13:44:00)
Favor identificar o item de alteração do documento utilizado como base.</t>
        </r>
      </text>
    </comment>
  </commentList>
  <extLst>
    <ext xmlns:r="http://schemas.openxmlformats.org/officeDocument/2006/relationships" uri="GoogleSheetsCustomDataVersion2">
      <go:sheetsCustomData xmlns:go="http://customooxmlschemas.google.com/" r:id="rId1" roundtripDataSignature="AMtx7miygcv4+v8AErP+miI+Z3vHNHZmDg=="/>
    </ext>
  </extL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<sst xmlns="http://schemas.openxmlformats.org/spreadsheetml/2006/main" count="698" uniqueCount="395">
  <si>
    <t>Calculadora de Contagem e Auditoria de PF SFP</t>
  </si>
  <si>
    <t>Tipo de Comparação</t>
  </si>
  <si>
    <t>Quantidade de Itens</t>
  </si>
  <si>
    <t>Percentual de Aceitação</t>
  </si>
  <si>
    <t>Quantidade de Itens NAP</t>
  </si>
  <si>
    <t>Quantidade de Itens AP</t>
  </si>
  <si>
    <t>Contagem Fábrica de Métricas</t>
  </si>
  <si>
    <t>Contratada</t>
  </si>
  <si>
    <t>ID Demanda</t>
  </si>
  <si>
    <t>Nome do Sistema</t>
  </si>
  <si>
    <t>Módulo(s)</t>
  </si>
  <si>
    <t>Responsável pela Contagem</t>
  </si>
  <si>
    <t>Tipo de Contagem</t>
  </si>
  <si>
    <t>Datas das Contagens</t>
  </si>
  <si>
    <t>Total de PF</t>
  </si>
  <si>
    <t xml:space="preserve">   Total PFL (Deflação)</t>
  </si>
  <si>
    <t>Auditoria da Contagem</t>
  </si>
  <si>
    <t>OS Qualidade</t>
  </si>
  <si>
    <t>Responsável pela auditoria</t>
  </si>
  <si>
    <t>Comparação das Contagens</t>
  </si>
  <si>
    <t xml:space="preserve">    Tipo</t>
  </si>
  <si>
    <t>Comparação PF Liquído</t>
  </si>
  <si>
    <t xml:space="preserve">    % de Divergência</t>
  </si>
  <si>
    <t>PF a Faturar</t>
  </si>
  <si>
    <t>PF Bruto</t>
  </si>
  <si>
    <t>PF Deflação</t>
  </si>
  <si>
    <t>Módulo/Demanda</t>
  </si>
  <si>
    <t>Total PF</t>
  </si>
  <si>
    <t>Total PF (Deflação)</t>
  </si>
  <si>
    <t>Revisor Técnico</t>
  </si>
  <si>
    <t>Data</t>
  </si>
  <si>
    <t>Revisor DATASUS</t>
  </si>
  <si>
    <t>Tipo de contagem</t>
  </si>
  <si>
    <t>Projeto Novo</t>
  </si>
  <si>
    <t>Manutenção Adaptativa</t>
  </si>
  <si>
    <t>Ação</t>
  </si>
  <si>
    <t>PF</t>
  </si>
  <si>
    <t>Manutenção Corretiva</t>
  </si>
  <si>
    <t>Inclusão</t>
  </si>
  <si>
    <t>Manutenção Evolutiva</t>
  </si>
  <si>
    <t>Alteração</t>
  </si>
  <si>
    <t>Manutenção Perfectiva</t>
  </si>
  <si>
    <t>Exclusão</t>
  </si>
  <si>
    <t>Aplicação ( Baseline )</t>
  </si>
  <si>
    <t>Correção / Conversão</t>
  </si>
  <si>
    <t>Migração de dados</t>
  </si>
  <si>
    <t>Itens Não Mensuráveis (PF)</t>
  </si>
  <si>
    <t>Migração de tecnologia</t>
  </si>
  <si>
    <t>Informe o tipo de contagem.</t>
  </si>
  <si>
    <t>Propósito da contagem</t>
  </si>
  <si>
    <t>Escopo da contagem</t>
  </si>
  <si>
    <t>&lt;Especificar o conjunto de requisitos funcionais de usuários que serão incluídos na contagem e quais os sistemas incluídos&gt;</t>
  </si>
  <si>
    <t>Fronteira da contagem</t>
  </si>
  <si>
    <t>&lt;Especificar os sistemas que fazem fronteira com o sistema que está sendo medido&gt;</t>
  </si>
  <si>
    <t>Plataforma (Tecnologia do Sistema)</t>
  </si>
  <si>
    <t>&lt;Especificar a plataforma de desenvolvimento do sistema&gt;</t>
  </si>
  <si>
    <t>Acesso ao Sistema</t>
  </si>
  <si>
    <t>Link do Sistema:</t>
  </si>
  <si>
    <t>Usuário:</t>
  </si>
  <si>
    <t>Observações</t>
  </si>
  <si>
    <t>Descrição da Alteração</t>
  </si>
  <si>
    <t>&lt;Informar a descrição da solicitação feita pelo gestor&gt;</t>
  </si>
  <si>
    <r>
      <t xml:space="preserve">*Clique Duplo </t>
    </r>
    <r>
      <rPr>
        <b/>
        <sz val="8"/>
        <rFont val="Arial"/>
        <family val="2"/>
      </rPr>
      <t>inclui linhas.</t>
    </r>
    <r>
      <rPr>
        <b/>
        <i/>
        <sz val="8"/>
        <rFont val="Arial"/>
        <family val="2"/>
      </rPr>
      <t xml:space="preserve">
*Click da direita</t>
    </r>
    <r>
      <rPr>
        <b/>
        <sz val="8"/>
        <rFont val="Arial"/>
        <family val="2"/>
      </rPr>
      <t xml:space="preserve"> Exclui linhas.</t>
    </r>
  </si>
  <si>
    <t>PBI</t>
  </si>
  <si>
    <t>Função</t>
  </si>
  <si>
    <t xml:space="preserve">Tipo </t>
  </si>
  <si>
    <t>IFPUG SISP</t>
  </si>
  <si>
    <t>QTD
TD</t>
  </si>
  <si>
    <t>DESCRIÇÃO TD</t>
  </si>
  <si>
    <t>QTD
AR/TR</t>
  </si>
  <si>
    <t>DESCRIÇÃO AR/TR</t>
  </si>
  <si>
    <t>QTD
INM</t>
  </si>
  <si>
    <t>OBSERVAÇÃO</t>
  </si>
  <si>
    <t>C</t>
  </si>
  <si>
    <t>ctl</t>
  </si>
  <si>
    <t>Tipo da Contagem</t>
  </si>
  <si>
    <t>CTipCont</t>
  </si>
  <si>
    <t>DF</t>
  </si>
  <si>
    <t>TP</t>
  </si>
  <si>
    <t>Complex</t>
  </si>
  <si>
    <t>PFB</t>
  </si>
  <si>
    <t>PFL</t>
  </si>
  <si>
    <t>Validação</t>
  </si>
  <si>
    <t>Retrabalho</t>
  </si>
  <si>
    <t>QTDE
TD</t>
  </si>
  <si>
    <t>Diferença
Bruto</t>
  </si>
  <si>
    <t>Divergência
Bruto</t>
  </si>
  <si>
    <t>Diferença
Líquido</t>
  </si>
  <si>
    <t>Divergência
Líquido</t>
  </si>
  <si>
    <t>Parecer Técnico
Equipe de Validação</t>
  </si>
  <si>
    <t>Resposta
Fábrica de Software</t>
  </si>
  <si>
    <t>Limite da Planilha</t>
  </si>
  <si>
    <t>Faturamento PFL por Fase executada por PBI</t>
  </si>
  <si>
    <t>Sumário do Faturamento por Fase</t>
  </si>
  <si>
    <t>Fase (A)</t>
  </si>
  <si>
    <t>Fase (B)</t>
  </si>
  <si>
    <t>Fase (C)</t>
  </si>
  <si>
    <t>Fase (D)</t>
  </si>
  <si>
    <t>Fase (E)</t>
  </si>
  <si>
    <t>Fase (F)</t>
  </si>
  <si>
    <t>Fase (G)</t>
  </si>
  <si>
    <t>Fase (H)</t>
  </si>
  <si>
    <t>Total Faturado</t>
  </si>
  <si>
    <t>Porcentagens =&gt;</t>
  </si>
  <si>
    <t>Requisitos</t>
  </si>
  <si>
    <t>Analise</t>
  </si>
  <si>
    <t>Desenvolvimento</t>
  </si>
  <si>
    <t>Implantação</t>
  </si>
  <si>
    <t>Teste</t>
  </si>
  <si>
    <t>Homologação</t>
  </si>
  <si>
    <t>Gestão Do Projeto</t>
  </si>
  <si>
    <t>Ger. Config. Software</t>
  </si>
  <si>
    <t>% Faturável</t>
  </si>
  <si>
    <t>PFL a Faturar</t>
  </si>
  <si>
    <t>Preenchimento Automático dos itens do Faturamento</t>
  </si>
  <si>
    <t>Sim</t>
  </si>
  <si>
    <t>Limite da planilha</t>
  </si>
  <si>
    <t>Tabela_Deflator</t>
  </si>
  <si>
    <t>Deflatores e Itens Não Mensuráveis - Fonte: SISP 2.3</t>
  </si>
  <si>
    <t>Mnemônico - MNE</t>
  </si>
  <si>
    <t>Descrição</t>
  </si>
  <si>
    <t>Valor</t>
  </si>
  <si>
    <t>Tipo</t>
  </si>
  <si>
    <t>Fórmula se aplicável</t>
  </si>
  <si>
    <t>Implementação</t>
  </si>
  <si>
    <t>Inc-4.1</t>
  </si>
  <si>
    <t>4.1 Aplicação / 4.1 Novo sistema / 4.2 Projeto de Melhoria – Nova</t>
  </si>
  <si>
    <t>Func</t>
  </si>
  <si>
    <t>Novo</t>
  </si>
  <si>
    <t>A50-4.2</t>
  </si>
  <si>
    <t>4.2 Projeto de Melhoria - Alterada (50%) (Mesma empresa que desenvolveu a funcionalidade s/ redoc)</t>
  </si>
  <si>
    <t>A65-4.2</t>
  </si>
  <si>
    <t>4.2 Projeto de Melhoria - Alterada  (65%) (Mesma empresa que desenvolveu a funcionalidade c/ redoc)</t>
  </si>
  <si>
    <t>Atualização</t>
  </si>
  <si>
    <t>A75-4.2</t>
  </si>
  <si>
    <t>4.2 Projeto de Melhoria - Alterada (75%) (Empresa diferente daquela que desenvolveu a funcionalidade s/ redoc)</t>
  </si>
  <si>
    <t>A80-4.2</t>
  </si>
  <si>
    <r>
      <t>4.2 Projeto de Melhoria - Alterada (80%) (</t>
    </r>
    <r>
      <rPr>
        <b/>
        <sz val="11"/>
        <color theme="1"/>
        <rFont val="Calibri"/>
        <family val="2"/>
      </rPr>
      <t>Clausula de Contrato</t>
    </r>
    <r>
      <rPr>
        <sz val="11"/>
        <color theme="1"/>
        <rFont val="Calibri"/>
        <family val="2"/>
      </rPr>
      <t>)</t>
    </r>
  </si>
  <si>
    <t>A90-4.2</t>
  </si>
  <si>
    <t>4.2 Projeto de Melhoria - Alterada  (90%) (Empresa diferente daquela que desenvolveu a funcionalidade c/ redoc)</t>
  </si>
  <si>
    <t>Técnico</t>
  </si>
  <si>
    <t>Exc-4.2</t>
  </si>
  <si>
    <t>4.2 Projeto de Melhoria - Excluída</t>
  </si>
  <si>
    <t>Exc25-4.2</t>
  </si>
  <si>
    <t>MD-4.3</t>
  </si>
  <si>
    <t>4.3 Projetos de Migração de Dados</t>
  </si>
  <si>
    <t>MC-4.4</t>
  </si>
  <si>
    <t>4.4 Manutenção Corretiva - 0% (Garantia)</t>
  </si>
  <si>
    <t>MC50-4.4</t>
  </si>
  <si>
    <t>4.4 Manutenção Corretiva - 50% (Mesma empresa que desenvolveu a funcionalidade s/ redoc)</t>
  </si>
  <si>
    <t>MC65-4.4</t>
  </si>
  <si>
    <t>4.4 Manutenção Corretiva - 65% (Mesma empresa que desenvolveu a funcionalidade c/ redoc)</t>
  </si>
  <si>
    <t>MC75-4.4</t>
  </si>
  <si>
    <t>4.4 Manutenção Corretiva - 75% (Empresa diferente daquela que desenvolveu a funcionalidade s/ redoc)</t>
  </si>
  <si>
    <t>MC90-4.4</t>
  </si>
  <si>
    <t>4.4 Manutenção Corretiva - 90% (Empresa diferente daquela que desenvolveu a funcionalidade c/ redoc)</t>
  </si>
  <si>
    <t>MD1-4.5.1</t>
  </si>
  <si>
    <t>4.5.1 Mudança de Plataforma - Linguagem de Programação</t>
  </si>
  <si>
    <t>MD2-4.5.2</t>
  </si>
  <si>
    <t>4.5.2 Mudança de Plataforma - Banco de Dados (BD_HIERÁRQUICO)</t>
  </si>
  <si>
    <t>MD3-4.5.2</t>
  </si>
  <si>
    <t>4.5.2 Mudança de Plataforma - Banco de Dados (BD_RELACIONAL)</t>
  </si>
  <si>
    <t>AV1-4.6.1</t>
  </si>
  <si>
    <t>4.6.1 Atualização de Versão - Linguagem de Programação</t>
  </si>
  <si>
    <t>AV2-4.6.2</t>
  </si>
  <si>
    <t>4.6.2 Atualização de Versão - Browser</t>
  </si>
  <si>
    <t>MI-4.7</t>
  </si>
  <si>
    <t>4.7 Manutenção em Interface</t>
  </si>
  <si>
    <t>INM</t>
  </si>
  <si>
    <t>PF_INTERFACE = 0,6 PF x QUANTIDADE DE FUNÇÕES
TRANSACIONAIS IMPACTADAS</t>
  </si>
  <si>
    <t>Ad40-4.8</t>
  </si>
  <si>
    <r>
      <t xml:space="preserve">4.8 Adaptação em Funcionalidades sem Alteração de Requisitos Funcionais - 40% - (desenvolvida ou mantida pela empresa contratada) - s/ redoc.  </t>
    </r>
    <r>
      <rPr>
        <b/>
        <sz val="11"/>
        <color theme="1"/>
        <rFont val="Calibri"/>
        <family val="2"/>
      </rPr>
      <t>(Clausula de Contrato)</t>
    </r>
  </si>
  <si>
    <t>Ad50-4.8</t>
  </si>
  <si>
    <t>4.8 Adaptação em Funcionalidades sem Alteração de Requisitos Funcionais - 50% - (desenvolvida ou mantida pela empresa contratada) - s/ redoc.</t>
  </si>
  <si>
    <t>Ad65-4.8</t>
  </si>
  <si>
    <t>4.8 Adaptação em Funcionalidades sem Alteração de Requisitos Funcionais - 65% - (desenvolvida ou mantida pela empresa contratada) - c/ redoc.</t>
  </si>
  <si>
    <t>Ad75-4.8</t>
  </si>
  <si>
    <t>4.8 Adaptação em Funcionalidades sem Alteração de Requisitos Funcionais - 75% - (não desenvolvida ou mantida pela empresa contratada) - s/ redoc.</t>
  </si>
  <si>
    <t>Ad90-4.8</t>
  </si>
  <si>
    <t>4.8 Adaptação em Funcionalidades sem Alteração de Requisitos Funcionais - 90% - (não desenvolvida ou mantida pela empresa contratada) - c/ redoc.</t>
  </si>
  <si>
    <t>AE1-4.9.1</t>
  </si>
  <si>
    <t>4.9.1 Apuração Especial - Base de Dados (Atualização de Dados sem Consulta Prévia)</t>
  </si>
  <si>
    <t>AE2-4.9.1</t>
  </si>
  <si>
    <t>4.9.1 Apuração Especial - Base de Dados (Consulta Prévia sem Atualização)</t>
  </si>
  <si>
    <t>AE3-4.9.1</t>
  </si>
  <si>
    <t>4.9.1 Apuração Especial - Base de Dados (Atualização de Dados com Consulta Prévia)</t>
  </si>
  <si>
    <t>AE4-4.9.2</t>
  </si>
  <si>
    <t>4.9.2 Apuração Especial - Geração de Relatórios</t>
  </si>
  <si>
    <t>AE5-4.9.3</t>
  </si>
  <si>
    <t>4.9.3 Apuração Especial - Reexecução</t>
  </si>
  <si>
    <t>AD-4.10</t>
  </si>
  <si>
    <t>4.10 Atualização de Dados</t>
  </si>
  <si>
    <t>DMP-4.11</t>
  </si>
  <si>
    <t>4.11 Desenvolvimento, Manutenção e Publicação de Páginas Estáticas de Intranet, Internet ou Portal</t>
  </si>
  <si>
    <t>PF_PUBLICAÇÃO = 0,6 PF x Quantidade de Páginas Alteradas ou Incluídas</t>
  </si>
  <si>
    <t>MDSL-4.12</t>
  </si>
  <si>
    <t>4.12 Manutenção de Documentação de Sistemas Legados</t>
  </si>
  <si>
    <t>VE-4.13</t>
  </si>
  <si>
    <t>4.13 Verificação de Erros sem Testes</t>
  </si>
  <si>
    <t>VET-4.13</t>
  </si>
  <si>
    <t>4.13 Verificação de Erros com Testes</t>
  </si>
  <si>
    <t>PFT-4.14</t>
  </si>
  <si>
    <t>4.14 Pontos de Função de Teste</t>
  </si>
  <si>
    <t>CIR-4.15</t>
  </si>
  <si>
    <t>4.15 Componente Interno Reusável</t>
  </si>
  <si>
    <t>Comp.Arq-4.15</t>
  </si>
  <si>
    <t>PF_COMPONENTE_ARQUIVO = 0,6 PF x QTD_ARQUIVOS_ALTERADOS</t>
  </si>
  <si>
    <t>CMM-4.16</t>
  </si>
  <si>
    <t>4.16 Contrato - Complementar - Múltiplas Mídias</t>
  </si>
  <si>
    <t>FREQ</t>
  </si>
  <si>
    <t>Engenharia de Requisitos</t>
  </si>
  <si>
    <t>Fase</t>
  </si>
  <si>
    <t>Fase Acumulativa</t>
  </si>
  <si>
    <t>FDES</t>
  </si>
  <si>
    <t>Design/Arquitetura</t>
  </si>
  <si>
    <t>FIMP</t>
  </si>
  <si>
    <t>FTEST</t>
  </si>
  <si>
    <t>FHOM</t>
  </si>
  <si>
    <t>FIMPL</t>
  </si>
  <si>
    <t>SA</t>
  </si>
  <si>
    <t>Sem Alteração - Item incluído conforme solicitado pelo cliente</t>
  </si>
  <si>
    <t>Manutenção</t>
  </si>
  <si>
    <t>Alteração Requisitos - Incluir Função</t>
  </si>
  <si>
    <t>Alteração Requisitos - Alterar Função</t>
  </si>
  <si>
    <t>Desistência - Incluir Função</t>
  </si>
  <si>
    <t>Desistência - Alterar Função</t>
  </si>
  <si>
    <t>Desistência - Excluir Função</t>
  </si>
  <si>
    <t>N/A</t>
  </si>
  <si>
    <t>Acréscimo</t>
  </si>
  <si>
    <t>Resumo da Contagem da Fábrica de Software</t>
  </si>
  <si>
    <t>Resumo da Contagem da Equipe de Validação</t>
  </si>
  <si>
    <t>Funções de Dados:</t>
  </si>
  <si>
    <t>Quantidade por Tipo de Complexidade</t>
  </si>
  <si>
    <t>Quantidade por Tipo de Manutenção</t>
  </si>
  <si>
    <t>Contagem Simplificada</t>
  </si>
  <si>
    <t>Baixa</t>
  </si>
  <si>
    <t>Média</t>
  </si>
  <si>
    <t>Alta</t>
  </si>
  <si>
    <t>Alteradas</t>
  </si>
  <si>
    <t>Incluídas</t>
  </si>
  <si>
    <t>Excluídas</t>
  </si>
  <si>
    <t>Outros</t>
  </si>
  <si>
    <t>Resumo Fábrica de Software</t>
  </si>
  <si>
    <t>Resumo auditoria</t>
  </si>
  <si>
    <t>Qtde</t>
  </si>
  <si>
    <t>PF Líquido</t>
  </si>
  <si>
    <t>ALI - Arquivo Lógico Interno</t>
  </si>
  <si>
    <t>Total</t>
  </si>
  <si>
    <t>AIE - Arquivo de Interface Externa</t>
  </si>
  <si>
    <t>Total de Pontos de Função:</t>
  </si>
  <si>
    <t>Funções de Transacionais:</t>
  </si>
  <si>
    <t>EE - Entrada Externa</t>
  </si>
  <si>
    <t>CE - Consulta Externa</t>
  </si>
  <si>
    <t>SE - Saída Externa</t>
  </si>
  <si>
    <t>Total de Pontos de Função</t>
  </si>
  <si>
    <t>INM (Itens não Mensuráveis)</t>
  </si>
  <si>
    <t>Resumo</t>
  </si>
  <si>
    <t>Total PF Alterado</t>
  </si>
  <si>
    <t>Total PF Incluído</t>
  </si>
  <si>
    <t>Total PF Excluído</t>
  </si>
  <si>
    <t>Aba Resumo</t>
  </si>
  <si>
    <t>Utilize essa aba para informações gerais de controle da contagem</t>
  </si>
  <si>
    <t>Ela ira trazer automaticamente as totalizações de pontos de função Brutos (PF)  e Liquido (PFL) tanto da contagem da fábrica como da auditoria para sua conferência</t>
  </si>
  <si>
    <t>O total de pontos de função líquidos da auditoria só são calculados quando a auditoria esta com o status OK</t>
  </si>
  <si>
    <t>A exclusão de informações da aba de Resumo e Aba de contagens é feita somente nessa aba para evitar apagamentos acidentais de contagens o botão de exclusão foi retirado da Aba Contagens</t>
  </si>
  <si>
    <t>Aba Contagens</t>
  </si>
  <si>
    <t>Itens não mensuráveis (INM) não seguem as regras de tamanho de PF por isso, quando selecionados, as colunas dos DTs e AL ficam em laranja, indicando que não terão efeito se preenchidos e a qtd de INM em amarelo, indicando que deve ser preenchido. De preferência pra criar uma funcionalidade por linha usando o multiplicador 1 nesse campo ao invés de usar um multiplicador maior que 1.</t>
  </si>
  <si>
    <t>Para os código MI-4.7, DPM-4.11 e Comp. Arq-4.15 use o multiplicador QTD em amarelo, de preferencia declare todos os itens e coloque o numero 1. Vide a Aba SISP_Defaltroes_e_INMS ou o próprio SISP para mais informações sobre calculo.</t>
  </si>
  <si>
    <t>Célula PBI na cor Roxa significa que o valor dos PFL ou o TIPO de função estão diferentes entre a contagem e a auditoria</t>
  </si>
  <si>
    <t>Nome da Função em vermelho quer dizer que a auditoria está com o status "Não OK", significando que a auditoria não está de acordo com a contagem da fábrica</t>
  </si>
  <si>
    <t>Linha da Função em verde quer dizer que a auditoria está com o status "OK".</t>
  </si>
  <si>
    <t>Para inserir linhas: Clique duas vezes na linha acima a linha será incluída acima da linha desejada.</t>
  </si>
  <si>
    <t>Para excluir linhas: Clique com o botão direito na linha que deseja excluir e selecione a opção "Excluir". Caso deseje usar a função nativa do Excel, responda cancelar a pergunta "Executar a função de Excluir?" Obs. As funções cortar e copiar estão desativadas para proteger as fórmulas da planilha</t>
  </si>
  <si>
    <t>Utilize o macroprocesso tipo igual a M (Macroprocesso) de prefencia somente para estimativas. Para a contagem Estimada (NESMA), o macroprocesso corresponde a um CRUD e mais um arquivo lótico mantido ou seja o conjunto de EE, SE, CE e ALI. Para a cont m o Escritório de Métricas.</t>
  </si>
  <si>
    <t>Aba Faturamento</t>
  </si>
  <si>
    <t>Distribuição das porcentagens: Coloque as porcentagens na linha "=&gt; Porcentagens" de acordo com o contrato com a SFP, elas devem totalizar 100, caso o valor não seja 100% a totalização ficará em vermelho indicando o erro</t>
  </si>
  <si>
    <t>Os nomes das fase podem ser alterados (Linha em branco abaixo de =&gt; Porcentagens) conforme o contrato da fábrica com a SFP, assim como a quantidade, de acordo com o limite de colunas.</t>
  </si>
  <si>
    <t>Cada PBI será copiado automaticamente para a aba Faturamento, para cada fase poderá ser escolhido se será ou não faturada de acordo com a fase que foi efetuada</t>
  </si>
  <si>
    <t>O Sumário calcula o total por fase (ciclo).</t>
  </si>
  <si>
    <t>As fases podem ser preenchidas automaticamente pelos valores da  tabela "Preenchimento Automático dos itens do Faturamento", após preencher os valores, pressione o botão auto preenchimento.</t>
  </si>
  <si>
    <t>Os dados podem ser copiados utilizando os botões de copia tanto da tabela de faturamento como do Sumário do Faturamento por Fase. Utilize a opção de copia especial valores pra transferir só os valores num outra planilha.</t>
  </si>
  <si>
    <t>SISP_Deflatores_e_INMs</t>
  </si>
  <si>
    <t>Itens em amarelo são os itens INM (Itens não Mensuráveis) que seguem regra de calculo de forma diferente no SISP.</t>
  </si>
  <si>
    <t>Itens em laranja são itens de contrato que não estão no SISP ou que estão no SISP mas seguem calculo diferente do SISP.</t>
  </si>
  <si>
    <t>Solução de Problemas e Erros Comuns</t>
  </si>
  <si>
    <t>Problema: Mensagem "Este arquivo veio de outro computador e pode estar bloqueado para ajudar a proteger este computador."  sintoma,  não deixa abrir a Calculadora.</t>
  </si>
  <si>
    <t>Solução:  Abra o Explorer e acesse a pasta onde você salvou o arquivo -&gt; Clique com o botão direito do mouse no arquivo e escolha Propriedade no menu de contexto -&gt; Na parte inferior da guia Geral, marque a caixa de seleção Desbloquear e selecione OK.</t>
  </si>
  <si>
    <t xml:space="preserve">  Histórico das alterações da Calculadora</t>
  </si>
  <si>
    <t>Versão</t>
  </si>
  <si>
    <t>1.0a</t>
  </si>
  <si>
    <t>Versão de teste</t>
  </si>
  <si>
    <t>Busca a versão automaticamente na tabela de alterações</t>
  </si>
  <si>
    <t>1.0b</t>
  </si>
  <si>
    <t>Versão de teste, multiplicador para MI-4.7;AC4= "DMP-4.11"; AC4 = "Comp.Arq-4.15 e, amarelo aviso</t>
  </si>
  <si>
    <t>1.0</t>
  </si>
  <si>
    <t xml:space="preserve">Versão final </t>
  </si>
  <si>
    <t>1.1</t>
  </si>
  <si>
    <t>incluído 4.8 40% contrato Capgemini (a confirmar) para igualar os cálculos 4.8 40% (SISP é 50%), melhora na formatação da aba Contagem, cores informativas e atualização de Instruções</t>
  </si>
  <si>
    <t>2.0</t>
  </si>
  <si>
    <t>Criação da aba Faturamento por fase customizável para as fabricas, atualização da aba instruções</t>
  </si>
  <si>
    <t>2.1</t>
  </si>
  <si>
    <t>Correção ortográfica na Aba Faturamento</t>
  </si>
  <si>
    <t>2.2</t>
  </si>
  <si>
    <t>Substituição da palavra aferição para auditoria por pedido da SFP</t>
  </si>
  <si>
    <t>2.3</t>
  </si>
  <si>
    <t>Para não se perder os dados acidentalmente na contagem, o botão foi movido para a aba Resumo / Aba Faturamento criados dois botões para copia do faturamento e resumo do faturamento  e manter a segurança das fórmulas e foi criada um botão para preencher automaticamente se a fase vai ou não ser faturada.</t>
  </si>
  <si>
    <t>2.4</t>
  </si>
  <si>
    <t>Inclusão do item 4.11 do SISP com 25% de impacto conforme contrato com a SFP</t>
  </si>
  <si>
    <t>2.5</t>
  </si>
  <si>
    <t>Inclusão da verificação do Tipo entre a fábrica e a auditoria se estiver diferente o PBI ficará roxo</t>
  </si>
  <si>
    <t>2.6</t>
  </si>
  <si>
    <t>Inclusão do item Exc25-4.2 do SISP com 25% de impacto conforme contrato com a SFP</t>
  </si>
  <si>
    <t>2.7</t>
  </si>
  <si>
    <t>Aba Contagem: 'Inclusão das funcionalidades de para incluir e excluir linhas sem danificar as fórmulas na Aba de Contagem; Formatação Colunas PFB e PFL com duas casas decimais.</t>
  </si>
  <si>
    <t>2.8</t>
  </si>
  <si>
    <t>Alteração do nome da calculadora de PF na Aba Resumo de Planilha de contagem e auditoria de pontos de função para Calculadora de Contagem e Auditoria de PF SFP nome do arquivo também foi alterado.
Incluída a permissão para copiar as informações de todos os campos da aba Resumo. 
Alteração da Aba Contagem para poder copiar a coluna OK para o laudo de auditoria.
Alteração do nome SEFAZ para SFP</t>
  </si>
  <si>
    <t>2.9</t>
  </si>
  <si>
    <t>Correção das funções de inclusão e exclusão, estavam excluindo linhas em branco de forma inválida.
Foi incluída uma funcionalidade para não mais aceitar que sejam copiados códigos inválidos nas colunas TIPO e  IFPUG SISP para a Contagem detalhada e para Auditoria contagem detalhada da aba Contagem</t>
  </si>
  <si>
    <t>2.10</t>
  </si>
  <si>
    <t xml:space="preserve">Alteração cosmética Colunas PFB e PFL, ao invés de mostrar o quando não há cálculo, irá ficar em branco.
Correção informação "N/A", ( não aplicável) no campo "Complex" (complexidade), para ficar em branco e não "Média".
Inclusão do item “Solução de Problemas e Erros Comuns” na aba “Instruções”
Inclusão do tipo “M” (Macroprocesso) para execução de estimativas. Contagem Estimada (NESMA): O tipo “M” representa um CRUD e 1 AL. Contagem Simplificada: O tipo “M” corresponde a uma transação de cada tipo (EE, SE, CE, ALI e AIE) ou seja 4 processos e 1 Arquivo Lógico. </t>
  </si>
  <si>
    <t>2.11</t>
  </si>
  <si>
    <t>Correção erro na pasta Faturamento, nas células B944 e C944, erro na fórmula</t>
  </si>
  <si>
    <t>2.12</t>
  </si>
  <si>
    <t>Correção emergencial as contagens simplificadas não estavam gerando os dados para o faturamento.</t>
  </si>
  <si>
    <t>2.13</t>
  </si>
  <si>
    <t>Correção:
- Ajuste no destaque das colunas quando o tipo INM é selecionado; agora fábrica e auditor aplicam destaque de forma independente.
Melhorias: 
- Validação dos códigos permitidos quando o tipo é INM, aceitando apenas MI‑4.7, DMP‑4.11 e Comp.Arq‑4.15.
- Quando o tipo não é INM todos os códigos são permitidos exceto os códigos INM.
- Implanação de filtro: Todas as colunas da aba Contagem agora podem ser filtradas.
- A  aba Quadro de Resumo foi retirada.</t>
  </si>
  <si>
    <t>Codigos SISP</t>
  </si>
  <si>
    <t>Tabela_Pontuação</t>
  </si>
  <si>
    <t>Tabela_Tipo</t>
  </si>
  <si>
    <t>Estimada</t>
  </si>
  <si>
    <t>Detalhada</t>
  </si>
  <si>
    <t>Simplificada</t>
  </si>
  <si>
    <t>Tabela_INM</t>
  </si>
  <si>
    <t>Tabela_Sem_INM</t>
  </si>
  <si>
    <t>Nome Função Nivel e TIPO</t>
  </si>
  <si>
    <t xml:space="preserve">Pontuação </t>
  </si>
  <si>
    <t>Peso</t>
  </si>
  <si>
    <t>Nome da Função</t>
  </si>
  <si>
    <t>Código</t>
  </si>
  <si>
    <t>ALILD</t>
  </si>
  <si>
    <t>ALI</t>
  </si>
  <si>
    <t>P</t>
  </si>
  <si>
    <t>ALIAD</t>
  </si>
  <si>
    <t>Media</t>
  </si>
  <si>
    <t>AIE</t>
  </si>
  <si>
    <t>A</t>
  </si>
  <si>
    <t>ALIHD</t>
  </si>
  <si>
    <t>EE</t>
  </si>
  <si>
    <t>AIELD</t>
  </si>
  <si>
    <t>CE</t>
  </si>
  <si>
    <t>AIEAD</t>
  </si>
  <si>
    <t>SE</t>
  </si>
  <si>
    <t>AIEHD</t>
  </si>
  <si>
    <t>EELD</t>
  </si>
  <si>
    <t>EEAD</t>
  </si>
  <si>
    <t>M</t>
  </si>
  <si>
    <t>EEHD</t>
  </si>
  <si>
    <t>retirei o Macro processo da Detalhada duplicando o N/A, so mustra um no combobox</t>
  </si>
  <si>
    <t>CELD</t>
  </si>
  <si>
    <t>CEAD</t>
  </si>
  <si>
    <t>CEHD</t>
  </si>
  <si>
    <t>SELD</t>
  </si>
  <si>
    <t>SEAD</t>
  </si>
  <si>
    <t>SEHD</t>
  </si>
  <si>
    <t>obs a Detalhada não tem Macroprocesso</t>
  </si>
  <si>
    <t>ALILE</t>
  </si>
  <si>
    <t>Baixo</t>
  </si>
  <si>
    <t>AIELE</t>
  </si>
  <si>
    <t>EEAE</t>
  </si>
  <si>
    <t>Medio</t>
  </si>
  <si>
    <t>CEAE</t>
  </si>
  <si>
    <t>SEAE</t>
  </si>
  <si>
    <t>MAE</t>
  </si>
  <si>
    <t>Macro Processo</t>
  </si>
  <si>
    <t xml:space="preserve">Macro Processo lógica Grud mais EE, EE, CE, SE e 1 ALI </t>
  </si>
  <si>
    <t>Processo Elementar</t>
  </si>
  <si>
    <t>Arquivo Logico</t>
  </si>
  <si>
    <t>Macro Processo lógica Grud mais 1 AL</t>
  </si>
  <si>
    <t>Total Itens Não Mensuráveis(PF):</t>
  </si>
  <si>
    <t>Item Não Mensurável</t>
  </si>
  <si>
    <t xml:space="preserve">Qtde </t>
  </si>
  <si>
    <t>Item Guia APF</t>
  </si>
  <si>
    <t>Justificativa / Evidência</t>
  </si>
  <si>
    <t>Total de APF</t>
  </si>
  <si>
    <t>Revisor técnico</t>
  </si>
  <si>
    <t>Cristiane Lustosa Guimarães França</t>
  </si>
  <si>
    <t>Gestora do Contrato</t>
  </si>
  <si>
    <t>Contagem Detalhada</t>
  </si>
  <si>
    <t>alteração cosmética de:
Consultar Consentimentos
Para:
Consultar Consentimentos dos Usuários
A tela de inclusão carrega a informação alterada pelo requisito descrito acima</t>
  </si>
  <si>
    <t>Alteração cosmética de: Mudar a ordem, conforme critério de aceitação abaixo.
No Menu Consentimento
De "Consultar Meus Termos de Consentimento" para "Consultar Meus Consentimentos"</t>
  </si>
  <si>
    <t>Alteração cosmética para atender mudança de:
"Gerenciar Tratamento de Dados Pessoais" 
Para:
"Editar Dados Variáveis da Tabela"</t>
  </si>
  <si>
    <t>Termos de Consentimento</t>
  </si>
  <si>
    <t>Consultar Consentimentos dos Usuários</t>
  </si>
  <si>
    <t>Editar Dados Variáveis da Tabela</t>
  </si>
  <si>
    <t>Consultar Meus Consentimentos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</si>
</sst>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
    <numFmt numFmtId="165" formatCode="0.0"/>
  </numFmts>
  <fonts count="56" x14ac:knownFonts="1">
    <font>
      <sz val="11"/>
      <color theme="1"/>
      <name val="Calibri"/>
      <scheme val="minor"/>
    </font>
    <font>
      <sz val="11"/>
      <color theme="1"/>
      <name val="Calibri"/>
      <family val="2"/>
      <scheme val="minor"/>
    </font>
    <font>
      <sz val="11"/>
      <color theme="1"/>
      <name val="Calibri"/>
      <family val="2"/>
      <scheme val="minor"/>
    </font>
    <font>
      <sz val="11"/>
      <color theme="1"/>
      <name val="Arial"/>
      <family val="2"/>
    </font>
    <font>
      <sz val="8"/>
      <color theme="1"/>
      <name val="Arial"/>
      <family val="2"/>
    </font>
    <font>
      <b/>
      <sz val="14"/>
      <color theme="0"/>
      <name val="Arial"/>
      <family val="2"/>
    </font>
    <font>
      <sz val="11"/>
      <name val="Calibri"/>
      <family val="2"/>
    </font>
    <font>
      <b/>
      <sz val="9"/>
      <color theme="0"/>
      <name val="Arial"/>
      <family val="2"/>
    </font>
    <font>
      <b/>
      <sz val="12"/>
      <color rgb="FF003300"/>
      <name val="Arial"/>
      <family val="2"/>
    </font>
    <font>
      <b/>
      <sz val="11"/>
      <color theme="1"/>
      <name val="Arial"/>
      <family val="2"/>
    </font>
    <font>
      <b/>
      <sz val="9"/>
      <color theme="1"/>
      <name val="Arial"/>
      <family val="2"/>
    </font>
    <font>
      <b/>
      <sz val="10"/>
      <color theme="1"/>
      <name val="Arial"/>
      <family val="2"/>
    </font>
    <font>
      <sz val="10"/>
      <color theme="1"/>
      <name val="Arial"/>
      <family val="2"/>
    </font>
    <font>
      <sz val="9"/>
      <color theme="1"/>
      <name val="Libre Franklin"/>
    </font>
    <font>
      <sz val="9"/>
      <color rgb="FFDBE5F1"/>
      <name val="Libre Franklin"/>
    </font>
    <font>
      <sz val="11"/>
      <color theme="0"/>
      <name val="Arial"/>
      <family val="2"/>
    </font>
    <font>
      <u/>
      <sz val="11"/>
      <color theme="10"/>
      <name val="Calibri"/>
      <family val="2"/>
    </font>
    <font>
      <b/>
      <sz val="14"/>
      <color theme="1"/>
      <name val="Calibri"/>
      <family val="2"/>
    </font>
    <font>
      <sz val="11"/>
      <color theme="1"/>
      <name val="Calibri"/>
      <family val="2"/>
    </font>
    <font>
      <b/>
      <sz val="8"/>
      <color theme="1"/>
      <name val="Arial"/>
      <family val="2"/>
    </font>
    <font>
      <sz val="9"/>
      <color theme="1"/>
      <name val="Calibri"/>
      <family val="2"/>
    </font>
    <font>
      <sz val="14"/>
      <color theme="1"/>
      <name val="Arial"/>
      <family val="2"/>
    </font>
    <font>
      <sz val="9"/>
      <color theme="1"/>
      <name val="Arial"/>
      <family val="2"/>
    </font>
    <font>
      <sz val="10"/>
      <color theme="0"/>
      <name val="Libre Franklin"/>
    </font>
    <font>
      <sz val="10"/>
      <color theme="1"/>
      <name val="Libre Franklin"/>
    </font>
    <font>
      <sz val="8"/>
      <color rgb="FFFFFFFF"/>
      <name val="Arial"/>
      <family val="2"/>
    </font>
    <font>
      <sz val="8"/>
      <color theme="0"/>
      <name val="Libre Franklin"/>
    </font>
    <font>
      <sz val="8"/>
      <color theme="1"/>
      <name val="Libre Franklin"/>
    </font>
    <font>
      <b/>
      <sz val="11"/>
      <color theme="1"/>
      <name val="Calibri"/>
      <family val="2"/>
    </font>
    <font>
      <sz val="8"/>
      <color rgb="FF00B0F0"/>
      <name val="Arial"/>
      <family val="2"/>
    </font>
    <font>
      <sz val="8"/>
      <color rgb="FFFF0000"/>
      <name val="Arial"/>
      <family val="2"/>
    </font>
    <font>
      <sz val="11"/>
      <color theme="0"/>
      <name val="Calibri"/>
      <family val="2"/>
    </font>
    <font>
      <sz val="9"/>
      <color rgb="FF7F7F7F"/>
      <name val="Arial"/>
      <family val="2"/>
    </font>
    <font>
      <sz val="10"/>
      <color rgb="FF7F7F7F"/>
      <name val="Arial"/>
      <family val="2"/>
    </font>
    <font>
      <sz val="9"/>
      <color indexed="81"/>
      <name val="Segoe UI"/>
      <family val="2"/>
    </font>
    <font>
      <sz val="10"/>
      <name val="Arial"/>
      <family val="2"/>
    </font>
    <font>
      <b/>
      <sz val="10"/>
      <name val="Arial"/>
      <family val="2"/>
    </font>
    <font>
      <b/>
      <sz val="18"/>
      <color theme="1"/>
      <name val="Calibri"/>
      <family val="2"/>
      <scheme val="minor"/>
    </font>
    <font>
      <b/>
      <sz val="16"/>
      <color theme="2"/>
      <name val="Calibri"/>
      <family val="2"/>
    </font>
    <font>
      <sz val="11"/>
      <color theme="2"/>
      <name val="Calibri"/>
      <family val="2"/>
    </font>
    <font>
      <b/>
      <sz val="16"/>
      <color theme="0"/>
      <name val="Calibri"/>
      <family val="2"/>
    </font>
    <font>
      <b/>
      <sz val="12"/>
      <color theme="1"/>
      <name val="Calibri"/>
      <family val="2"/>
    </font>
    <font>
      <b/>
      <sz val="11"/>
      <color rgb="FFFF0000"/>
      <name val="Calibri"/>
      <family val="2"/>
      <scheme val="minor"/>
    </font>
    <font>
      <sz val="9"/>
      <color theme="1"/>
      <name val="Calibri"/>
      <family val="1"/>
    </font>
    <font>
      <sz val="10"/>
      <name val="Calibri"/>
      <family val="1"/>
      <scheme val="minor"/>
    </font>
    <font>
      <sz val="8"/>
      <name val="Calibri"/>
      <family val="2"/>
      <scheme val="minor"/>
    </font>
    <font>
      <b/>
      <sz val="9"/>
      <color theme="1"/>
      <name val="Calibri"/>
      <family val="1"/>
    </font>
    <font>
      <b/>
      <sz val="11"/>
      <color theme="1"/>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b/>
      <sz val="11"/>
      <name val="Calibri"/>
      <family val="2"/>
      <scheme val="minor"/>
    </font>
    <font>
      <b/>
      <i/>
      <sz val="8"/>
      <name val="Arial"/>
      <family val="2"/>
    </font>
    <font>
      <b/>
      <sz val="8"/>
      <name val="Arial"/>
      <family val="2"/>
    </font>
    <font>
      <b/>
      <i/>
      <sz val="8"/>
      <color theme="1"/>
      <name val="Calibri"/>
      <family val="2"/>
      <scheme val="minor"/>
    </font>
    <font>
      <sz val="10"/>
      <color rgb="FF000000"/>
      <name val="Calibri"/>
      <family val="2"/>
    </font>
  </fonts>
  <fills count="49">
    <fill>
      <patternFill patternType="none"/>
    </fill>
    <fill>
      <patternFill patternType="gray125"/>
    </fill>
    <fill>
      <patternFill patternType="solid">
        <fgColor rgb="FF366092"/>
        <bgColor rgb="FF366092"/>
      </patternFill>
    </fill>
    <fill>
      <patternFill patternType="solid">
        <fgColor rgb="FFE5B8B7"/>
        <bgColor rgb="FFE5B8B7"/>
      </patternFill>
    </fill>
    <fill>
      <patternFill patternType="solid">
        <fgColor rgb="FFC6D9F0"/>
        <bgColor rgb="FFC6D9F0"/>
      </patternFill>
    </fill>
    <fill>
      <patternFill patternType="solid">
        <fgColor rgb="FFDBE5F1"/>
        <bgColor rgb="FFDBE5F1"/>
      </patternFill>
    </fill>
    <fill>
      <patternFill patternType="solid">
        <fgColor rgb="FFFFFF00"/>
        <bgColor rgb="FFFFFF00"/>
      </patternFill>
    </fill>
    <fill>
      <patternFill patternType="solid">
        <fgColor theme="0"/>
        <bgColor theme="0"/>
      </patternFill>
    </fill>
    <fill>
      <patternFill patternType="solid">
        <fgColor rgb="FFEEECE1"/>
        <bgColor rgb="FFEEECE1"/>
      </patternFill>
    </fill>
    <fill>
      <patternFill patternType="solid">
        <fgColor theme="1"/>
        <bgColor theme="1"/>
      </patternFill>
    </fill>
    <fill>
      <patternFill patternType="solid">
        <fgColor rgb="FFB6DDE8"/>
        <bgColor rgb="FFB6DDE8"/>
      </patternFill>
    </fill>
    <fill>
      <patternFill patternType="solid">
        <fgColor rgb="FF808080"/>
        <bgColor rgb="FF808080"/>
      </patternFill>
    </fill>
    <fill>
      <patternFill patternType="solid">
        <fgColor rgb="FFF2F2F2"/>
        <bgColor rgb="FFF2F2F2"/>
      </patternFill>
    </fill>
    <fill>
      <patternFill patternType="solid">
        <fgColor rgb="FFC0C0C0"/>
        <bgColor rgb="FFC0C0C0"/>
      </patternFill>
    </fill>
    <fill>
      <patternFill patternType="solid">
        <fgColor rgb="FFBFBFBF"/>
        <bgColor rgb="FFBFBFBF"/>
      </patternFill>
    </fill>
    <fill>
      <patternFill patternType="solid">
        <fgColor rgb="FFFFFF99"/>
        <bgColor rgb="FFFFFF99"/>
      </patternFill>
    </fill>
    <fill>
      <patternFill patternType="solid">
        <fgColor rgb="FF92D050"/>
        <bgColor rgb="FF92D050"/>
      </patternFill>
    </fill>
    <fill>
      <patternFill patternType="solid">
        <fgColor rgb="FFFDE9D9"/>
        <bgColor rgb="FFFDE9D9"/>
      </patternFill>
    </fill>
    <fill>
      <patternFill patternType="solid">
        <fgColor rgb="FFFFC000"/>
        <bgColor indexed="64"/>
      </patternFill>
    </fill>
    <fill>
      <patternFill patternType="solid">
        <fgColor rgb="FFFFFF00"/>
        <bgColor rgb="FFEEECE1"/>
      </patternFill>
    </fill>
    <fill>
      <patternFill patternType="solid">
        <fgColor rgb="FFFFFF00"/>
        <bgColor indexed="64"/>
      </patternFill>
    </fill>
    <fill>
      <patternFill patternType="solid">
        <fgColor rgb="FFFFFF00"/>
        <bgColor rgb="FFE5B8B7"/>
      </patternFill>
    </fill>
    <fill>
      <patternFill patternType="solid">
        <fgColor rgb="FFFFFF00"/>
        <bgColor rgb="FFB6DDE8"/>
      </patternFill>
    </fill>
    <fill>
      <patternFill patternType="solid">
        <fgColor indexed="22"/>
        <bgColor indexed="64"/>
      </patternFill>
    </fill>
    <fill>
      <patternFill patternType="solid">
        <fgColor theme="0" tint="-0.249977111117893"/>
        <bgColor indexed="64"/>
      </patternFill>
    </fill>
    <fill>
      <patternFill patternType="solid">
        <fgColor theme="4" tint="-0.249977111117893"/>
        <bgColor rgb="FFEEECE1"/>
      </patternFill>
    </fill>
    <fill>
      <patternFill patternType="solid">
        <fgColor theme="4" tint="-0.249977111117893"/>
        <bgColor indexed="64"/>
      </patternFill>
    </fill>
    <fill>
      <patternFill patternType="solid">
        <fgColor theme="4" tint="0.79998168889431442"/>
        <bgColor rgb="FFEEECE1"/>
      </patternFill>
    </fill>
    <fill>
      <patternFill patternType="solid">
        <fgColor theme="4" tint="0.79998168889431442"/>
        <bgColor rgb="FFE5B8B7"/>
      </patternFill>
    </fill>
    <fill>
      <patternFill patternType="solid">
        <fgColor theme="0"/>
        <bgColor indexed="64"/>
      </patternFill>
    </fill>
    <fill>
      <patternFill patternType="solid">
        <fgColor theme="4" tint="-0.499984740745262"/>
        <bgColor rgb="FFB6DDE8"/>
      </patternFill>
    </fill>
    <fill>
      <patternFill patternType="solid">
        <fgColor theme="4" tint="-0.499984740745262"/>
        <bgColor indexed="64"/>
      </patternFill>
    </fill>
    <fill>
      <patternFill patternType="solid">
        <fgColor theme="4" tint="-0.249977111117893"/>
        <bgColor rgb="FFB6DDE8"/>
      </patternFill>
    </fill>
    <fill>
      <patternFill patternType="solid">
        <fgColor rgb="FF92D050"/>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rgb="FF92D050"/>
        <bgColor rgb="FFEEECE1"/>
      </patternFill>
    </fill>
    <fill>
      <patternFill patternType="solid">
        <fgColor rgb="FFFFFF00"/>
        <bgColor theme="0"/>
      </patternFill>
    </fill>
    <fill>
      <patternFill patternType="solid">
        <fgColor rgb="FF92D050"/>
        <bgColor rgb="FFB6DDE8"/>
      </patternFill>
    </fill>
    <fill>
      <patternFill patternType="solid">
        <fgColor theme="0" tint="-0.249977111117893"/>
        <bgColor rgb="FFBFBFBF"/>
      </patternFill>
    </fill>
    <fill>
      <patternFill patternType="solid">
        <fgColor rgb="FFFFFF99"/>
        <bgColor indexed="64"/>
      </patternFill>
    </fill>
    <fill>
      <patternFill patternType="solid">
        <fgColor rgb="FFB6D7A8"/>
        <bgColor rgb="FFB6D7A8"/>
      </patternFill>
    </fill>
    <fill>
      <patternFill patternType="solid">
        <fgColor rgb="FFFFC000"/>
        <bgColor theme="0"/>
      </patternFill>
    </fill>
    <fill>
      <patternFill patternType="solid">
        <fgColor theme="4" tint="0.79998168889431442"/>
        <bgColor indexed="64"/>
      </patternFill>
    </fill>
    <fill>
      <patternFill patternType="solid">
        <fgColor theme="4" tint="0.59999389629810485"/>
        <bgColor rgb="FFEEECE1"/>
      </patternFill>
    </fill>
    <fill>
      <patternFill patternType="solid">
        <fgColor theme="4" tint="0.59999389629810485"/>
        <bgColor rgb="FFB6DDE8"/>
      </patternFill>
    </fill>
    <fill>
      <patternFill patternType="solid">
        <fgColor theme="4" tint="0.79998168889431442"/>
        <bgColor rgb="FFB6DDE8"/>
      </patternFill>
    </fill>
    <fill>
      <patternFill patternType="solid">
        <fgColor theme="4" tint="0.59999389629810485"/>
        <bgColor indexed="64"/>
      </patternFill>
    </fill>
    <fill>
      <patternFill patternType="solid">
        <fgColor theme="2"/>
        <bgColor indexed="64"/>
      </patternFill>
    </fill>
  </fills>
  <borders count="110">
    <border>
      <left/>
      <right/>
      <top/>
      <bottom/>
      <diagonal/>
    </border>
    <border>
      <left/>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right style="hair">
        <color rgb="FF000000"/>
      </right>
      <top/>
      <bottom style="hair">
        <color rgb="FF000000"/>
      </bottom>
      <diagonal/>
    </border>
    <border>
      <left style="hair">
        <color rgb="FF000000"/>
      </left>
      <right style="hair">
        <color rgb="FF000000"/>
      </right>
      <top/>
      <bottom style="hair">
        <color rgb="FF000000"/>
      </bottom>
      <diagonal/>
    </border>
    <border>
      <left style="hair">
        <color rgb="FF000000"/>
      </left>
      <right/>
      <top/>
      <bottom style="hair">
        <color rgb="FF000000"/>
      </bottom>
      <diagonal/>
    </border>
    <border>
      <left/>
      <right/>
      <top style="hair">
        <color rgb="FF000000"/>
      </top>
      <bottom/>
      <diagonal/>
    </border>
    <border>
      <left style="hair">
        <color rgb="FF000000"/>
      </left>
      <right/>
      <top/>
      <bottom/>
      <diagonal/>
    </border>
    <border>
      <left/>
      <right/>
      <top/>
      <bottom style="hair">
        <color rgb="FF000000"/>
      </bottom>
      <diagonal/>
    </border>
    <border>
      <left style="hair">
        <color rgb="FF000000"/>
      </left>
      <right/>
      <top style="hair">
        <color rgb="FF000000"/>
      </top>
      <bottom/>
      <diagonal/>
    </border>
    <border>
      <left style="hair">
        <color rgb="FF000000"/>
      </left>
      <right/>
      <top style="hair">
        <color rgb="FF000000"/>
      </top>
      <bottom style="hair">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diagonal/>
    </border>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style="thin">
        <color rgb="FF000000"/>
      </right>
      <top/>
      <bottom/>
      <diagonal/>
    </border>
    <border>
      <left style="thin">
        <color rgb="FF000000"/>
      </left>
      <right/>
      <top/>
      <bottom/>
      <diagonal/>
    </border>
    <border>
      <left style="thick">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rgb="FF000000"/>
      </top>
      <bottom style="thin">
        <color rgb="FF000000"/>
      </bottom>
      <diagonal/>
    </border>
    <border>
      <left/>
      <right style="thick">
        <color rgb="FF000000"/>
      </right>
      <top style="medium">
        <color rgb="FF000000"/>
      </top>
      <bottom style="thin">
        <color rgb="FF000000"/>
      </bottom>
      <diagonal/>
    </border>
    <border>
      <left style="thin">
        <color rgb="FF000000"/>
      </left>
      <right/>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ck">
        <color rgb="FF000000"/>
      </right>
      <top style="thin">
        <color rgb="FF000000"/>
      </top>
      <bottom style="thin">
        <color rgb="FF000000"/>
      </bottom>
      <diagonal/>
    </border>
    <border>
      <left style="thick">
        <color rgb="FF000000"/>
      </left>
      <right style="thin">
        <color rgb="FF000000"/>
      </right>
      <top style="thin">
        <color rgb="FF000000"/>
      </top>
      <bottom style="thick">
        <color rgb="FF000000"/>
      </bottom>
      <diagonal/>
    </border>
    <border>
      <left style="thin">
        <color rgb="FF000000"/>
      </left>
      <right style="medium">
        <color rgb="FF000000"/>
      </right>
      <top style="thin">
        <color rgb="FF000000"/>
      </top>
      <bottom style="thick">
        <color rgb="FF000000"/>
      </bottom>
      <diagonal/>
    </border>
    <border>
      <left style="medium">
        <color rgb="FF000000"/>
      </left>
      <right style="thin">
        <color rgb="FF000000"/>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right style="thin">
        <color rgb="FF000000"/>
      </right>
      <top style="thin">
        <color rgb="FF000000"/>
      </top>
      <bottom style="thick">
        <color rgb="FF000000"/>
      </bottom>
      <diagonal/>
    </border>
    <border>
      <left/>
      <right/>
      <top style="thin">
        <color rgb="FF000000"/>
      </top>
      <bottom style="thick">
        <color rgb="FF000000"/>
      </bottom>
      <diagonal/>
    </border>
    <border>
      <left/>
      <right/>
      <top style="medium">
        <color rgb="FF000000"/>
      </top>
      <bottom style="thin">
        <color rgb="FF000000"/>
      </bottom>
      <diagonal/>
    </border>
    <border>
      <left style="thin">
        <color rgb="FF000000"/>
      </left>
      <right/>
      <top style="thin">
        <color rgb="FF000000"/>
      </top>
      <bottom style="thick">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style="hair">
        <color rgb="FF000000"/>
      </bottom>
      <diagonal/>
    </border>
    <border>
      <left/>
      <right/>
      <top style="medium">
        <color indexed="64"/>
      </top>
      <bottom style="hair">
        <color rgb="FF000000"/>
      </bottom>
      <diagonal/>
    </border>
    <border>
      <left/>
      <right style="medium">
        <color indexed="64"/>
      </right>
      <top style="medium">
        <color indexed="64"/>
      </top>
      <bottom style="hair">
        <color rgb="FF000000"/>
      </bottom>
      <diagonal/>
    </border>
    <border>
      <left style="medium">
        <color indexed="64"/>
      </left>
      <right style="hair">
        <color rgb="FF000000"/>
      </right>
      <top style="hair">
        <color rgb="FF000000"/>
      </top>
      <bottom style="hair">
        <color rgb="FF000000"/>
      </bottom>
      <diagonal/>
    </border>
    <border>
      <left style="hair">
        <color rgb="FF000000"/>
      </left>
      <right style="medium">
        <color indexed="64"/>
      </right>
      <top style="hair">
        <color rgb="FF000000"/>
      </top>
      <bottom style="hair">
        <color rgb="FF000000"/>
      </bottom>
      <diagonal/>
    </border>
    <border>
      <left style="medium">
        <color indexed="64"/>
      </left>
      <right/>
      <top style="hair">
        <color rgb="FF000000"/>
      </top>
      <bottom style="hair">
        <color rgb="FF000000"/>
      </bottom>
      <diagonal/>
    </border>
    <border>
      <left/>
      <right style="medium">
        <color indexed="64"/>
      </right>
      <top style="hair">
        <color rgb="FF000000"/>
      </top>
      <bottom style="hair">
        <color rgb="FF000000"/>
      </bottom>
      <diagonal/>
    </border>
    <border>
      <left style="medium">
        <color indexed="64"/>
      </left>
      <right/>
      <top/>
      <bottom/>
      <diagonal/>
    </border>
    <border>
      <left/>
      <right style="medium">
        <color indexed="64"/>
      </right>
      <top/>
      <bottom/>
      <diagonal/>
    </border>
    <border>
      <left style="medium">
        <color indexed="64"/>
      </left>
      <right/>
      <top/>
      <bottom style="hair">
        <color rgb="FF000000"/>
      </bottom>
      <diagonal/>
    </border>
    <border>
      <left/>
      <right style="medium">
        <color indexed="64"/>
      </right>
      <top/>
      <bottom style="hair">
        <color rgb="FF000000"/>
      </bottom>
      <diagonal/>
    </border>
    <border>
      <left style="hair">
        <color rgb="FF000000"/>
      </left>
      <right style="medium">
        <color indexed="64"/>
      </right>
      <top/>
      <bottom style="hair">
        <color rgb="FF000000"/>
      </bottom>
      <diagonal/>
    </border>
    <border>
      <left style="medium">
        <color indexed="64"/>
      </left>
      <right/>
      <top style="hair">
        <color rgb="FF000000"/>
      </top>
      <bottom/>
      <diagonal/>
    </border>
    <border>
      <left/>
      <right style="medium">
        <color indexed="64"/>
      </right>
      <top style="hair">
        <color rgb="FF000000"/>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medium">
        <color indexed="64"/>
      </top>
      <bottom style="medium">
        <color indexed="64"/>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style="thin">
        <color auto="1"/>
      </right>
      <top/>
      <bottom style="thin">
        <color auto="1"/>
      </bottom>
      <diagonal/>
    </border>
    <border>
      <left style="hair">
        <color rgb="FF000000"/>
      </left>
      <right style="hair">
        <color rgb="FF000000"/>
      </right>
      <top style="medium">
        <color indexed="64"/>
      </top>
      <bottom/>
      <diagonal/>
    </border>
    <border>
      <left/>
      <right style="medium">
        <color indexed="64"/>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hair">
        <color rgb="FF000000"/>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medium">
        <color indexed="64"/>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hair">
        <color rgb="FF000000"/>
      </left>
      <right/>
      <top style="medium">
        <color indexed="64"/>
      </top>
      <bottom style="thin">
        <color auto="1"/>
      </bottom>
      <diagonal/>
    </border>
    <border>
      <left/>
      <right/>
      <top style="medium">
        <color indexed="64"/>
      </top>
      <bottom style="thin">
        <color auto="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s>
  <cellStyleXfs count="6">
    <xf numFmtId="0" fontId="0" fillId="0" borderId="0"/>
    <xf numFmtId="0" fontId="35" fillId="0" borderId="15"/>
    <xf numFmtId="0" fontId="35" fillId="0" borderId="15">
      <alignment vertical="distributed"/>
    </xf>
    <xf numFmtId="0" fontId="2" fillId="0" borderId="15"/>
    <xf numFmtId="0" fontId="1" fillId="0" borderId="15"/>
    <xf numFmtId="0" fontId="1" fillId="0" borderId="15"/>
  </cellStyleXfs>
  <cellXfs count="394">
    <xf numFmtId="0" fontId="0" fillId="0" borderId="0" xfId="0"/>
    <xf numFmtId="0" fontId="3" fillId="0" borderId="0" xfId="0" applyFont="1"/>
    <xf numFmtId="0" fontId="4" fillId="0" borderId="0" xfId="0" applyFont="1" applyAlignment="1">
      <alignment horizontal="right"/>
    </xf>
    <xf numFmtId="0" fontId="7" fillId="2" borderId="3" xfId="0" applyFont="1" applyFill="1" applyBorder="1" applyAlignment="1">
      <alignment horizontal="left" vertical="center"/>
    </xf>
    <xf numFmtId="0" fontId="7" fillId="2" borderId="3" xfId="0" applyFont="1" applyFill="1" applyBorder="1" applyAlignment="1">
      <alignment horizontal="center" vertical="center"/>
    </xf>
    <xf numFmtId="9" fontId="7" fillId="2" borderId="3" xfId="0" applyNumberFormat="1" applyFont="1" applyFill="1" applyBorder="1" applyAlignment="1">
      <alignment horizontal="left" vertical="center"/>
    </xf>
    <xf numFmtId="9" fontId="7" fillId="2" borderId="3" xfId="0" applyNumberFormat="1" applyFont="1" applyFill="1" applyBorder="1" applyAlignment="1">
      <alignment horizontal="center" vertical="center"/>
    </xf>
    <xf numFmtId="164" fontId="9" fillId="6" borderId="3" xfId="0" applyNumberFormat="1" applyFont="1" applyFill="1" applyBorder="1" applyAlignment="1">
      <alignment horizontal="center"/>
    </xf>
    <xf numFmtId="0" fontId="12" fillId="0" borderId="0" xfId="0" applyFont="1"/>
    <xf numFmtId="10" fontId="9" fillId="6" borderId="5" xfId="0" applyNumberFormat="1" applyFont="1" applyFill="1" applyBorder="1" applyAlignment="1">
      <alignment horizontal="center"/>
    </xf>
    <xf numFmtId="0" fontId="11" fillId="6" borderId="3" xfId="0" applyFont="1" applyFill="1" applyBorder="1" applyAlignment="1">
      <alignment horizontal="center" vertical="center"/>
    </xf>
    <xf numFmtId="0" fontId="13" fillId="5" borderId="5" xfId="0" applyFont="1" applyFill="1" applyBorder="1" applyAlignment="1">
      <alignment vertical="center" wrapText="1"/>
    </xf>
    <xf numFmtId="0" fontId="13" fillId="5" borderId="3" xfId="0" applyFont="1" applyFill="1" applyBorder="1" applyAlignment="1">
      <alignment vertical="center" wrapText="1"/>
    </xf>
    <xf numFmtId="0" fontId="13" fillId="4" borderId="3" xfId="0" applyFont="1" applyFill="1" applyBorder="1" applyAlignment="1">
      <alignment horizontal="center" vertical="center" wrapText="1"/>
    </xf>
    <xf numFmtId="0" fontId="13" fillId="5" borderId="3" xfId="0" applyFont="1" applyFill="1" applyBorder="1" applyAlignment="1">
      <alignment horizontal="left" vertical="center" wrapText="1"/>
    </xf>
    <xf numFmtId="0" fontId="22" fillId="0" borderId="0" xfId="0" applyFont="1" applyAlignment="1">
      <alignment horizontal="left" vertical="center"/>
    </xf>
    <xf numFmtId="0" fontId="11" fillId="4" borderId="12" xfId="0" applyFont="1" applyFill="1" applyBorder="1" applyAlignment="1">
      <alignment horizontal="center" vertical="center" wrapText="1"/>
    </xf>
    <xf numFmtId="0" fontId="11" fillId="4" borderId="12" xfId="0" applyFont="1" applyFill="1" applyBorder="1" applyAlignment="1">
      <alignment horizontal="center" wrapText="1"/>
    </xf>
    <xf numFmtId="1" fontId="11" fillId="4" borderId="12" xfId="0" applyNumberFormat="1" applyFont="1" applyFill="1" applyBorder="1" applyAlignment="1">
      <alignment horizontal="center" wrapText="1"/>
    </xf>
    <xf numFmtId="0" fontId="25" fillId="11" borderId="12" xfId="0" applyFont="1" applyFill="1" applyBorder="1"/>
    <xf numFmtId="0" fontId="11" fillId="4" borderId="12" xfId="0" applyFont="1" applyFill="1" applyBorder="1" applyAlignment="1">
      <alignment horizontal="center"/>
    </xf>
    <xf numFmtId="0" fontId="12" fillId="0" borderId="12" xfId="0" applyFont="1" applyBorder="1" applyAlignment="1">
      <alignment horizontal="center" vertical="center"/>
    </xf>
    <xf numFmtId="0" fontId="12" fillId="4" borderId="12" xfId="0" applyFont="1" applyFill="1" applyBorder="1" applyAlignment="1">
      <alignment wrapText="1"/>
    </xf>
    <xf numFmtId="2" fontId="12" fillId="4" borderId="12" xfId="0" applyNumberFormat="1" applyFont="1" applyFill="1" applyBorder="1" applyAlignment="1">
      <alignment horizontal="center" wrapText="1"/>
    </xf>
    <xf numFmtId="1" fontId="12" fillId="7" borderId="12" xfId="0" applyNumberFormat="1" applyFont="1" applyFill="1" applyBorder="1" applyAlignment="1">
      <alignment horizontal="center" wrapText="1"/>
    </xf>
    <xf numFmtId="0" fontId="12" fillId="4" borderId="12" xfId="0" applyFont="1" applyFill="1" applyBorder="1" applyAlignment="1">
      <alignment horizontal="center"/>
    </xf>
    <xf numFmtId="0" fontId="4" fillId="0" borderId="12" xfId="0" applyFont="1" applyBorder="1" applyAlignment="1">
      <alignment horizontal="center" vertical="center"/>
    </xf>
    <xf numFmtId="0" fontId="4" fillId="0" borderId="12" xfId="0" applyFont="1" applyBorder="1" applyAlignment="1">
      <alignment horizontal="left" vertical="center"/>
    </xf>
    <xf numFmtId="0" fontId="20" fillId="12" borderId="12" xfId="0" applyFont="1" applyFill="1" applyBorder="1"/>
    <xf numFmtId="0" fontId="28" fillId="0" borderId="0" xfId="0" applyFont="1" applyAlignment="1">
      <alignment horizontal="right"/>
    </xf>
    <xf numFmtId="2" fontId="12" fillId="7" borderId="12" xfId="0" applyNumberFormat="1" applyFont="1" applyFill="1" applyBorder="1" applyAlignment="1">
      <alignment horizontal="center" wrapText="1"/>
    </xf>
    <xf numFmtId="0" fontId="27" fillId="7" borderId="13" xfId="0" applyFont="1" applyFill="1" applyBorder="1" applyAlignment="1">
      <alignment wrapText="1"/>
    </xf>
    <xf numFmtId="0" fontId="27" fillId="7" borderId="13" xfId="0" applyFont="1" applyFill="1" applyBorder="1" applyAlignment="1">
      <alignment horizontal="center" wrapText="1"/>
    </xf>
    <xf numFmtId="0" fontId="24" fillId="7" borderId="14" xfId="0" applyFont="1" applyFill="1" applyBorder="1" applyAlignment="1">
      <alignment horizontal="center" wrapText="1"/>
    </xf>
    <xf numFmtId="0" fontId="19" fillId="13" borderId="31" xfId="0" applyFont="1" applyFill="1" applyBorder="1" applyAlignment="1">
      <alignment horizontal="center"/>
    </xf>
    <xf numFmtId="0" fontId="19" fillId="13" borderId="32" xfId="0" applyFont="1" applyFill="1" applyBorder="1" applyAlignment="1">
      <alignment horizontal="center"/>
    </xf>
    <xf numFmtId="0" fontId="19" fillId="13" borderId="33" xfId="0" applyFont="1" applyFill="1" applyBorder="1" applyAlignment="1">
      <alignment horizontal="center"/>
    </xf>
    <xf numFmtId="0" fontId="19" fillId="13" borderId="34" xfId="0" applyFont="1" applyFill="1" applyBorder="1" applyAlignment="1">
      <alignment horizontal="center"/>
    </xf>
    <xf numFmtId="0" fontId="4" fillId="13" borderId="12" xfId="0" applyFont="1" applyFill="1" applyBorder="1" applyAlignment="1">
      <alignment vertical="top"/>
    </xf>
    <xf numFmtId="0" fontId="4" fillId="15" borderId="31" xfId="0" applyFont="1" applyFill="1" applyBorder="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29" fillId="15" borderId="31" xfId="0" applyFont="1" applyFill="1" applyBorder="1" applyAlignment="1">
      <alignment horizontal="center" vertical="center"/>
    </xf>
    <xf numFmtId="0" fontId="29" fillId="15" borderId="32" xfId="0" applyFont="1" applyFill="1" applyBorder="1" applyAlignment="1">
      <alignment horizontal="center" vertical="center"/>
    </xf>
    <xf numFmtId="0" fontId="30" fillId="15" borderId="33" xfId="0" applyFont="1" applyFill="1" applyBorder="1" applyAlignment="1">
      <alignment horizontal="center" vertical="center"/>
    </xf>
    <xf numFmtId="0" fontId="30" fillId="15" borderId="34" xfId="0" applyFont="1" applyFill="1" applyBorder="1" applyAlignment="1">
      <alignment horizontal="center" vertical="center"/>
    </xf>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15" borderId="37" xfId="0" applyFont="1" applyFill="1" applyBorder="1" applyAlignment="1">
      <alignment horizontal="center" vertical="center"/>
    </xf>
    <xf numFmtId="0" fontId="4" fillId="15" borderId="38" xfId="0" applyFont="1" applyFill="1" applyBorder="1" applyAlignment="1">
      <alignment horizontal="center" vertical="center"/>
    </xf>
    <xf numFmtId="0" fontId="29" fillId="15" borderId="35" xfId="0" applyFont="1" applyFill="1" applyBorder="1" applyAlignment="1">
      <alignment horizontal="center" vertical="center"/>
    </xf>
    <xf numFmtId="0" fontId="29" fillId="15" borderId="36" xfId="0" applyFont="1" applyFill="1" applyBorder="1" applyAlignment="1">
      <alignment horizontal="center" vertical="center"/>
    </xf>
    <xf numFmtId="0" fontId="30" fillId="15" borderId="39" xfId="0" applyFont="1" applyFill="1" applyBorder="1" applyAlignment="1">
      <alignment horizontal="center" vertical="center"/>
    </xf>
    <xf numFmtId="0" fontId="30" fillId="15" borderId="40" xfId="0" applyFont="1" applyFill="1" applyBorder="1" applyAlignment="1">
      <alignment horizontal="center" vertical="center"/>
    </xf>
    <xf numFmtId="0" fontId="30" fillId="15" borderId="37" xfId="0" applyFont="1" applyFill="1" applyBorder="1" applyAlignment="1">
      <alignment horizontal="center" vertical="center"/>
    </xf>
    <xf numFmtId="0" fontId="30" fillId="15" borderId="38" xfId="0" applyFont="1" applyFill="1" applyBorder="1" applyAlignment="1">
      <alignment horizontal="center" vertical="center"/>
    </xf>
    <xf numFmtId="0" fontId="19" fillId="13" borderId="12" xfId="0" applyFont="1" applyFill="1" applyBorder="1" applyAlignment="1">
      <alignment vertical="top"/>
    </xf>
    <xf numFmtId="0" fontId="19" fillId="13" borderId="12" xfId="0" applyFont="1" applyFill="1" applyBorder="1" applyAlignment="1">
      <alignment horizontal="center" vertical="top" wrapText="1"/>
    </xf>
    <xf numFmtId="0" fontId="4" fillId="0" borderId="0" xfId="0" applyFont="1" applyAlignment="1">
      <alignment horizontal="center" vertical="center"/>
    </xf>
    <xf numFmtId="0" fontId="19" fillId="0" borderId="0" xfId="0" applyFont="1" applyAlignment="1">
      <alignment vertical="top"/>
    </xf>
    <xf numFmtId="0" fontId="19" fillId="0" borderId="0" xfId="0" applyFont="1" applyAlignment="1">
      <alignment horizontal="center" vertical="top" wrapText="1"/>
    </xf>
    <xf numFmtId="0" fontId="19" fillId="15" borderId="33" xfId="0" applyFont="1" applyFill="1" applyBorder="1" applyAlignment="1">
      <alignment horizontal="center" vertical="center"/>
    </xf>
    <xf numFmtId="0" fontId="19" fillId="15" borderId="32" xfId="0" applyFont="1" applyFill="1" applyBorder="1" applyAlignment="1">
      <alignment horizontal="center" vertical="center"/>
    </xf>
    <xf numFmtId="0" fontId="19" fillId="15" borderId="37" xfId="0" applyFont="1" applyFill="1" applyBorder="1" applyAlignment="1">
      <alignment horizontal="center" vertical="center"/>
    </xf>
    <xf numFmtId="0" fontId="19" fillId="15" borderId="36" xfId="0" applyFont="1" applyFill="1" applyBorder="1" applyAlignment="1">
      <alignment horizontal="center" vertical="center"/>
    </xf>
    <xf numFmtId="0" fontId="4" fillId="15" borderId="39" xfId="0" applyFont="1" applyFill="1" applyBorder="1" applyAlignment="1">
      <alignment horizontal="center" vertical="center"/>
    </xf>
    <xf numFmtId="0" fontId="4" fillId="15" borderId="42" xfId="0" applyFont="1" applyFill="1" applyBorder="1" applyAlignment="1">
      <alignment horizontal="center" vertical="center"/>
    </xf>
    <xf numFmtId="0" fontId="19" fillId="13" borderId="12" xfId="0" applyFont="1" applyFill="1" applyBorder="1" applyAlignment="1">
      <alignment horizontal="center" vertical="center" wrapText="1"/>
    </xf>
    <xf numFmtId="0" fontId="19" fillId="13" borderId="12" xfId="0" applyFont="1" applyFill="1" applyBorder="1" applyAlignment="1">
      <alignment horizontal="left" vertical="top"/>
    </xf>
    <xf numFmtId="0" fontId="19" fillId="13" borderId="12" xfId="0" applyFont="1" applyFill="1" applyBorder="1" applyAlignment="1">
      <alignment horizontal="left" vertical="center"/>
    </xf>
    <xf numFmtId="0" fontId="4" fillId="15" borderId="12" xfId="0" applyFont="1" applyFill="1" applyBorder="1" applyAlignment="1">
      <alignment horizontal="center" vertical="center"/>
    </xf>
    <xf numFmtId="0" fontId="19" fillId="13" borderId="12" xfId="0" applyFont="1" applyFill="1" applyBorder="1"/>
    <xf numFmtId="0" fontId="19" fillId="13" borderId="12" xfId="0" applyFont="1" applyFill="1" applyBorder="1" applyAlignment="1">
      <alignment horizontal="center"/>
    </xf>
    <xf numFmtId="0" fontId="4" fillId="13" borderId="12" xfId="0" applyFont="1" applyFill="1" applyBorder="1"/>
    <xf numFmtId="164" fontId="4" fillId="15" borderId="12" xfId="0" applyNumberFormat="1" applyFont="1" applyFill="1" applyBorder="1" applyAlignment="1">
      <alignment horizontal="center" vertical="center"/>
    </xf>
    <xf numFmtId="0" fontId="11" fillId="16" borderId="12" xfId="0" applyFont="1" applyFill="1" applyBorder="1" applyAlignment="1">
      <alignment horizontal="center" vertical="center"/>
    </xf>
    <xf numFmtId="164" fontId="11" fillId="16" borderId="12" xfId="0" applyNumberFormat="1" applyFont="1" applyFill="1" applyBorder="1" applyAlignment="1">
      <alignment horizontal="center" vertical="center"/>
    </xf>
    <xf numFmtId="0" fontId="31" fillId="0" borderId="0" xfId="0" applyFont="1"/>
    <xf numFmtId="0" fontId="17" fillId="3" borderId="12" xfId="0" applyFont="1" applyFill="1" applyBorder="1" applyAlignment="1">
      <alignment horizontal="center" vertical="center"/>
    </xf>
    <xf numFmtId="2" fontId="32" fillId="7" borderId="46" xfId="0" applyNumberFormat="1" applyFont="1" applyFill="1" applyBorder="1" applyAlignment="1">
      <alignment horizontal="center" vertical="center" wrapText="1"/>
    </xf>
    <xf numFmtId="0" fontId="33" fillId="7" borderId="46" xfId="0" applyFont="1" applyFill="1" applyBorder="1" applyAlignment="1">
      <alignment horizontal="center" vertical="center" wrapText="1"/>
    </xf>
    <xf numFmtId="0" fontId="11" fillId="7" borderId="12" xfId="0" applyFont="1" applyFill="1" applyBorder="1" applyAlignment="1">
      <alignment horizontal="center" vertical="center" wrapText="1"/>
    </xf>
    <xf numFmtId="0" fontId="18" fillId="0" borderId="12" xfId="0" applyFont="1" applyBorder="1" applyAlignment="1">
      <alignment horizontal="left" vertical="center"/>
    </xf>
    <xf numFmtId="2" fontId="32" fillId="7" borderId="12" xfId="0" applyNumberFormat="1" applyFont="1" applyFill="1" applyBorder="1" applyAlignment="1">
      <alignment horizontal="center" vertical="center" wrapText="1"/>
    </xf>
    <xf numFmtId="0" fontId="33" fillId="7" borderId="12" xfId="0" applyFont="1" applyFill="1" applyBorder="1" applyAlignment="1">
      <alignment horizontal="center" vertical="center" wrapText="1"/>
    </xf>
    <xf numFmtId="0" fontId="18" fillId="0" borderId="12" xfId="0" applyFont="1" applyBorder="1" applyAlignment="1">
      <alignment horizontal="left" vertical="center" wrapText="1"/>
    </xf>
    <xf numFmtId="0" fontId="31" fillId="0" borderId="0" xfId="0" applyFont="1" applyAlignment="1">
      <alignment horizontal="center" vertical="center"/>
    </xf>
    <xf numFmtId="0" fontId="31" fillId="0" borderId="0" xfId="0" applyFont="1" applyAlignment="1">
      <alignment horizontal="left" vertical="center"/>
    </xf>
    <xf numFmtId="0" fontId="11" fillId="14" borderId="47" xfId="0" applyFont="1" applyFill="1" applyBorder="1"/>
    <xf numFmtId="0" fontId="11" fillId="14" borderId="48" xfId="0" applyFont="1" applyFill="1" applyBorder="1"/>
    <xf numFmtId="0" fontId="12" fillId="17" borderId="33" xfId="0" applyFont="1" applyFill="1" applyBorder="1"/>
    <xf numFmtId="9" fontId="18" fillId="17" borderId="32" xfId="0" applyNumberFormat="1" applyFont="1" applyFill="1" applyBorder="1" applyAlignment="1">
      <alignment horizontal="center"/>
    </xf>
    <xf numFmtId="0" fontId="12" fillId="17" borderId="49" xfId="0" applyFont="1" applyFill="1" applyBorder="1"/>
    <xf numFmtId="9" fontId="18" fillId="17" borderId="50" xfId="0" applyNumberFormat="1" applyFont="1" applyFill="1" applyBorder="1" applyAlignment="1">
      <alignment horizontal="center"/>
    </xf>
    <xf numFmtId="0" fontId="12" fillId="17" borderId="51" xfId="0" applyFont="1" applyFill="1" applyBorder="1"/>
    <xf numFmtId="9" fontId="18" fillId="17" borderId="52" xfId="0" applyNumberFormat="1" applyFont="1" applyFill="1" applyBorder="1" applyAlignment="1">
      <alignment horizontal="center"/>
    </xf>
    <xf numFmtId="10" fontId="11" fillId="6" borderId="6" xfId="0" applyNumberFormat="1" applyFont="1" applyFill="1" applyBorder="1" applyAlignment="1">
      <alignment horizontal="center" vertical="center"/>
    </xf>
    <xf numFmtId="0" fontId="10" fillId="5" borderId="15" xfId="0" applyFont="1" applyFill="1" applyBorder="1" applyAlignment="1">
      <alignment vertical="center" wrapText="1"/>
    </xf>
    <xf numFmtId="0" fontId="13" fillId="5" borderId="15" xfId="0" applyFont="1" applyFill="1" applyBorder="1" applyAlignment="1">
      <alignment horizontal="center" vertical="center" wrapText="1"/>
    </xf>
    <xf numFmtId="0" fontId="14" fillId="5" borderId="15" xfId="0" applyFont="1" applyFill="1" applyBorder="1" applyAlignment="1">
      <alignment horizontal="left" vertical="center"/>
    </xf>
    <xf numFmtId="0" fontId="21" fillId="7" borderId="15" xfId="0" applyFont="1" applyFill="1" applyBorder="1" applyAlignment="1">
      <alignment vertical="center"/>
    </xf>
    <xf numFmtId="0" fontId="23" fillId="7" borderId="15" xfId="0" applyFont="1" applyFill="1" applyBorder="1" applyAlignment="1">
      <alignment vertical="center"/>
    </xf>
    <xf numFmtId="0" fontId="26" fillId="7" borderId="15" xfId="0" applyFont="1" applyFill="1" applyBorder="1"/>
    <xf numFmtId="0" fontId="27" fillId="7" borderId="15" xfId="0" applyFont="1" applyFill="1" applyBorder="1"/>
    <xf numFmtId="0" fontId="27" fillId="7" borderId="15" xfId="0" applyFont="1" applyFill="1" applyBorder="1" applyAlignment="1">
      <alignment wrapText="1"/>
    </xf>
    <xf numFmtId="2" fontId="27" fillId="7" borderId="15" xfId="0" applyNumberFormat="1" applyFont="1" applyFill="1" applyBorder="1" applyAlignment="1">
      <alignment horizontal="center"/>
    </xf>
    <xf numFmtId="0" fontId="27" fillId="7" borderId="15" xfId="0" applyFont="1" applyFill="1" applyBorder="1" applyAlignment="1">
      <alignment horizontal="left" wrapText="1"/>
    </xf>
    <xf numFmtId="0" fontId="27" fillId="7" borderId="15" xfId="0" applyFont="1" applyFill="1" applyBorder="1" applyAlignment="1">
      <alignment horizontal="center" wrapText="1"/>
    </xf>
    <xf numFmtId="0" fontId="24" fillId="7" borderId="15" xfId="0" applyFont="1" applyFill="1" applyBorder="1" applyAlignment="1">
      <alignment horizontal="center" wrapText="1"/>
    </xf>
    <xf numFmtId="0" fontId="17" fillId="8" borderId="15" xfId="0" applyFont="1" applyFill="1" applyBorder="1" applyAlignment="1">
      <alignment horizontal="center" vertical="center"/>
    </xf>
    <xf numFmtId="0" fontId="19" fillId="13" borderId="45" xfId="0" applyFont="1" applyFill="1" applyBorder="1" applyAlignment="1">
      <alignment horizontal="center"/>
    </xf>
    <xf numFmtId="0" fontId="19" fillId="13" borderId="43" xfId="0" applyFont="1" applyFill="1" applyBorder="1" applyAlignment="1">
      <alignment horizontal="center"/>
    </xf>
    <xf numFmtId="0" fontId="4" fillId="6" borderId="44" xfId="0" applyFont="1" applyFill="1" applyBorder="1" applyAlignment="1">
      <alignment horizontal="center" vertical="center" wrapText="1"/>
    </xf>
    <xf numFmtId="0" fontId="30" fillId="15" borderId="45" xfId="0" applyFont="1" applyFill="1" applyBorder="1" applyAlignment="1">
      <alignment horizontal="center" vertical="center"/>
    </xf>
    <xf numFmtId="0" fontId="30" fillId="15" borderId="44" xfId="0" applyFont="1" applyFill="1" applyBorder="1" applyAlignment="1">
      <alignment horizontal="center" vertical="center"/>
    </xf>
    <xf numFmtId="0" fontId="4" fillId="15" borderId="45" xfId="0" applyFont="1" applyFill="1" applyBorder="1" applyAlignment="1">
      <alignment horizontal="center" vertical="center"/>
    </xf>
    <xf numFmtId="0" fontId="4" fillId="15" borderId="43" xfId="0" applyFont="1" applyFill="1" applyBorder="1" applyAlignment="1">
      <alignment horizontal="center" vertical="center"/>
    </xf>
    <xf numFmtId="0" fontId="18" fillId="0" borderId="46" xfId="0" applyFont="1" applyBorder="1" applyAlignment="1">
      <alignment horizontal="left" vertical="center" wrapText="1"/>
    </xf>
    <xf numFmtId="0" fontId="0" fillId="20" borderId="0" xfId="0" applyFill="1"/>
    <xf numFmtId="0" fontId="0" fillId="0" borderId="53" xfId="0" applyBorder="1"/>
    <xf numFmtId="0" fontId="0" fillId="24" borderId="53" xfId="0" applyFill="1" applyBorder="1"/>
    <xf numFmtId="0" fontId="36" fillId="24" borderId="53" xfId="1" applyFont="1" applyFill="1" applyBorder="1" applyAlignment="1">
      <alignment horizontal="left" indent="1"/>
    </xf>
    <xf numFmtId="0" fontId="0" fillId="0" borderId="15" xfId="0" applyBorder="1"/>
    <xf numFmtId="0" fontId="0" fillId="24" borderId="54" xfId="0" applyFill="1" applyBorder="1"/>
    <xf numFmtId="0" fontId="36" fillId="23" borderId="57" xfId="1" applyFont="1" applyFill="1" applyBorder="1" applyAlignment="1">
      <alignment horizontal="left" indent="1"/>
    </xf>
    <xf numFmtId="0" fontId="35" fillId="0" borderId="59" xfId="1" applyBorder="1"/>
    <xf numFmtId="0" fontId="0" fillId="0" borderId="58" xfId="0" applyBorder="1"/>
    <xf numFmtId="0" fontId="35" fillId="0" borderId="59" xfId="1" quotePrefix="1" applyBorder="1" applyAlignment="1">
      <alignment wrapText="1"/>
    </xf>
    <xf numFmtId="0" fontId="35" fillId="0" borderId="62" xfId="1" quotePrefix="1" applyBorder="1" applyAlignment="1">
      <alignment wrapText="1"/>
    </xf>
    <xf numFmtId="0" fontId="17" fillId="28" borderId="12" xfId="0" applyFont="1" applyFill="1" applyBorder="1" applyAlignment="1">
      <alignment horizontal="center" vertical="center" wrapText="1"/>
    </xf>
    <xf numFmtId="0" fontId="17" fillId="28" borderId="12" xfId="0" applyFont="1" applyFill="1" applyBorder="1" applyAlignment="1">
      <alignment horizontal="center" vertical="center"/>
    </xf>
    <xf numFmtId="0" fontId="0" fillId="29" borderId="15" xfId="0" applyFill="1" applyBorder="1"/>
    <xf numFmtId="0" fontId="0" fillId="29" borderId="0" xfId="0" applyFill="1"/>
    <xf numFmtId="0" fontId="0" fillId="0" borderId="59" xfId="0" applyBorder="1"/>
    <xf numFmtId="14" fontId="12" fillId="0" borderId="11" xfId="0" applyNumberFormat="1" applyFont="1" applyBorder="1" applyAlignment="1" applyProtection="1">
      <alignment horizontal="center" wrapText="1"/>
      <protection locked="0"/>
    </xf>
    <xf numFmtId="0" fontId="7" fillId="2" borderId="66" xfId="0" applyFont="1" applyFill="1" applyBorder="1" applyAlignment="1">
      <alignment horizontal="left" vertical="center"/>
    </xf>
    <xf numFmtId="0" fontId="7" fillId="2" borderId="67" xfId="0" applyFont="1" applyFill="1" applyBorder="1" applyAlignment="1">
      <alignment horizontal="left" vertical="center"/>
    </xf>
    <xf numFmtId="14" fontId="12" fillId="0" borderId="67" xfId="0" applyNumberFormat="1" applyFont="1" applyBorder="1" applyAlignment="1" applyProtection="1">
      <alignment horizontal="center" wrapText="1"/>
      <protection locked="0"/>
    </xf>
    <xf numFmtId="0" fontId="12" fillId="0" borderId="15" xfId="0" applyFont="1" applyBorder="1"/>
    <xf numFmtId="0" fontId="12" fillId="0" borderId="71" xfId="0" applyFont="1" applyBorder="1"/>
    <xf numFmtId="0" fontId="10" fillId="5" borderId="70" xfId="0" applyFont="1" applyFill="1" applyBorder="1" applyAlignment="1">
      <alignment vertical="center" wrapText="1"/>
    </xf>
    <xf numFmtId="0" fontId="3" fillId="0" borderId="15" xfId="0" applyFont="1" applyBorder="1"/>
    <xf numFmtId="0" fontId="9" fillId="6" borderId="74" xfId="0" applyFont="1" applyFill="1" applyBorder="1" applyAlignment="1">
      <alignment horizontal="center"/>
    </xf>
    <xf numFmtId="14" fontId="12" fillId="0" borderId="67" xfId="0" applyNumberFormat="1" applyFont="1" applyBorder="1"/>
    <xf numFmtId="0" fontId="13" fillId="5" borderId="71" xfId="0" applyFont="1" applyFill="1" applyBorder="1" applyAlignment="1">
      <alignment horizontal="center" vertical="center" wrapText="1"/>
    </xf>
    <xf numFmtId="0" fontId="13" fillId="4" borderId="67" xfId="0" applyFont="1" applyFill="1" applyBorder="1" applyAlignment="1">
      <alignment horizontal="center" vertical="center" wrapText="1"/>
    </xf>
    <xf numFmtId="0" fontId="3" fillId="4" borderId="67" xfId="0" applyFont="1" applyFill="1" applyBorder="1" applyAlignment="1">
      <alignment horizontal="center"/>
    </xf>
    <xf numFmtId="165" fontId="3" fillId="4" borderId="67" xfId="0" applyNumberFormat="1" applyFont="1" applyFill="1" applyBorder="1" applyAlignment="1">
      <alignment horizontal="center"/>
    </xf>
    <xf numFmtId="0" fontId="13" fillId="5" borderId="76" xfId="0" applyFont="1" applyFill="1" applyBorder="1" applyAlignment="1">
      <alignment horizontal="center" vertical="center" wrapText="1"/>
    </xf>
    <xf numFmtId="0" fontId="0" fillId="33" borderId="53" xfId="0" applyFill="1" applyBorder="1"/>
    <xf numFmtId="0" fontId="18" fillId="20" borderId="12" xfId="0" applyFont="1" applyFill="1" applyBorder="1" applyAlignment="1">
      <alignment horizontal="left" vertical="center" wrapText="1"/>
    </xf>
    <xf numFmtId="2" fontId="32" fillId="37" borderId="12" xfId="0" applyNumberFormat="1" applyFont="1" applyFill="1" applyBorder="1" applyAlignment="1">
      <alignment horizontal="center" vertical="center" wrapText="1"/>
    </xf>
    <xf numFmtId="0" fontId="0" fillId="0" borderId="80" xfId="0" applyBorder="1"/>
    <xf numFmtId="0" fontId="11" fillId="0" borderId="15" xfId="0" applyFont="1" applyBorder="1"/>
    <xf numFmtId="9" fontId="18" fillId="0" borderId="15" xfId="0" applyNumberFormat="1" applyFont="1" applyBorder="1" applyAlignment="1">
      <alignment horizontal="center"/>
    </xf>
    <xf numFmtId="0" fontId="0" fillId="0" borderId="15" xfId="0" applyBorder="1" applyAlignment="1">
      <alignment horizontal="center"/>
    </xf>
    <xf numFmtId="0" fontId="0" fillId="33" borderId="15" xfId="0" applyFill="1" applyBorder="1"/>
    <xf numFmtId="0" fontId="0" fillId="20" borderId="15" xfId="0" applyFill="1" applyBorder="1"/>
    <xf numFmtId="0" fontId="0" fillId="20" borderId="15" xfId="0" applyFill="1" applyBorder="1" applyAlignment="1">
      <alignment horizontal="center"/>
    </xf>
    <xf numFmtId="0" fontId="42" fillId="20" borderId="15" xfId="0" applyFont="1" applyFill="1" applyBorder="1"/>
    <xf numFmtId="0" fontId="17" fillId="9" borderId="82" xfId="0" applyFont="1" applyFill="1" applyBorder="1" applyAlignment="1">
      <alignment horizontal="center" vertical="top"/>
    </xf>
    <xf numFmtId="0" fontId="11" fillId="37" borderId="12" xfId="0" applyFont="1" applyFill="1" applyBorder="1" applyAlignment="1">
      <alignment horizontal="center" vertical="center" wrapText="1"/>
    </xf>
    <xf numFmtId="0" fontId="33" fillId="37" borderId="12" xfId="0" applyFont="1" applyFill="1" applyBorder="1" applyAlignment="1">
      <alignment horizontal="center" vertical="center" wrapText="1"/>
    </xf>
    <xf numFmtId="0" fontId="20" fillId="0" borderId="53" xfId="0" applyFont="1" applyBorder="1" applyAlignment="1" applyProtection="1">
      <alignment horizontal="center" vertical="top"/>
      <protection locked="0"/>
    </xf>
    <xf numFmtId="0" fontId="20" fillId="0" borderId="53" xfId="0" applyFont="1" applyBorder="1" applyAlignment="1" applyProtection="1">
      <alignment horizontal="center" vertical="top" wrapText="1"/>
      <protection locked="0"/>
    </xf>
    <xf numFmtId="0" fontId="20" fillId="0" borderId="53" xfId="0" applyFont="1" applyBorder="1" applyAlignment="1" applyProtection="1">
      <alignment horizontal="left" vertical="top" wrapText="1"/>
      <protection locked="0"/>
    </xf>
    <xf numFmtId="0" fontId="20" fillId="7" borderId="53" xfId="0" applyFont="1" applyFill="1" applyBorder="1" applyAlignment="1" applyProtection="1">
      <alignment horizontal="center" vertical="top"/>
      <protection locked="0"/>
    </xf>
    <xf numFmtId="0" fontId="20" fillId="0" borderId="59" xfId="0" applyFont="1" applyBorder="1" applyAlignment="1" applyProtection="1">
      <alignment horizontal="left" vertical="top" wrapText="1"/>
      <protection locked="0"/>
    </xf>
    <xf numFmtId="0" fontId="17" fillId="32" borderId="86" xfId="0" applyFont="1" applyFill="1" applyBorder="1" applyAlignment="1">
      <alignment horizontal="center" vertical="top"/>
    </xf>
    <xf numFmtId="0" fontId="17" fillId="32" borderId="86" xfId="0" applyFont="1" applyFill="1" applyBorder="1" applyAlignment="1">
      <alignment horizontal="left" vertical="top" wrapText="1"/>
    </xf>
    <xf numFmtId="0" fontId="18" fillId="25" borderId="86" xfId="0" applyFont="1" applyFill="1" applyBorder="1" applyAlignment="1">
      <alignment vertical="top"/>
    </xf>
    <xf numFmtId="0" fontId="10" fillId="32" borderId="88" xfId="0" applyFont="1" applyFill="1" applyBorder="1" applyAlignment="1">
      <alignment horizontal="center" vertical="top"/>
    </xf>
    <xf numFmtId="0" fontId="18" fillId="25" borderId="89" xfId="0" applyFont="1" applyFill="1" applyBorder="1" applyAlignment="1">
      <alignment vertical="top"/>
    </xf>
    <xf numFmtId="0" fontId="43" fillId="0" borderId="53" xfId="0" applyFont="1" applyBorder="1" applyAlignment="1" applyProtection="1">
      <alignment horizontal="left" vertical="top" wrapText="1"/>
      <protection locked="0"/>
    </xf>
    <xf numFmtId="0" fontId="6" fillId="0" borderId="15" xfId="0" applyFont="1" applyBorder="1"/>
    <xf numFmtId="0" fontId="19" fillId="13" borderId="53" xfId="0" applyFont="1" applyFill="1" applyBorder="1" applyAlignment="1">
      <alignment horizontal="center"/>
    </xf>
    <xf numFmtId="0" fontId="19" fillId="13" borderId="59" xfId="0" applyFont="1" applyFill="1" applyBorder="1" applyAlignment="1">
      <alignment horizontal="center"/>
    </xf>
    <xf numFmtId="0" fontId="0" fillId="24" borderId="83" xfId="0" applyFill="1" applyBorder="1"/>
    <xf numFmtId="0" fontId="0" fillId="24" borderId="84" xfId="0" applyFill="1" applyBorder="1"/>
    <xf numFmtId="0" fontId="10" fillId="27" borderId="61" xfId="0" applyFont="1" applyFill="1" applyBorder="1" applyAlignment="1">
      <alignment horizontal="center" vertical="top" wrapText="1"/>
    </xf>
    <xf numFmtId="0" fontId="11" fillId="42" borderId="12" xfId="0" applyFont="1" applyFill="1" applyBorder="1" applyAlignment="1">
      <alignment horizontal="center" vertical="center" wrapText="1"/>
    </xf>
    <xf numFmtId="0" fontId="18" fillId="18" borderId="12" xfId="0" applyFont="1" applyFill="1" applyBorder="1" applyAlignment="1">
      <alignment horizontal="left" vertical="center"/>
    </xf>
    <xf numFmtId="2" fontId="32" fillId="42" borderId="12" xfId="0" applyNumberFormat="1" applyFont="1" applyFill="1" applyBorder="1" applyAlignment="1">
      <alignment horizontal="center" vertical="center" wrapText="1"/>
    </xf>
    <xf numFmtId="0" fontId="20" fillId="0" borderId="83" xfId="0" applyFont="1" applyBorder="1" applyAlignment="1" applyProtection="1">
      <alignment horizontal="center" vertical="top"/>
      <protection locked="0"/>
    </xf>
    <xf numFmtId="0" fontId="46" fillId="41" borderId="53" xfId="0" applyFont="1" applyFill="1" applyBorder="1" applyAlignment="1" applyProtection="1">
      <alignment vertical="top"/>
      <protection locked="0"/>
    </xf>
    <xf numFmtId="0" fontId="20" fillId="7" borderId="83" xfId="0" applyFont="1" applyFill="1" applyBorder="1" applyAlignment="1" applyProtection="1">
      <alignment horizontal="left" vertical="top" wrapText="1"/>
      <protection locked="0"/>
    </xf>
    <xf numFmtId="0" fontId="20" fillId="21" borderId="83" xfId="0" applyFont="1" applyFill="1" applyBorder="1" applyAlignment="1">
      <alignment horizontal="center" vertical="top"/>
    </xf>
    <xf numFmtId="0" fontId="20" fillId="8" borderId="83" xfId="0" applyFont="1" applyFill="1" applyBorder="1" applyAlignment="1">
      <alignment horizontal="center" vertical="top"/>
    </xf>
    <xf numFmtId="0" fontId="20" fillId="9" borderId="83" xfId="0" applyFont="1" applyFill="1" applyBorder="1" applyAlignment="1" applyProtection="1">
      <alignment vertical="top"/>
      <protection locked="0"/>
    </xf>
    <xf numFmtId="0" fontId="20" fillId="3" borderId="83" xfId="0" applyFont="1" applyFill="1" applyBorder="1" applyAlignment="1">
      <alignment horizontal="center" vertical="top"/>
    </xf>
    <xf numFmtId="0" fontId="20" fillId="10" borderId="83" xfId="0" applyFont="1" applyFill="1" applyBorder="1" applyAlignment="1">
      <alignment horizontal="center" vertical="top"/>
    </xf>
    <xf numFmtId="0" fontId="20" fillId="10" borderId="83" xfId="0" applyFont="1" applyFill="1" applyBorder="1" applyAlignment="1" applyProtection="1">
      <alignment horizontal="center" vertical="top"/>
      <protection locked="0"/>
    </xf>
    <xf numFmtId="10" fontId="20" fillId="22" borderId="83" xfId="0" applyNumberFormat="1" applyFont="1" applyFill="1" applyBorder="1" applyAlignment="1" applyProtection="1">
      <alignment horizontal="center" vertical="top"/>
      <protection locked="0"/>
    </xf>
    <xf numFmtId="0" fontId="10" fillId="27" borderId="60" xfId="0" applyFont="1" applyFill="1" applyBorder="1" applyAlignment="1">
      <alignment horizontal="center" vertical="top" wrapText="1"/>
    </xf>
    <xf numFmtId="0" fontId="19" fillId="27" borderId="61" xfId="0" applyFont="1" applyFill="1" applyBorder="1" applyAlignment="1">
      <alignment horizontal="center" vertical="top" wrapText="1"/>
    </xf>
    <xf numFmtId="0" fontId="10" fillId="19" borderId="61" xfId="0" applyFont="1" applyFill="1" applyBorder="1" applyAlignment="1">
      <alignment horizontal="center" vertical="top" wrapText="1"/>
    </xf>
    <xf numFmtId="0" fontId="10" fillId="36" borderId="61" xfId="0" applyFont="1" applyFill="1" applyBorder="1" applyAlignment="1">
      <alignment horizontal="center" vertical="top" wrapText="1"/>
    </xf>
    <xf numFmtId="0" fontId="10" fillId="9" borderId="93" xfId="0" applyFont="1" applyFill="1" applyBorder="1" applyAlignment="1">
      <alignment horizontal="center" vertical="top" wrapText="1"/>
    </xf>
    <xf numFmtId="0" fontId="10" fillId="3" borderId="61" xfId="0" applyFont="1" applyFill="1" applyBorder="1" applyAlignment="1">
      <alignment horizontal="center" vertical="top" wrapText="1"/>
    </xf>
    <xf numFmtId="0" fontId="10" fillId="38" borderId="61" xfId="0" applyFont="1" applyFill="1" applyBorder="1" applyAlignment="1">
      <alignment horizontal="center" vertical="top" wrapText="1"/>
    </xf>
    <xf numFmtId="0" fontId="18" fillId="18" borderId="12" xfId="0" applyFont="1" applyFill="1" applyBorder="1" applyAlignment="1">
      <alignment horizontal="left" vertical="center" wrapText="1"/>
    </xf>
    <xf numFmtId="0" fontId="20" fillId="0" borderId="15" xfId="0" applyFont="1" applyBorder="1" applyAlignment="1">
      <alignment horizontal="left" vertical="top"/>
    </xf>
    <xf numFmtId="0" fontId="20" fillId="20" borderId="15" xfId="0" applyFont="1" applyFill="1" applyBorder="1" applyAlignment="1">
      <alignment horizontal="left" vertical="top"/>
    </xf>
    <xf numFmtId="0" fontId="20" fillId="0" borderId="83" xfId="0" applyFont="1" applyBorder="1" applyAlignment="1" applyProtection="1">
      <alignment horizontal="left" vertical="top" wrapText="1"/>
      <protection locked="0"/>
    </xf>
    <xf numFmtId="0" fontId="20" fillId="0" borderId="84" xfId="0" applyFont="1" applyBorder="1" applyAlignment="1" applyProtection="1">
      <alignment horizontal="left" vertical="top" wrapText="1"/>
      <protection locked="0"/>
    </xf>
    <xf numFmtId="0" fontId="44" fillId="0" borderId="87" xfId="0" applyFont="1" applyBorder="1" applyAlignment="1" applyProtection="1">
      <alignment horizontal="center" vertical="center" wrapText="1"/>
      <protection locked="0"/>
    </xf>
    <xf numFmtId="0" fontId="0" fillId="29" borderId="83" xfId="0" applyFill="1" applyBorder="1" applyProtection="1">
      <protection locked="0"/>
    </xf>
    <xf numFmtId="0" fontId="10" fillId="27" borderId="97" xfId="0" applyFont="1" applyFill="1" applyBorder="1" applyAlignment="1">
      <alignment horizontal="center" vertical="center" wrapText="1"/>
    </xf>
    <xf numFmtId="0" fontId="10" fillId="27" borderId="98" xfId="0" applyFont="1" applyFill="1" applyBorder="1" applyAlignment="1">
      <alignment horizontal="center" vertical="center" wrapText="1"/>
    </xf>
    <xf numFmtId="0" fontId="10" fillId="27" borderId="99" xfId="0" applyFont="1" applyFill="1" applyBorder="1" applyAlignment="1">
      <alignment horizontal="center" vertical="center" wrapText="1"/>
    </xf>
    <xf numFmtId="2" fontId="0" fillId="29" borderId="83" xfId="0" applyNumberFormat="1" applyFill="1" applyBorder="1"/>
    <xf numFmtId="2" fontId="0" fillId="29" borderId="84" xfId="0" applyNumberFormat="1" applyFill="1" applyBorder="1"/>
    <xf numFmtId="2" fontId="0" fillId="0" borderId="60" xfId="0" applyNumberFormat="1" applyBorder="1"/>
    <xf numFmtId="2" fontId="0" fillId="0" borderId="61" xfId="0" applyNumberFormat="1" applyBorder="1"/>
    <xf numFmtId="2" fontId="0" fillId="0" borderId="62" xfId="0" applyNumberFormat="1" applyBorder="1"/>
    <xf numFmtId="0" fontId="0" fillId="0" borderId="0" xfId="0" applyAlignment="1">
      <alignment wrapText="1"/>
    </xf>
    <xf numFmtId="0" fontId="47" fillId="43" borderId="101" xfId="0" applyFont="1" applyFill="1" applyBorder="1" applyAlignment="1">
      <alignment wrapText="1"/>
    </xf>
    <xf numFmtId="0" fontId="10" fillId="44" borderId="61" xfId="0" applyFont="1" applyFill="1" applyBorder="1" applyAlignment="1">
      <alignment horizontal="center" vertical="top" wrapText="1"/>
    </xf>
    <xf numFmtId="0" fontId="10" fillId="45" borderId="61" xfId="0" applyFont="1" applyFill="1" applyBorder="1" applyAlignment="1">
      <alignment horizontal="center" vertical="top" wrapText="1"/>
    </xf>
    <xf numFmtId="0" fontId="10" fillId="46" borderId="61" xfId="0" applyFont="1" applyFill="1" applyBorder="1" applyAlignment="1">
      <alignment horizontal="center" vertical="top" wrapText="1"/>
    </xf>
    <xf numFmtId="0" fontId="10" fillId="44" borderId="62" xfId="0" applyFont="1" applyFill="1" applyBorder="1" applyAlignment="1">
      <alignment horizontal="center" vertical="top" wrapText="1"/>
    </xf>
    <xf numFmtId="0" fontId="48" fillId="26" borderId="15" xfId="0" applyFont="1" applyFill="1" applyBorder="1" applyAlignment="1">
      <alignment horizontal="center" vertical="center"/>
    </xf>
    <xf numFmtId="0" fontId="36" fillId="23" borderId="55" xfId="1" applyFont="1" applyFill="1" applyBorder="1" applyAlignment="1">
      <alignment horizontal="center"/>
    </xf>
    <xf numFmtId="0" fontId="0" fillId="0" borderId="58" xfId="0" applyBorder="1" applyAlignment="1">
      <alignment vertical="center"/>
    </xf>
    <xf numFmtId="0" fontId="0" fillId="0" borderId="60" xfId="0" applyBorder="1" applyAlignment="1">
      <alignment vertical="center"/>
    </xf>
    <xf numFmtId="14" fontId="35" fillId="0" borderId="53" xfId="1" applyNumberFormat="1" applyBorder="1" applyAlignment="1">
      <alignment horizontal="center" vertical="center"/>
    </xf>
    <xf numFmtId="14" fontId="35" fillId="0" borderId="61" xfId="1" applyNumberFormat="1" applyBorder="1" applyAlignment="1">
      <alignment horizontal="center" vertical="center"/>
    </xf>
    <xf numFmtId="0" fontId="36" fillId="23" borderId="56" xfId="1" applyFont="1" applyFill="1" applyBorder="1" applyAlignment="1">
      <alignment horizontal="center"/>
    </xf>
    <xf numFmtId="0" fontId="10" fillId="27" borderId="55" xfId="0" applyFont="1" applyFill="1" applyBorder="1" applyAlignment="1">
      <alignment horizontal="center" vertical="center" wrapText="1"/>
    </xf>
    <xf numFmtId="0" fontId="10" fillId="27" borderId="56" xfId="0" applyFont="1" applyFill="1" applyBorder="1" applyAlignment="1">
      <alignment horizontal="center" vertical="center" wrapText="1"/>
    </xf>
    <xf numFmtId="0" fontId="10" fillId="27" borderId="57" xfId="0" applyFont="1" applyFill="1" applyBorder="1" applyAlignment="1">
      <alignment horizontal="center" vertical="center" wrapText="1"/>
    </xf>
    <xf numFmtId="0" fontId="0" fillId="29" borderId="60" xfId="0" applyFill="1" applyBorder="1" applyProtection="1">
      <protection locked="0"/>
    </xf>
    <xf numFmtId="0" fontId="0" fillId="29" borderId="61" xfId="0" applyFill="1" applyBorder="1" applyProtection="1">
      <protection locked="0"/>
    </xf>
    <xf numFmtId="0" fontId="0" fillId="29" borderId="62" xfId="0" applyFill="1" applyBorder="1" applyProtection="1">
      <protection locked="0"/>
    </xf>
    <xf numFmtId="0" fontId="42" fillId="20" borderId="0" xfId="0" applyFont="1" applyFill="1"/>
    <xf numFmtId="0" fontId="20" fillId="0" borderId="15" xfId="0" applyFont="1" applyBorder="1" applyAlignment="1">
      <alignment horizontal="center" vertical="top"/>
    </xf>
    <xf numFmtId="2" fontId="20" fillId="8" borderId="83" xfId="0" quotePrefix="1" applyNumberFormat="1" applyFont="1" applyFill="1" applyBorder="1" applyAlignment="1">
      <alignment horizontal="center" vertical="top"/>
    </xf>
    <xf numFmtId="0" fontId="47" fillId="43" borderId="58" xfId="0" applyFont="1" applyFill="1" applyBorder="1"/>
    <xf numFmtId="0" fontId="47" fillId="43" borderId="53" xfId="0" applyFont="1" applyFill="1" applyBorder="1"/>
    <xf numFmtId="0" fontId="47" fillId="43" borderId="59" xfId="0" applyFont="1" applyFill="1" applyBorder="1"/>
    <xf numFmtId="0" fontId="0" fillId="48" borderId="87" xfId="0" applyFill="1" applyBorder="1" applyAlignment="1">
      <alignment horizontal="center" vertical="top"/>
    </xf>
    <xf numFmtId="2" fontId="0" fillId="48" borderId="83" xfId="0" applyNumberFormat="1" applyFill="1" applyBorder="1"/>
    <xf numFmtId="0" fontId="20" fillId="0" borderId="15" xfId="0" applyFont="1" applyBorder="1"/>
    <xf numFmtId="0" fontId="20" fillId="0" borderId="15" xfId="0" applyFont="1" applyBorder="1" applyAlignment="1">
      <alignment horizontal="left"/>
    </xf>
    <xf numFmtId="0" fontId="31" fillId="31" borderId="86" xfId="0" applyFont="1" applyFill="1" applyBorder="1"/>
    <xf numFmtId="0" fontId="19" fillId="46" borderId="61" xfId="0" applyFont="1" applyFill="1" applyBorder="1" applyAlignment="1">
      <alignment horizontal="center" vertical="top" wrapText="1"/>
    </xf>
    <xf numFmtId="0" fontId="11" fillId="7" borderId="46" xfId="0" applyFont="1" applyFill="1" applyBorder="1" applyAlignment="1">
      <alignment horizontal="center" vertical="center" wrapText="1"/>
    </xf>
    <xf numFmtId="2" fontId="32" fillId="42" borderId="46" xfId="0" applyNumberFormat="1" applyFont="1" applyFill="1" applyBorder="1" applyAlignment="1">
      <alignment horizontal="center" vertical="center" wrapText="1"/>
    </xf>
    <xf numFmtId="2" fontId="32" fillId="37" borderId="46" xfId="0" applyNumberFormat="1" applyFont="1" applyFill="1" applyBorder="1" applyAlignment="1">
      <alignment horizontal="center" vertical="center" wrapText="1"/>
    </xf>
    <xf numFmtId="0" fontId="11" fillId="20" borderId="54" xfId="1" applyFont="1" applyFill="1" applyBorder="1" applyAlignment="1">
      <alignment horizontal="left" indent="1"/>
    </xf>
    <xf numFmtId="0" fontId="0" fillId="0" borderId="87" xfId="0" applyBorder="1"/>
    <xf numFmtId="0" fontId="0" fillId="0" borderId="83" xfId="0" applyBorder="1"/>
    <xf numFmtId="0" fontId="0" fillId="33" borderId="83" xfId="0" applyFill="1" applyBorder="1"/>
    <xf numFmtId="0" fontId="0" fillId="0" borderId="84" xfId="0" applyBorder="1"/>
    <xf numFmtId="0" fontId="41" fillId="21" borderId="90" xfId="0" applyFont="1" applyFill="1" applyBorder="1" applyAlignment="1">
      <alignment horizontal="left" vertical="center" wrapText="1"/>
    </xf>
    <xf numFmtId="0" fontId="41" fillId="21" borderId="91" xfId="0" applyFont="1" applyFill="1" applyBorder="1" applyAlignment="1">
      <alignment horizontal="left" vertical="center" wrapText="1"/>
    </xf>
    <xf numFmtId="0" fontId="41" fillId="21" borderId="92" xfId="0" applyFont="1" applyFill="1" applyBorder="1" applyAlignment="1">
      <alignment horizontal="left" vertical="center" wrapText="1"/>
    </xf>
    <xf numFmtId="0" fontId="41" fillId="21" borderId="101" xfId="0" applyFont="1" applyFill="1" applyBorder="1" applyAlignment="1">
      <alignment horizontal="left" vertical="center" wrapText="1"/>
    </xf>
    <xf numFmtId="0" fontId="0" fillId="0" borderId="105" xfId="0" applyBorder="1"/>
    <xf numFmtId="0" fontId="41" fillId="21" borderId="107" xfId="0" applyFont="1" applyFill="1" applyBorder="1" applyAlignment="1">
      <alignment horizontal="left" vertical="center" wrapText="1"/>
    </xf>
    <xf numFmtId="0" fontId="0" fillId="0" borderId="78" xfId="0" applyBorder="1" applyAlignment="1">
      <alignment wrapText="1"/>
    </xf>
    <xf numFmtId="0" fontId="47" fillId="0" borderId="0" xfId="0" applyFont="1"/>
    <xf numFmtId="0" fontId="0" fillId="0" borderId="108" xfId="0" applyBorder="1"/>
    <xf numFmtId="0" fontId="0" fillId="0" borderId="109" xfId="0" applyBorder="1"/>
    <xf numFmtId="0" fontId="47" fillId="0" borderId="0" xfId="0" applyFont="1" applyAlignment="1">
      <alignment wrapText="1"/>
    </xf>
    <xf numFmtId="0" fontId="20" fillId="0" borderId="53" xfId="5" applyFont="1" applyBorder="1" applyAlignment="1" applyProtection="1">
      <alignment horizontal="center" vertical="top"/>
      <protection locked="0"/>
    </xf>
    <xf numFmtId="0" fontId="43" fillId="0" borderId="53" xfId="5" applyFont="1" applyBorder="1" applyAlignment="1" applyProtection="1">
      <alignment horizontal="left" vertical="top" wrapText="1"/>
      <protection locked="0"/>
    </xf>
    <xf numFmtId="0" fontId="20" fillId="0" borderId="83" xfId="5" applyFont="1" applyBorder="1" applyAlignment="1" applyProtection="1">
      <alignment horizontal="center" vertical="top"/>
      <protection locked="0"/>
    </xf>
    <xf numFmtId="0" fontId="46" fillId="41" borderId="53" xfId="5" applyFont="1" applyFill="1" applyBorder="1" applyAlignment="1" applyProtection="1">
      <alignment vertical="top"/>
      <protection locked="0"/>
    </xf>
    <xf numFmtId="0" fontId="20" fillId="7" borderId="83" xfId="5" applyFont="1" applyFill="1" applyBorder="1" applyAlignment="1" applyProtection="1">
      <alignment horizontal="left" vertical="top" wrapText="1"/>
      <protection locked="0"/>
    </xf>
    <xf numFmtId="0" fontId="44" fillId="0" borderId="87" xfId="5" applyFont="1" applyBorder="1" applyAlignment="1" applyProtection="1">
      <alignment horizontal="center" vertical="center" wrapText="1"/>
      <protection locked="0"/>
    </xf>
    <xf numFmtId="10" fontId="1" fillId="29" borderId="83" xfId="0" applyNumberFormat="1" applyFont="1" applyFill="1" applyBorder="1"/>
    <xf numFmtId="0" fontId="1" fillId="0" borderId="0" xfId="0" applyFont="1"/>
    <xf numFmtId="0" fontId="1" fillId="24" borderId="87" xfId="0" applyFont="1" applyFill="1" applyBorder="1"/>
    <xf numFmtId="0" fontId="1" fillId="24" borderId="83" xfId="0" applyFont="1" applyFill="1" applyBorder="1"/>
    <xf numFmtId="0" fontId="1" fillId="40" borderId="60" xfId="0" applyFont="1" applyFill="1" applyBorder="1"/>
    <xf numFmtId="0" fontId="1" fillId="0" borderId="105" xfId="0" applyFont="1" applyBorder="1" applyAlignment="1">
      <alignment wrapText="1"/>
    </xf>
    <xf numFmtId="0" fontId="1" fillId="0" borderId="80" xfId="0" applyFont="1" applyBorder="1" applyAlignment="1">
      <alignment wrapText="1"/>
    </xf>
    <xf numFmtId="0" fontId="1" fillId="0" borderId="106" xfId="0" applyFont="1" applyBorder="1" applyAlignment="1">
      <alignment wrapText="1"/>
    </xf>
    <xf numFmtId="0" fontId="1" fillId="29" borderId="105" xfId="0" applyFont="1" applyFill="1" applyBorder="1" applyAlignment="1">
      <alignment wrapText="1"/>
    </xf>
    <xf numFmtId="0" fontId="1" fillId="0" borderId="81" xfId="0" applyFont="1" applyBorder="1" applyAlignment="1">
      <alignment wrapText="1"/>
    </xf>
    <xf numFmtId="0" fontId="1" fillId="0" borderId="58" xfId="0" applyFont="1" applyBorder="1" applyAlignment="1">
      <alignment vertical="center"/>
    </xf>
    <xf numFmtId="0" fontId="1" fillId="0" borderId="105" xfId="0" applyFont="1" applyBorder="1"/>
    <xf numFmtId="0" fontId="1" fillId="0" borderId="80" xfId="0" applyFont="1" applyBorder="1"/>
    <xf numFmtId="0" fontId="1" fillId="0" borderId="58" xfId="0" applyFont="1" applyBorder="1"/>
    <xf numFmtId="0" fontId="1" fillId="0" borderId="81" xfId="0" applyFont="1" applyBorder="1"/>
    <xf numFmtId="0" fontId="1" fillId="0" borderId="102" xfId="0" applyFont="1" applyBorder="1"/>
    <xf numFmtId="0" fontId="1" fillId="34" borderId="53" xfId="0" applyFont="1" applyFill="1" applyBorder="1"/>
    <xf numFmtId="0" fontId="1" fillId="0" borderId="59" xfId="0" applyFont="1" applyBorder="1"/>
    <xf numFmtId="0" fontId="1" fillId="20" borderId="0" xfId="0" applyFont="1" applyFill="1"/>
    <xf numFmtId="0" fontId="1" fillId="35" borderId="53" xfId="0" applyFont="1" applyFill="1" applyBorder="1"/>
    <xf numFmtId="0" fontId="38" fillId="26" borderId="85" xfId="0" applyFont="1" applyFill="1" applyBorder="1" applyAlignment="1">
      <alignment horizontal="left" vertical="top"/>
    </xf>
    <xf numFmtId="0" fontId="0" fillId="0" borderId="86" xfId="0" applyBorder="1" applyAlignment="1">
      <alignment horizontal="left" vertical="top"/>
    </xf>
    <xf numFmtId="0" fontId="52" fillId="20" borderId="94" xfId="2" applyFont="1" applyFill="1" applyBorder="1" applyAlignment="1" applyProtection="1">
      <alignment horizontal="left" vertical="top" wrapText="1"/>
      <protection hidden="1"/>
    </xf>
    <xf numFmtId="0" fontId="54" fillId="20" borderId="95" xfId="0" applyFont="1" applyFill="1" applyBorder="1"/>
    <xf numFmtId="0" fontId="40" fillId="30" borderId="103" xfId="0" applyFont="1" applyFill="1" applyBorder="1" applyAlignment="1">
      <alignment horizontal="center" vertical="top"/>
    </xf>
    <xf numFmtId="0" fontId="0" fillId="0" borderId="104" xfId="0" applyBorder="1"/>
    <xf numFmtId="0" fontId="10" fillId="5" borderId="11" xfId="0" applyFont="1" applyFill="1" applyBorder="1" applyAlignment="1">
      <alignment vertical="center" wrapText="1"/>
    </xf>
    <xf numFmtId="0" fontId="6" fillId="0" borderId="2" xfId="0" applyFont="1" applyBorder="1"/>
    <xf numFmtId="0" fontId="15" fillId="0" borderId="70" xfId="0" applyFont="1" applyBorder="1" applyAlignment="1">
      <alignment horizontal="left"/>
    </xf>
    <xf numFmtId="0" fontId="0" fillId="0" borderId="15" xfId="0" applyBorder="1"/>
    <xf numFmtId="0" fontId="0" fillId="0" borderId="71" xfId="0" applyBorder="1"/>
    <xf numFmtId="0" fontId="9" fillId="4" borderId="70" xfId="0" applyFont="1" applyFill="1" applyBorder="1" applyAlignment="1">
      <alignment horizontal="center"/>
    </xf>
    <xf numFmtId="0" fontId="6" fillId="0" borderId="15" xfId="0" applyFont="1" applyBorder="1"/>
    <xf numFmtId="0" fontId="6" fillId="0" borderId="71" xfId="0" applyFont="1" applyBorder="1"/>
    <xf numFmtId="0" fontId="10" fillId="5" borderId="75" xfId="0" applyFont="1" applyFill="1" applyBorder="1" applyAlignment="1">
      <alignment horizontal="center" vertical="center" textRotation="90" wrapText="1"/>
    </xf>
    <xf numFmtId="0" fontId="6" fillId="0" borderId="70" xfId="0" applyFont="1" applyBorder="1"/>
    <xf numFmtId="0" fontId="6" fillId="0" borderId="72" xfId="0" applyFont="1" applyBorder="1"/>
    <xf numFmtId="0" fontId="3" fillId="0" borderId="75" xfId="0" applyFont="1" applyBorder="1" applyAlignment="1" applyProtection="1">
      <alignment vertical="top"/>
      <protection locked="0"/>
    </xf>
    <xf numFmtId="0" fontId="6" fillId="0" borderId="7" xfId="0" applyFont="1" applyBorder="1" applyProtection="1">
      <protection locked="0"/>
    </xf>
    <xf numFmtId="0" fontId="6" fillId="0" borderId="76" xfId="0" applyFont="1" applyBorder="1" applyProtection="1">
      <protection locked="0"/>
    </xf>
    <xf numFmtId="0" fontId="3" fillId="0" borderId="68" xfId="0" applyFont="1" applyBorder="1" applyAlignment="1">
      <alignment horizontal="right" vertical="top" wrapText="1"/>
    </xf>
    <xf numFmtId="0" fontId="6" fillId="0" borderId="1" xfId="0" applyFont="1" applyBorder="1"/>
    <xf numFmtId="0" fontId="3" fillId="0" borderId="77" xfId="0" applyFont="1" applyBorder="1" applyAlignment="1" applyProtection="1">
      <alignment vertical="top" wrapText="1"/>
      <protection locked="0"/>
    </xf>
    <xf numFmtId="0" fontId="6" fillId="0" borderId="78" xfId="0" applyFont="1" applyBorder="1" applyProtection="1">
      <protection locked="0"/>
    </xf>
    <xf numFmtId="0" fontId="6" fillId="0" borderId="79" xfId="0" applyFont="1" applyBorder="1" applyProtection="1">
      <protection locked="0"/>
    </xf>
    <xf numFmtId="0" fontId="16" fillId="0" borderId="1" xfId="0" applyFont="1" applyBorder="1" applyAlignment="1" applyProtection="1">
      <alignment horizontal="left" vertical="top" wrapText="1"/>
      <protection locked="0"/>
    </xf>
    <xf numFmtId="0" fontId="6" fillId="0" borderId="1" xfId="0" applyFont="1" applyBorder="1" applyProtection="1">
      <protection locked="0"/>
    </xf>
    <xf numFmtId="0" fontId="6" fillId="0" borderId="69" xfId="0" applyFont="1" applyBorder="1" applyProtection="1">
      <protection locked="0"/>
    </xf>
    <xf numFmtId="0" fontId="5" fillId="2" borderId="63" xfId="0" applyFont="1" applyFill="1" applyBorder="1" applyAlignment="1">
      <alignment horizontal="center" vertical="center"/>
    </xf>
    <xf numFmtId="0" fontId="6" fillId="0" borderId="64" xfId="0" applyFont="1" applyBorder="1"/>
    <xf numFmtId="0" fontId="6" fillId="0" borderId="65" xfId="0" applyFont="1" applyBorder="1"/>
    <xf numFmtId="0" fontId="8" fillId="3" borderId="68" xfId="0" applyFont="1" applyFill="1" applyBorder="1" applyAlignment="1">
      <alignment horizontal="center" vertical="center"/>
    </xf>
    <xf numFmtId="0" fontId="6" fillId="0" borderId="69" xfId="0" applyFont="1" applyBorder="1"/>
    <xf numFmtId="0" fontId="9" fillId="4" borderId="68" xfId="0" applyFont="1" applyFill="1" applyBorder="1" applyAlignment="1">
      <alignment horizontal="left"/>
    </xf>
    <xf numFmtId="0" fontId="10" fillId="5" borderId="68" xfId="0" applyFont="1" applyFill="1" applyBorder="1" applyAlignment="1">
      <alignment vertical="center" wrapText="1"/>
    </xf>
    <xf numFmtId="0" fontId="11" fillId="0" borderId="11" xfId="0" applyFont="1" applyBorder="1" applyAlignment="1" applyProtection="1">
      <alignment wrapText="1"/>
      <protection locked="0"/>
    </xf>
    <xf numFmtId="0" fontId="10" fillId="5" borderId="68" xfId="0" applyFont="1" applyFill="1" applyBorder="1" applyAlignment="1">
      <alignment horizontal="left" vertical="center" wrapText="1"/>
    </xf>
    <xf numFmtId="0" fontId="12" fillId="0" borderId="11" xfId="0" applyFont="1" applyBorder="1" applyAlignment="1" applyProtection="1">
      <alignment wrapText="1"/>
      <protection locked="0"/>
    </xf>
    <xf numFmtId="0" fontId="10" fillId="5" borderId="11" xfId="0" applyFont="1" applyFill="1" applyBorder="1" applyAlignment="1">
      <alignment horizontal="right" vertical="center" wrapText="1"/>
    </xf>
    <xf numFmtId="164" fontId="9" fillId="6" borderId="11" xfId="0" applyNumberFormat="1" applyFont="1" applyFill="1" applyBorder="1" applyAlignment="1">
      <alignment horizontal="center"/>
    </xf>
    <xf numFmtId="0" fontId="12" fillId="0" borderId="15" xfId="0" applyFont="1" applyBorder="1"/>
    <xf numFmtId="0" fontId="9" fillId="4" borderId="68" xfId="0" applyFont="1" applyFill="1" applyBorder="1" applyAlignment="1">
      <alignment horizontal="center"/>
    </xf>
    <xf numFmtId="0" fontId="12" fillId="0" borderId="6" xfId="0" applyFont="1" applyBorder="1" applyProtection="1">
      <protection locked="0"/>
    </xf>
    <xf numFmtId="0" fontId="6" fillId="0" borderId="9" xfId="0" applyFont="1" applyBorder="1" applyProtection="1">
      <protection locked="0"/>
    </xf>
    <xf numFmtId="0" fontId="6" fillId="0" borderId="73" xfId="0" applyFont="1" applyBorder="1" applyProtection="1">
      <protection locked="0"/>
    </xf>
    <xf numFmtId="0" fontId="10" fillId="5" borderId="72" xfId="0" applyFont="1" applyFill="1" applyBorder="1" applyAlignment="1">
      <alignment horizontal="center" vertical="center" wrapText="1"/>
    </xf>
    <xf numFmtId="0" fontId="6" fillId="0" borderId="4" xfId="0" applyFont="1" applyBorder="1"/>
    <xf numFmtId="0" fontId="10" fillId="7" borderId="70" xfId="0" applyFont="1" applyFill="1" applyBorder="1" applyAlignment="1">
      <alignment vertical="center" wrapText="1"/>
    </xf>
    <xf numFmtId="0" fontId="10" fillId="5" borderId="72" xfId="0" applyFont="1" applyFill="1" applyBorder="1" applyAlignment="1">
      <alignment horizontal="left" vertical="center" wrapText="1"/>
    </xf>
    <xf numFmtId="0" fontId="11" fillId="5" borderId="72" xfId="0" applyFont="1" applyFill="1" applyBorder="1" applyAlignment="1">
      <alignment horizontal="center" vertical="center" wrapText="1"/>
    </xf>
    <xf numFmtId="2" fontId="9" fillId="0" borderId="11" xfId="0" applyNumberFormat="1" applyFont="1" applyBorder="1" applyAlignment="1">
      <alignment horizontal="center"/>
    </xf>
    <xf numFmtId="0" fontId="12" fillId="0" borderId="11" xfId="0" applyFont="1" applyBorder="1"/>
    <xf numFmtId="0" fontId="12" fillId="0" borderId="6" xfId="0" applyFont="1" applyBorder="1"/>
    <xf numFmtId="0" fontId="6" fillId="0" borderId="9" xfId="0" applyFont="1" applyBorder="1"/>
    <xf numFmtId="0" fontId="48" fillId="26" borderId="94" xfId="0" applyFont="1" applyFill="1" applyBorder="1" applyAlignment="1">
      <alignment horizontal="center" vertical="center"/>
    </xf>
    <xf numFmtId="0" fontId="0" fillId="0" borderId="82" xfId="0" applyBorder="1" applyAlignment="1">
      <alignment horizontal="center" vertical="center"/>
    </xf>
    <xf numFmtId="0" fontId="0" fillId="0" borderId="95" xfId="0" applyBorder="1" applyAlignment="1">
      <alignment horizontal="center" vertical="center"/>
    </xf>
    <xf numFmtId="0" fontId="48" fillId="26" borderId="70" xfId="0" applyFont="1" applyFill="1" applyBorder="1" applyAlignment="1">
      <alignment horizontal="center" vertical="center"/>
    </xf>
    <xf numFmtId="0" fontId="0" fillId="0" borderId="15" xfId="0" applyBorder="1" applyAlignment="1">
      <alignment horizontal="center" vertical="center"/>
    </xf>
    <xf numFmtId="9" fontId="47" fillId="0" borderId="91" xfId="0" applyNumberFormat="1" applyFont="1" applyBorder="1" applyProtection="1">
      <protection locked="0"/>
    </xf>
    <xf numFmtId="0" fontId="47" fillId="0" borderId="91" xfId="0" applyFont="1" applyBorder="1" applyProtection="1">
      <protection locked="0"/>
    </xf>
    <xf numFmtId="9" fontId="47" fillId="0" borderId="96" xfId="0" applyNumberFormat="1" applyFont="1" applyBorder="1" applyProtection="1">
      <protection locked="0"/>
    </xf>
    <xf numFmtId="0" fontId="47" fillId="0" borderId="98" xfId="0" applyFont="1" applyBorder="1" applyAlignment="1" applyProtection="1">
      <alignment horizontal="center" vertical="center" wrapText="1"/>
      <protection locked="0"/>
    </xf>
    <xf numFmtId="9" fontId="51" fillId="47" borderId="82" xfId="0" applyNumberFormat="1" applyFont="1" applyFill="1" applyBorder="1" applyAlignment="1">
      <alignment horizontal="center" vertical="center"/>
    </xf>
    <xf numFmtId="9" fontId="51" fillId="47" borderId="96" xfId="0" applyNumberFormat="1" applyFont="1" applyFill="1" applyBorder="1" applyAlignment="1">
      <alignment horizontal="center" vertical="center"/>
    </xf>
    <xf numFmtId="9" fontId="51" fillId="47" borderId="100" xfId="0" applyNumberFormat="1" applyFont="1" applyFill="1" applyBorder="1" applyAlignment="1">
      <alignment horizontal="center" vertical="center"/>
    </xf>
    <xf numFmtId="0" fontId="48" fillId="26" borderId="15" xfId="0" applyFont="1" applyFill="1" applyBorder="1" applyAlignment="1">
      <alignment horizontal="center" vertical="center"/>
    </xf>
    <xf numFmtId="0" fontId="47" fillId="43" borderId="94" xfId="0" applyFont="1" applyFill="1" applyBorder="1" applyAlignment="1">
      <alignment horizontal="left" vertical="center"/>
    </xf>
    <xf numFmtId="0" fontId="47" fillId="0" borderId="96" xfId="0" applyFont="1" applyBorder="1" applyAlignment="1">
      <alignment horizontal="left" vertical="center"/>
    </xf>
    <xf numFmtId="9" fontId="49" fillId="43" borderId="100" xfId="0" applyNumberFormat="1" applyFont="1" applyFill="1" applyBorder="1" applyAlignment="1">
      <alignment horizontal="center"/>
    </xf>
    <xf numFmtId="0" fontId="50" fillId="0" borderId="95" xfId="0" applyFont="1" applyBorder="1" applyAlignment="1">
      <alignment horizontal="center"/>
    </xf>
    <xf numFmtId="0" fontId="38" fillId="25" borderId="11" xfId="0" applyFont="1" applyFill="1" applyBorder="1" applyAlignment="1">
      <alignment horizontal="center" vertical="top"/>
    </xf>
    <xf numFmtId="0" fontId="39" fillId="26" borderId="1" xfId="0" applyFont="1" applyFill="1" applyBorder="1"/>
    <xf numFmtId="0" fontId="12" fillId="0" borderId="0" xfId="0" applyFont="1" applyAlignment="1">
      <alignment horizontal="center"/>
    </xf>
    <xf numFmtId="0" fontId="0" fillId="0" borderId="0" xfId="0"/>
    <xf numFmtId="0" fontId="17" fillId="8" borderId="10" xfId="0" applyFont="1" applyFill="1" applyBorder="1" applyAlignment="1">
      <alignment horizontal="center" vertical="center"/>
    </xf>
    <xf numFmtId="0" fontId="6" fillId="0" borderId="7" xfId="0" applyFont="1" applyBorder="1"/>
    <xf numFmtId="0" fontId="6" fillId="0" borderId="8" xfId="0" applyFont="1" applyBorder="1"/>
    <xf numFmtId="0" fontId="17" fillId="10" borderId="15" xfId="0" applyFont="1" applyFill="1" applyBorder="1" applyAlignment="1">
      <alignment horizontal="center" vertical="center"/>
    </xf>
    <xf numFmtId="0" fontId="19" fillId="13" borderId="16" xfId="0" applyFont="1" applyFill="1" applyBorder="1" applyAlignment="1">
      <alignment horizontal="center" vertical="center"/>
    </xf>
    <xf numFmtId="0" fontId="6" fillId="0" borderId="24" xfId="0" applyFont="1" applyBorder="1"/>
    <xf numFmtId="0" fontId="6" fillId="0" borderId="46" xfId="0" applyFont="1" applyBorder="1"/>
    <xf numFmtId="0" fontId="19" fillId="13" borderId="17" xfId="0" applyFont="1" applyFill="1" applyBorder="1" applyAlignment="1">
      <alignment horizontal="center" vertical="center"/>
    </xf>
    <xf numFmtId="0" fontId="6" fillId="0" borderId="25" xfId="0" applyFont="1" applyBorder="1"/>
    <xf numFmtId="0" fontId="6" fillId="0" borderId="30" xfId="0" applyFont="1" applyBorder="1"/>
    <xf numFmtId="0" fontId="19" fillId="14" borderId="21" xfId="0" applyFont="1" applyFill="1" applyBorder="1" applyAlignment="1">
      <alignment horizontal="center"/>
    </xf>
    <xf numFmtId="0" fontId="6" fillId="0" borderId="22" xfId="0" applyFont="1" applyBorder="1"/>
    <xf numFmtId="0" fontId="19" fillId="14" borderId="28" xfId="0" applyFont="1" applyFill="1" applyBorder="1" applyAlignment="1">
      <alignment horizontal="center"/>
    </xf>
    <xf numFmtId="0" fontId="6" fillId="0" borderId="29" xfId="0" applyFont="1" applyBorder="1"/>
    <xf numFmtId="0" fontId="19" fillId="14" borderId="26" xfId="0" applyFont="1" applyFill="1" applyBorder="1" applyAlignment="1">
      <alignment horizontal="center"/>
    </xf>
    <xf numFmtId="0" fontId="6" fillId="0" borderId="27" xfId="0" applyFont="1" applyBorder="1"/>
    <xf numFmtId="0" fontId="19" fillId="14" borderId="18" xfId="0" applyFont="1" applyFill="1" applyBorder="1" applyAlignment="1">
      <alignment horizontal="center"/>
    </xf>
    <xf numFmtId="0" fontId="6" fillId="0" borderId="19" xfId="0" applyFont="1" applyBorder="1"/>
    <xf numFmtId="0" fontId="6" fillId="0" borderId="20" xfId="0" applyFont="1" applyBorder="1"/>
    <xf numFmtId="0" fontId="19" fillId="39" borderId="90" xfId="0" applyFont="1" applyFill="1" applyBorder="1" applyAlignment="1">
      <alignment horizontal="center" vertical="center"/>
    </xf>
    <xf numFmtId="0" fontId="0" fillId="0" borderId="91" xfId="0" applyBorder="1" applyAlignment="1">
      <alignment horizontal="center" vertical="center"/>
    </xf>
    <xf numFmtId="0" fontId="0" fillId="0" borderId="92" xfId="0" applyBorder="1" applyAlignment="1">
      <alignment horizontal="center" vertical="center"/>
    </xf>
    <xf numFmtId="0" fontId="6" fillId="0" borderId="23" xfId="0" applyFont="1" applyBorder="1"/>
    <xf numFmtId="0" fontId="19" fillId="14" borderId="41" xfId="0" applyFont="1" applyFill="1" applyBorder="1" applyAlignment="1">
      <alignment horizontal="center"/>
    </xf>
    <xf numFmtId="0" fontId="6" fillId="0" borderId="41" xfId="0" applyFont="1" applyBorder="1"/>
    <xf numFmtId="0" fontId="37" fillId="0" borderId="15" xfId="0" applyFont="1" applyBorder="1" applyAlignment="1">
      <alignment horizontal="center" vertical="center"/>
    </xf>
    <xf numFmtId="0" fontId="21" fillId="7" borderId="15" xfId="0" applyFont="1" applyFill="1" applyBorder="1" applyAlignment="1">
      <alignment horizontal="center" vertical="center"/>
    </xf>
  </cellXfs>
  <cellStyles count="6">
    <cellStyle name="Normal" xfId="0" builtinId="0"/>
    <cellStyle name="Normal 2" xfId="3" xr:uid="{7AAAAFCD-E0E3-43E2-8EA7-BF81BCCD4E98}"/>
    <cellStyle name="Normal 2 2" xfId="5" xr:uid="{5610C18C-3323-445D-89B7-B35C2CBD8188}"/>
    <cellStyle name="Normal 3" xfId="1" xr:uid="{D7059AD0-E9F7-4BB3-BC9D-F4274CF6245C}"/>
    <cellStyle name="Normal 4" xfId="4" xr:uid="{3A7D4B41-0BD6-413B-BC7D-D0BF6FAA3BA3}"/>
    <cellStyle name="Normal 7" xfId="2" xr:uid="{D4261497-F428-4C9D-85D4-4E7AC44387A4}"/>
  </cellStyles>
  <dxfs count="658">
    <dxf>
      <font>
        <color rgb="FFFF0000"/>
      </font>
      <fill>
        <patternFill patternType="none"/>
      </fill>
    </dxf>
    <dxf>
      <font>
        <b/>
        <color rgb="FFFF0000"/>
      </font>
      <fill>
        <patternFill patternType="none"/>
      </fill>
    </dxf>
    <dxf>
      <font>
        <b/>
        <color rgb="FFFF0000"/>
      </font>
      <fill>
        <patternFill patternType="none"/>
      </fill>
    </dxf>
    <dxf>
      <font>
        <color rgb="FFFF0000"/>
      </font>
      <fill>
        <patternFill patternType="none"/>
      </fill>
    </dxf>
    <dxf>
      <font>
        <b/>
        <color rgb="FFFF0000"/>
      </font>
      <fill>
        <patternFill patternType="none"/>
      </fill>
    </dxf>
    <dxf>
      <font>
        <b/>
        <color rgb="FFFF0000"/>
      </font>
      <fill>
        <patternFill patternType="none"/>
      </fill>
    </dxf>
    <dxf>
      <fill>
        <patternFill>
          <bgColor rgb="FFFF0000"/>
        </patternFill>
      </fill>
    </dxf>
    <dxf>
      <font>
        <color rgb="FF0066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theme="1"/>
      </font>
      <fill>
        <patternFill patternType="none"/>
      </fill>
    </dxf>
    <dxf>
      <fill>
        <patternFill>
          <bgColor rgb="FFFF0000"/>
        </patternFill>
      </fill>
    </dxf>
    <dxf>
      <fill>
        <patternFill>
          <bgColor theme="7" tint="0.59996337778862885"/>
        </patternFill>
      </fill>
    </dxf>
    <dxf>
      <fill>
        <patternFill>
          <bgColor theme="7" tint="0.59996337778862885"/>
        </patternFill>
      </fill>
    </dxf>
    <dxf>
      <font>
        <color rgb="FF0066FF"/>
        <name val="Cambria"/>
      </font>
      <fill>
        <patternFill patternType="none"/>
      </fill>
    </dxf>
    <dxf>
      <font>
        <color rgb="FFFF0000"/>
      </font>
      <fill>
        <patternFill patternType="none"/>
      </fill>
    </dxf>
    <dxf>
      <font>
        <color theme="1"/>
      </font>
      <fill>
        <patternFill patternType="none"/>
      </fill>
    </dxf>
    <dxf>
      <font>
        <color rgb="FF0066FF"/>
        <name val="Cambria"/>
      </font>
      <fill>
        <patternFill patternType="none"/>
      </fill>
    </dxf>
    <dxf>
      <font>
        <color rgb="FFFF0000"/>
      </font>
      <fill>
        <patternFill patternType="none"/>
      </fill>
    </dxf>
    <dxf>
      <font>
        <color theme="1"/>
      </font>
      <fill>
        <patternFill patternType="none"/>
      </fill>
    </dxf>
    <dxf>
      <font>
        <color rgb="FFFF0000"/>
      </font>
      <fill>
        <patternFill patternType="none"/>
      </fill>
    </dxf>
    <dxf>
      <font>
        <color theme="1"/>
      </font>
      <fill>
        <patternFill patternType="none"/>
      </fill>
    </dxf>
    <dxf>
      <font>
        <color rgb="FFFF0000"/>
      </font>
      <fill>
        <patternFill patternType="none"/>
      </fill>
    </dxf>
    <dxf>
      <font>
        <color theme="1"/>
      </font>
      <fill>
        <patternFill patternType="none"/>
      </fill>
    </dxf>
    <dxf>
      <font>
        <color rgb="FFFF0000"/>
      </font>
      <fill>
        <patternFill patternType="none"/>
      </fill>
    </dxf>
    <dxf>
      <font>
        <color theme="1"/>
      </font>
      <fill>
        <patternFill patternType="none"/>
      </fill>
    </dxf>
    <dxf>
      <font>
        <color rgb="FFFF0000"/>
      </font>
      <fill>
        <patternFill patternType="none"/>
      </fill>
    </dxf>
    <dxf>
      <font>
        <color theme="1"/>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rgb="FF0066FF"/>
        <name val="Cambria"/>
      </font>
      <fill>
        <patternFill patternType="none"/>
      </fill>
    </dxf>
    <dxf>
      <font>
        <color rgb="FFFF0000"/>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ont>
        <color theme="1"/>
      </font>
      <fill>
        <patternFill patternType="none"/>
      </fill>
    </dxf>
    <dxf>
      <fill>
        <patternFill>
          <bgColor rgb="FFFFCC00"/>
        </patternFill>
      </fill>
    </dxf>
    <dxf>
      <font>
        <color theme="1"/>
      </font>
      <fill>
        <patternFill patternType="none"/>
      </fill>
    </dxf>
    <dxf>
      <font>
        <color rgb="FFFF0000"/>
      </font>
      <fill>
        <patternFill patternType="none"/>
      </fill>
    </dxf>
    <dxf>
      <fill>
        <patternFill>
          <fgColor auto="1"/>
          <bgColor rgb="FFFFC000"/>
        </patternFill>
      </fill>
    </dxf>
    <dxf>
      <font>
        <color rgb="FFFF0000"/>
      </font>
      <fill>
        <patternFill patternType="none"/>
      </fill>
    </dxf>
    <dxf>
      <font>
        <color theme="1"/>
      </font>
      <fill>
        <patternFill patternType="none"/>
      </fill>
    </dxf>
    <dxf>
      <font>
        <color auto="1"/>
      </font>
      <fill>
        <patternFill patternType="solid">
          <bgColor rgb="FFFFFF00"/>
        </patternFill>
      </fill>
    </dxf>
    <dxf>
      <font>
        <color rgb="FFFF0000"/>
      </font>
      <fill>
        <patternFill patternType="none"/>
      </fill>
    </dxf>
    <dxf>
      <font>
        <color theme="1"/>
      </font>
      <fill>
        <patternFill patternType="none"/>
      </fill>
    </dxf>
    <dxf>
      <font>
        <color rgb="FF0066FF"/>
        <name val="Cambria"/>
      </font>
      <fill>
        <patternFill patternType="none"/>
      </fill>
    </dxf>
    <dxf>
      <font>
        <color rgb="FFFF0000"/>
      </font>
      <fill>
        <patternFill patternType="none"/>
      </fill>
    </dxf>
    <dxf>
      <font>
        <color theme="1"/>
      </font>
      <fill>
        <patternFill patternType="none"/>
      </fill>
    </dxf>
    <dxf>
      <font>
        <color rgb="FFFF0000"/>
      </font>
      <fill>
        <patternFill patternType="none"/>
      </fill>
    </dxf>
    <dxf>
      <font>
        <color theme="1"/>
      </font>
      <fill>
        <patternFill patternType="none"/>
      </fill>
    </dxf>
    <dxf>
      <font>
        <color rgb="FFFF0000"/>
      </font>
      <fill>
        <patternFill patternType="none"/>
      </fill>
    </dxf>
    <dxf>
      <font>
        <color theme="1"/>
      </font>
      <fill>
        <patternFill patternType="none"/>
      </fill>
    </dxf>
  </dxfs>
  <tableStyles count="0" defaultTableStyle="TableStyleMedium2" defaultPivotStyle="PivotStyleLight16"/>
  <colors>
    <mruColors>
      <color rgb="FFFFCC00"/>
      <color rgb="FFFFFF99"/>
      <color rgb="FFFF9393"/>
      <color rgb="FFFF4747"/>
      <color rgb="FFFC324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3"/></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23/09/relationships/Python" Target="pyth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30480</xdr:colOff>
      <xdr:row>0</xdr:row>
      <xdr:rowOff>0</xdr:rowOff>
    </xdr:from>
    <xdr:to>
      <xdr:col>2</xdr:col>
      <xdr:colOff>38100</xdr:colOff>
      <xdr:row>0</xdr:row>
      <xdr:rowOff>476413</xdr:rowOff>
    </xdr:to>
    <xdr:pic>
      <xdr:nvPicPr>
        <xdr:cNvPr id="2" name="Imagem 1" descr="Descrição: simbolo sp">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9560" y="0"/>
          <a:ext cx="434340" cy="476413"/>
        </a:xfrm>
        <a:prstGeom prst="rect">
          <a:avLst/>
        </a:prstGeom>
        <a:noFill/>
        <a:ln>
          <a:noFill/>
        </a:ln>
      </xdr:spPr>
    </xdr:pic>
    <xdr:clientData/>
  </xdr:twoCellAnchor>
  <xdr:twoCellAnchor>
    <xdr:from>
      <xdr:col>8</xdr:col>
      <xdr:colOff>190500</xdr:colOff>
      <xdr:row>1</xdr:row>
      <xdr:rowOff>99060</xdr:rowOff>
    </xdr:from>
    <xdr:to>
      <xdr:col>9</xdr:col>
      <xdr:colOff>22860</xdr:colOff>
      <xdr:row>1</xdr:row>
      <xdr:rowOff>198120</xdr:rowOff>
    </xdr:to>
    <xdr:sp macro="" textlink="Historico!F3">
      <xdr:nvSpPr>
        <xdr:cNvPr id="3" name="Retângulo 2">
          <a:extLst>
            <a:ext uri="{FF2B5EF4-FFF2-40B4-BE49-F238E27FC236}">
              <a16:creationId xmlns:a16="http://schemas.microsoft.com/office/drawing/2014/main" id="{00000000-0008-0000-0000-000003000000}"/>
            </a:ext>
          </a:extLst>
        </xdr:cNvPr>
        <xdr:cNvSpPr/>
      </xdr:nvSpPr>
      <xdr:spPr>
        <a:xfrm>
          <a:off x="7520940" y="601980"/>
          <a:ext cx="914400" cy="990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0E50FF6-B18A-42DB-BF56-4513D2B385AF}" type="TxLink">
            <a:rPr lang="en-US" sz="1000" b="1" i="0" u="none" strike="noStrike">
              <a:solidFill>
                <a:schemeClr val="bg1"/>
              </a:solidFill>
              <a:latin typeface="Arial"/>
              <a:cs typeface="Arial"/>
            </a:rPr>
            <a:pPr algn="ctr"/>
            <a:t>Versão 2.13</a:t>
          </a:fld>
          <a:endParaRPr lang="en-US" sz="800">
            <a:solidFill>
              <a:schemeClr val="bg1"/>
            </a:solidFill>
          </a:endParaRPr>
        </a:p>
      </xdr:txBody>
    </xdr:sp>
    <xdr:clientData/>
  </xdr:twoCellAnchor>
  <xdr:twoCellAnchor editAs="oneCell">
    <xdr:from>
      <xdr:col>8</xdr:col>
      <xdr:colOff>114300</xdr:colOff>
      <xdr:row>0</xdr:row>
      <xdr:rowOff>76200</xdr:rowOff>
    </xdr:from>
    <xdr:to>
      <xdr:col>8</xdr:col>
      <xdr:colOff>1023149</xdr:colOff>
      <xdr:row>0</xdr:row>
      <xdr:rowOff>372455</xdr:rowOff>
    </xdr:to>
    <xdr:pic>
      <xdr:nvPicPr>
        <xdr:cNvPr id="4" name="Imagem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7444740" y="76200"/>
          <a:ext cx="908849" cy="29625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0</xdr:colOff>
          <xdr:row>0</xdr:row>
          <xdr:rowOff>133350</xdr:rowOff>
        </xdr:from>
        <xdr:to>
          <xdr:col>4</xdr:col>
          <xdr:colOff>0</xdr:colOff>
          <xdr:row>0</xdr:row>
          <xdr:rowOff>400050</xdr:rowOff>
        </xdr:to>
        <xdr:sp macro="" textlink="">
          <xdr:nvSpPr>
            <xdr:cNvPr id="6146" name="Button 1177"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Limpar Resumo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819150</xdr:colOff>
          <xdr:row>0</xdr:row>
          <xdr:rowOff>133350</xdr:rowOff>
        </xdr:from>
        <xdr:to>
          <xdr:col>6</xdr:col>
          <xdr:colOff>800100</xdr:colOff>
          <xdr:row>0</xdr:row>
          <xdr:rowOff>400050</xdr:rowOff>
        </xdr:to>
        <xdr:sp macro="" textlink="">
          <xdr:nvSpPr>
            <xdr:cNvPr id="6147" name="Button 1177"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Limpar Contagem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30480</xdr:colOff>
      <xdr:row>0</xdr:row>
      <xdr:rowOff>0</xdr:rowOff>
    </xdr:from>
    <xdr:to>
      <xdr:col>1</xdr:col>
      <xdr:colOff>464820</xdr:colOff>
      <xdr:row>0</xdr:row>
      <xdr:rowOff>476413</xdr:rowOff>
    </xdr:to>
    <xdr:pic>
      <xdr:nvPicPr>
        <xdr:cNvPr id="2" name="Imagem 1" descr="Descrição: simbolo sp">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9560" y="0"/>
          <a:ext cx="434340" cy="476413"/>
        </a:xfrm>
        <a:prstGeom prst="rect">
          <a:avLst/>
        </a:prstGeom>
        <a:noFill/>
        <a:ln>
          <a:noFill/>
        </a:ln>
      </xdr:spPr>
    </xdr:pic>
    <xdr:clientData/>
  </xdr:twoCellAnchor>
  <xdr:twoCellAnchor editAs="oneCell">
    <xdr:from>
      <xdr:col>45</xdr:col>
      <xdr:colOff>1348740</xdr:colOff>
      <xdr:row>0</xdr:row>
      <xdr:rowOff>106680</xdr:rowOff>
    </xdr:from>
    <xdr:to>
      <xdr:col>46</xdr:col>
      <xdr:colOff>164</xdr:colOff>
      <xdr:row>0</xdr:row>
      <xdr:rowOff>402935</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24856440" y="106680"/>
          <a:ext cx="908849" cy="296255"/>
        </a:xfrm>
        <a:prstGeom prst="rect">
          <a:avLst/>
        </a:prstGeom>
      </xdr:spPr>
    </xdr:pic>
    <xdr:clientData/>
  </xdr:twoCellAnchor>
  <xdr:twoCellAnchor>
    <xdr:from>
      <xdr:col>45</xdr:col>
      <xdr:colOff>1417320</xdr:colOff>
      <xdr:row>1</xdr:row>
      <xdr:rowOff>114300</xdr:rowOff>
    </xdr:from>
    <xdr:to>
      <xdr:col>46</xdr:col>
      <xdr:colOff>15240</xdr:colOff>
      <xdr:row>1</xdr:row>
      <xdr:rowOff>213360</xdr:rowOff>
    </xdr:to>
    <xdr:sp macro="" textlink="Historico!F3">
      <xdr:nvSpPr>
        <xdr:cNvPr id="5" name="Retângulo 4">
          <a:extLst>
            <a:ext uri="{FF2B5EF4-FFF2-40B4-BE49-F238E27FC236}">
              <a16:creationId xmlns:a16="http://schemas.microsoft.com/office/drawing/2014/main" id="{00000000-0008-0000-0200-000005000000}"/>
            </a:ext>
          </a:extLst>
        </xdr:cNvPr>
        <xdr:cNvSpPr/>
      </xdr:nvSpPr>
      <xdr:spPr>
        <a:xfrm>
          <a:off x="24925020" y="617220"/>
          <a:ext cx="914400" cy="990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0E50FF6-B18A-42DB-BF56-4513D2B385AF}" type="TxLink">
            <a:rPr lang="en-US" sz="1000" b="1" i="0" u="none" strike="noStrike">
              <a:solidFill>
                <a:schemeClr val="bg1"/>
              </a:solidFill>
              <a:latin typeface="Arial"/>
              <a:cs typeface="Arial"/>
            </a:rPr>
            <a:pPr algn="ctr"/>
            <a:t>Versão 2.13</a:t>
          </a:fld>
          <a:endParaRPr lang="en-US" sz="8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0</xdr:row>
      <xdr:rowOff>0</xdr:rowOff>
    </xdr:from>
    <xdr:to>
      <xdr:col>1</xdr:col>
      <xdr:colOff>541020</xdr:colOff>
      <xdr:row>0</xdr:row>
      <xdr:rowOff>476413</xdr:rowOff>
    </xdr:to>
    <xdr:pic>
      <xdr:nvPicPr>
        <xdr:cNvPr id="2" name="Imagem 1" descr="Descrição: simbolo sp">
          <a:extLst>
            <a:ext uri="{FF2B5EF4-FFF2-40B4-BE49-F238E27FC236}">
              <a16:creationId xmlns:a16="http://schemas.microsoft.com/office/drawing/2014/main" id="{550A1B60-9BEB-4912-A0BD-49AD1B45165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 y="0"/>
          <a:ext cx="434340" cy="476413"/>
        </a:xfrm>
        <a:prstGeom prst="rect">
          <a:avLst/>
        </a:prstGeom>
        <a:noFill/>
        <a:ln>
          <a:noFill/>
        </a:ln>
      </xdr:spPr>
    </xdr:pic>
    <xdr:clientData/>
  </xdr:twoCellAnchor>
  <xdr:twoCellAnchor editAs="oneCell">
    <xdr:from>
      <xdr:col>30</xdr:col>
      <xdr:colOff>243840</xdr:colOff>
      <xdr:row>0</xdr:row>
      <xdr:rowOff>30480</xdr:rowOff>
    </xdr:from>
    <xdr:to>
      <xdr:col>31</xdr:col>
      <xdr:colOff>550709</xdr:colOff>
      <xdr:row>0</xdr:row>
      <xdr:rowOff>326735</xdr:rowOff>
    </xdr:to>
    <xdr:pic>
      <xdr:nvPicPr>
        <xdr:cNvPr id="3" name="Imagem 2">
          <a:extLst>
            <a:ext uri="{FF2B5EF4-FFF2-40B4-BE49-F238E27FC236}">
              <a16:creationId xmlns:a16="http://schemas.microsoft.com/office/drawing/2014/main" id="{31C2F18E-1AF1-4C24-B823-6E1E1C3163FF}"/>
            </a:ext>
          </a:extLst>
        </xdr:cNvPr>
        <xdr:cNvPicPr>
          <a:picLocks noChangeAspect="1"/>
        </xdr:cNvPicPr>
      </xdr:nvPicPr>
      <xdr:blipFill>
        <a:blip xmlns:r="http://schemas.openxmlformats.org/officeDocument/2006/relationships" r:embed="rId2"/>
        <a:stretch>
          <a:fillRect/>
        </a:stretch>
      </xdr:blipFill>
      <xdr:spPr>
        <a:xfrm>
          <a:off x="12862560" y="30480"/>
          <a:ext cx="908849" cy="29625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180975</xdr:colOff>
          <xdr:row>0</xdr:row>
          <xdr:rowOff>161925</xdr:rowOff>
        </xdr:from>
        <xdr:to>
          <xdr:col>6</xdr:col>
          <xdr:colOff>123825</xdr:colOff>
          <xdr:row>0</xdr:row>
          <xdr:rowOff>419100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Copiar Faturamento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9525</xdr:colOff>
          <xdr:row>0</xdr:row>
          <xdr:rowOff>161925</xdr:rowOff>
        </xdr:from>
        <xdr:to>
          <xdr:col>14</xdr:col>
          <xdr:colOff>114300</xdr:colOff>
          <xdr:row>0</xdr:row>
          <xdr:rowOff>419100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Copiar Sumário por Fase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0</xdr:row>
          <xdr:rowOff>161925</xdr:rowOff>
        </xdr:from>
        <xdr:to>
          <xdr:col>20</xdr:col>
          <xdr:colOff>285750</xdr:colOff>
          <xdr:row>0</xdr:row>
          <xdr:rowOff>419100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ea typeface="Calibri"/>
                  <a:cs typeface="Calibri"/>
                </a:rPr>
                <a:t>Autopreenchimento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434340</xdr:colOff>
      <xdr:row>0</xdr:row>
      <xdr:rowOff>476413</xdr:rowOff>
    </xdr:to>
    <xdr:pic>
      <xdr:nvPicPr>
        <xdr:cNvPr id="2" name="Imagem 1" descr="Descrição: simbolo sp">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9080" y="0"/>
          <a:ext cx="434340" cy="476413"/>
        </a:xfrm>
        <a:prstGeom prst="rect">
          <a:avLst/>
        </a:prstGeom>
        <a:noFill/>
        <a:ln>
          <a:noFill/>
        </a:ln>
      </xdr:spPr>
    </xdr:pic>
    <xdr:clientData/>
  </xdr:twoCellAnchor>
  <xdr:twoCellAnchor editAs="oneCell">
    <xdr:from>
      <xdr:col>2</xdr:col>
      <xdr:colOff>7086600</xdr:colOff>
      <xdr:row>0</xdr:row>
      <xdr:rowOff>129540</xdr:rowOff>
    </xdr:from>
    <xdr:to>
      <xdr:col>4</xdr:col>
      <xdr:colOff>367829</xdr:colOff>
      <xdr:row>0</xdr:row>
      <xdr:rowOff>425795</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907780" y="129540"/>
          <a:ext cx="908849" cy="296255"/>
        </a:xfrm>
        <a:prstGeom prst="rect">
          <a:avLst/>
        </a:prstGeom>
      </xdr:spPr>
    </xdr:pic>
    <xdr:clientData/>
  </xdr:twoCellAnchor>
  <xdr:twoCellAnchor>
    <xdr:from>
      <xdr:col>3</xdr:col>
      <xdr:colOff>7620</xdr:colOff>
      <xdr:row>1</xdr:row>
      <xdr:rowOff>91440</xdr:rowOff>
    </xdr:from>
    <xdr:to>
      <xdr:col>7</xdr:col>
      <xdr:colOff>38100</xdr:colOff>
      <xdr:row>1</xdr:row>
      <xdr:rowOff>190500</xdr:rowOff>
    </xdr:to>
    <xdr:sp macro="" textlink="Historico!F3">
      <xdr:nvSpPr>
        <xdr:cNvPr id="4" name="Retângulo 3">
          <a:extLst>
            <a:ext uri="{FF2B5EF4-FFF2-40B4-BE49-F238E27FC236}">
              <a16:creationId xmlns:a16="http://schemas.microsoft.com/office/drawing/2014/main" id="{00000000-0008-0000-0300-000004000000}"/>
            </a:ext>
          </a:extLst>
        </xdr:cNvPr>
        <xdr:cNvSpPr/>
      </xdr:nvSpPr>
      <xdr:spPr>
        <a:xfrm>
          <a:off x="9014460" y="594360"/>
          <a:ext cx="914400" cy="990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0E50FF6-B18A-42DB-BF56-4513D2B385AF}" type="TxLink">
            <a:rPr lang="en-US" sz="1000" b="1" i="0" u="none" strike="noStrike">
              <a:solidFill>
                <a:schemeClr val="bg1"/>
              </a:solidFill>
              <a:latin typeface="Arial"/>
              <a:cs typeface="Arial"/>
            </a:rPr>
            <a:pPr algn="ctr"/>
            <a:t>Versão 2.13</a:t>
          </a:fld>
          <a:endParaRPr lang="en-US" sz="8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434340</xdr:colOff>
      <xdr:row>0</xdr:row>
      <xdr:rowOff>476413</xdr:rowOff>
    </xdr:to>
    <xdr:pic>
      <xdr:nvPicPr>
        <xdr:cNvPr id="2" name="Imagem 1" descr="Descrição: simbolo sp">
          <a:extLst>
            <a:ext uri="{FF2B5EF4-FFF2-40B4-BE49-F238E27FC236}">
              <a16:creationId xmlns:a16="http://schemas.microsoft.com/office/drawing/2014/main" id="{38841121-4D1E-46B7-A5C3-D98CBDEB29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9080" y="0"/>
          <a:ext cx="434340" cy="476413"/>
        </a:xfrm>
        <a:prstGeom prst="rect">
          <a:avLst/>
        </a:prstGeom>
        <a:noFill/>
        <a:ln>
          <a:noFill/>
        </a:ln>
      </xdr:spPr>
    </xdr:pic>
    <xdr:clientData/>
  </xdr:twoCellAnchor>
  <xdr:twoCellAnchor editAs="oneCell">
    <xdr:from>
      <xdr:col>1</xdr:col>
      <xdr:colOff>9288780</xdr:colOff>
      <xdr:row>0</xdr:row>
      <xdr:rowOff>76200</xdr:rowOff>
    </xdr:from>
    <xdr:to>
      <xdr:col>1</xdr:col>
      <xdr:colOff>10045229</xdr:colOff>
      <xdr:row>0</xdr:row>
      <xdr:rowOff>372455</xdr:rowOff>
    </xdr:to>
    <xdr:pic>
      <xdr:nvPicPr>
        <xdr:cNvPr id="3" name="Imagem 2">
          <a:extLst>
            <a:ext uri="{FF2B5EF4-FFF2-40B4-BE49-F238E27FC236}">
              <a16:creationId xmlns:a16="http://schemas.microsoft.com/office/drawing/2014/main" id="{244F3026-E741-492E-8FB3-F29D077F8BAA}"/>
            </a:ext>
          </a:extLst>
        </xdr:cNvPr>
        <xdr:cNvPicPr>
          <a:picLocks noChangeAspect="1"/>
        </xdr:cNvPicPr>
      </xdr:nvPicPr>
      <xdr:blipFill>
        <a:blip xmlns:r="http://schemas.openxmlformats.org/officeDocument/2006/relationships" r:embed="rId2"/>
        <a:stretch>
          <a:fillRect/>
        </a:stretch>
      </xdr:blipFill>
      <xdr:spPr>
        <a:xfrm>
          <a:off x="9547860" y="76200"/>
          <a:ext cx="908849" cy="29625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152401</xdr:colOff>
      <xdr:row>0</xdr:row>
      <xdr:rowOff>83820</xdr:rowOff>
    </xdr:from>
    <xdr:to>
      <xdr:col>2</xdr:col>
      <xdr:colOff>190501</xdr:colOff>
      <xdr:row>0</xdr:row>
      <xdr:rowOff>710680</xdr:rowOff>
    </xdr:to>
    <xdr:pic>
      <xdr:nvPicPr>
        <xdr:cNvPr id="4" name="Imagem 3" descr="Descrição: simbolo sp">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1481" y="83820"/>
          <a:ext cx="571500" cy="626860"/>
        </a:xfrm>
        <a:prstGeom prst="rect">
          <a:avLst/>
        </a:prstGeom>
        <a:noFill/>
        <a:ln>
          <a:noFill/>
        </a:ln>
      </xdr:spPr>
    </xdr:pic>
    <xdr:clientData/>
  </xdr:twoCellAnchor>
  <xdr:twoCellAnchor editAs="oneCell">
    <xdr:from>
      <xdr:col>3</xdr:col>
      <xdr:colOff>5928360</xdr:colOff>
      <xdr:row>0</xdr:row>
      <xdr:rowOff>243841</xdr:rowOff>
    </xdr:from>
    <xdr:to>
      <xdr:col>4</xdr:col>
      <xdr:colOff>3810</xdr:colOff>
      <xdr:row>0</xdr:row>
      <xdr:rowOff>641259</xdr:rowOff>
    </xdr:to>
    <xdr:pic>
      <xdr:nvPicPr>
        <xdr:cNvPr id="5" name="Imagem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7520940" y="243841"/>
          <a:ext cx="1219200" cy="397418"/>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externalLinkPath" Target="/Users/lxbarros/OneDrive%20-%20Sefaz-SP/Documentos/=SISP_Deflatores_e_INMs"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B1:Z57"/>
  <sheetViews>
    <sheetView showGridLines="0" showRowColHeaders="0" topLeftCell="A26" zoomScale="110" zoomScaleNormal="110" workbookViewId="0">
      <selection activeCell="B42" sqref="B42:I42"/>
    </sheetView>
  </sheetViews>
  <sheetFormatPr defaultColWidth="14.42578125" defaultRowHeight="15" customHeight="1" x14ac:dyDescent="0.25"/>
  <cols>
    <col min="1" max="1" width="3.7109375" customWidth="1"/>
    <col min="2" max="2" width="6.28515625" customWidth="1"/>
    <col min="3" max="3" width="18" customWidth="1"/>
    <col min="4" max="9" width="15.7109375" customWidth="1"/>
    <col min="10" max="25" width="9.28515625" customWidth="1"/>
    <col min="26" max="26" width="9.28515625" hidden="1" customWidth="1"/>
    <col min="27" max="29" width="0" hidden="1" customWidth="1"/>
    <col min="31" max="34" width="0" hidden="1" customWidth="1"/>
  </cols>
  <sheetData>
    <row r="1" spans="2:16" ht="40.15" customHeight="1" thickBot="1" x14ac:dyDescent="0.3">
      <c r="B1" s="1"/>
      <c r="C1" s="1"/>
      <c r="D1" s="1"/>
      <c r="E1" s="1"/>
      <c r="F1" s="1"/>
      <c r="G1" s="1"/>
      <c r="H1" s="1"/>
      <c r="I1" s="2"/>
      <c r="K1" s="123"/>
      <c r="L1" s="123"/>
      <c r="M1" s="123"/>
      <c r="N1" s="123"/>
      <c r="O1" s="123"/>
      <c r="P1" s="123"/>
    </row>
    <row r="2" spans="2:16" ht="22.5" customHeight="1" x14ac:dyDescent="0.25">
      <c r="B2" s="320" t="s">
        <v>0</v>
      </c>
      <c r="C2" s="321"/>
      <c r="D2" s="321"/>
      <c r="E2" s="321"/>
      <c r="F2" s="321"/>
      <c r="G2" s="321"/>
      <c r="H2" s="321"/>
      <c r="I2" s="322"/>
      <c r="K2" s="123"/>
    </row>
    <row r="3" spans="2:16" ht="22.5" hidden="1" customHeight="1" x14ac:dyDescent="0.25">
      <c r="B3" s="136"/>
      <c r="C3" s="3"/>
      <c r="D3" s="3"/>
      <c r="E3" s="3" t="s">
        <v>1</v>
      </c>
      <c r="F3" s="3"/>
      <c r="G3" s="4" t="str">
        <f>IF(D25="Comparação PF Liquído","L","B")</f>
        <v>L</v>
      </c>
      <c r="H3" s="3" t="s">
        <v>2</v>
      </c>
      <c r="I3" s="137">
        <f>COUNTA(Contagem!C4:C136)</f>
        <v>4</v>
      </c>
      <c r="K3" s="123"/>
    </row>
    <row r="4" spans="2:16" ht="22.5" hidden="1" customHeight="1" x14ac:dyDescent="0.25">
      <c r="B4" s="136"/>
      <c r="C4" s="3"/>
      <c r="D4" s="5"/>
      <c r="E4" s="3" t="s">
        <v>3</v>
      </c>
      <c r="F4" s="3"/>
      <c r="G4" s="6">
        <v>1E-3</v>
      </c>
      <c r="H4" s="3" t="s">
        <v>4</v>
      </c>
      <c r="I4" s="137">
        <f>COUNTIFS(Contagem!V4:V136,"NOK")</f>
        <v>0</v>
      </c>
      <c r="K4" s="123"/>
    </row>
    <row r="5" spans="2:16" ht="22.5" hidden="1" customHeight="1" x14ac:dyDescent="0.25">
      <c r="B5" s="136"/>
      <c r="C5" s="3"/>
      <c r="D5" s="5"/>
      <c r="E5" s="3"/>
      <c r="F5" s="3"/>
      <c r="G5" s="6">
        <v>-1E-3</v>
      </c>
      <c r="H5" s="3" t="s">
        <v>5</v>
      </c>
      <c r="I5" s="137">
        <f>COUNTIFS(Contagem!V4:V136,"OK")</f>
        <v>0</v>
      </c>
      <c r="K5" s="123"/>
    </row>
    <row r="6" spans="2:16" ht="22.5" hidden="1" customHeight="1" x14ac:dyDescent="0.25">
      <c r="B6" s="323" t="str">
        <f>IF(AND(I3=I4,I3&gt;0,I4&gt;0),"Contagem Revisada e NÃO Aprovada",IF(OR(ISBLANK(D15),D15=0),"Aguardando auditoria da Fábrica de Software",IF(OR(ISBLANK(D22),D22=0),"Aguardando auditoria da Fábrica de Métricas",IF(OR(AND(D26&gt;=0,D26&lt;=G4),AND(D26&lt;=0,D26&gt;=G5)),"Contagem Aprovada","Contagem em Divergência"))))</f>
        <v>Aguardando auditoria da Fábrica de Métricas</v>
      </c>
      <c r="C6" s="313"/>
      <c r="D6" s="313"/>
      <c r="E6" s="313"/>
      <c r="F6" s="313"/>
      <c r="G6" s="313"/>
      <c r="H6" s="313"/>
      <c r="I6" s="324"/>
      <c r="K6" s="123"/>
    </row>
    <row r="7" spans="2:16" ht="14.25" customHeight="1" x14ac:dyDescent="0.25">
      <c r="B7" s="325" t="s">
        <v>6</v>
      </c>
      <c r="C7" s="313"/>
      <c r="D7" s="313"/>
      <c r="E7" s="313"/>
      <c r="F7" s="313"/>
      <c r="G7" s="313"/>
      <c r="H7" s="313"/>
      <c r="I7" s="324"/>
      <c r="K7" s="123"/>
    </row>
    <row r="8" spans="2:16" ht="15" customHeight="1" x14ac:dyDescent="0.25">
      <c r="B8" s="326" t="s">
        <v>7</v>
      </c>
      <c r="C8" s="299"/>
      <c r="D8" s="327"/>
      <c r="E8" s="318"/>
      <c r="F8" s="318"/>
      <c r="G8" s="318"/>
      <c r="H8" s="318"/>
      <c r="I8" s="319"/>
      <c r="K8" s="123"/>
    </row>
    <row r="9" spans="2:16" ht="15" customHeight="1" x14ac:dyDescent="0.25">
      <c r="B9" s="328" t="s">
        <v>8</v>
      </c>
      <c r="C9" s="299"/>
      <c r="D9" s="329">
        <v>370622</v>
      </c>
      <c r="E9" s="318"/>
      <c r="F9" s="318"/>
      <c r="G9" s="318"/>
      <c r="H9" s="318"/>
      <c r="I9" s="319"/>
      <c r="K9" s="123"/>
    </row>
    <row r="10" spans="2:16" ht="15" customHeight="1" x14ac:dyDescent="0.25">
      <c r="B10" s="326" t="s">
        <v>9</v>
      </c>
      <c r="C10" s="299"/>
      <c r="D10" s="329"/>
      <c r="E10" s="318"/>
      <c r="F10" s="318"/>
      <c r="G10" s="318"/>
      <c r="H10" s="318"/>
      <c r="I10" s="319"/>
    </row>
    <row r="11" spans="2:16" ht="15" customHeight="1" x14ac:dyDescent="0.25">
      <c r="B11" s="326" t="s">
        <v>10</v>
      </c>
      <c r="C11" s="299"/>
      <c r="D11" s="329"/>
      <c r="E11" s="318"/>
      <c r="F11" s="318"/>
      <c r="G11" s="318"/>
      <c r="H11" s="318"/>
      <c r="I11" s="319"/>
    </row>
    <row r="12" spans="2:16" ht="15" customHeight="1" x14ac:dyDescent="0.25">
      <c r="B12" s="326" t="s">
        <v>11</v>
      </c>
      <c r="C12" s="299"/>
      <c r="D12" s="329"/>
      <c r="E12" s="318"/>
      <c r="F12" s="318"/>
      <c r="G12" s="318"/>
      <c r="H12" s="318"/>
      <c r="I12" s="319"/>
    </row>
    <row r="13" spans="2:16" ht="15" customHeight="1" x14ac:dyDescent="0.25">
      <c r="B13" s="326" t="s">
        <v>12</v>
      </c>
      <c r="C13" s="299"/>
      <c r="D13" s="329" t="s">
        <v>387</v>
      </c>
      <c r="E13" s="318"/>
      <c r="F13" s="318"/>
      <c r="G13" s="318"/>
      <c r="H13" s="318"/>
      <c r="I13" s="319"/>
    </row>
    <row r="14" spans="2:16" ht="15" customHeight="1" x14ac:dyDescent="0.25">
      <c r="B14" s="326" t="s">
        <v>13</v>
      </c>
      <c r="C14" s="299"/>
      <c r="D14" s="135">
        <v>46151</v>
      </c>
      <c r="E14" s="135"/>
      <c r="F14" s="135"/>
      <c r="G14" s="135"/>
      <c r="H14" s="135"/>
      <c r="I14" s="138"/>
    </row>
    <row r="15" spans="2:16" ht="15" customHeight="1" x14ac:dyDescent="0.25">
      <c r="B15" s="326" t="s">
        <v>14</v>
      </c>
      <c r="C15" s="299"/>
      <c r="D15" s="7">
        <f>SUM(Contagem!S4:S941)</f>
        <v>5.7999999999999989</v>
      </c>
      <c r="E15" s="330" t="s">
        <v>15</v>
      </c>
      <c r="F15" s="299"/>
      <c r="G15" s="331">
        <f>SUM(Contagem!T4:T941)</f>
        <v>4.2</v>
      </c>
      <c r="H15" s="313"/>
      <c r="I15" s="324"/>
    </row>
    <row r="16" spans="2:16" ht="15" customHeight="1" x14ac:dyDescent="0.25">
      <c r="B16" s="339"/>
      <c r="C16" s="304"/>
      <c r="D16" s="332"/>
      <c r="E16" s="301"/>
      <c r="F16" s="301"/>
      <c r="G16" s="301"/>
      <c r="H16" s="301"/>
      <c r="I16" s="302"/>
    </row>
    <row r="17" spans="2:9" ht="15.75" customHeight="1" x14ac:dyDescent="0.25">
      <c r="B17" s="325" t="s">
        <v>16</v>
      </c>
      <c r="C17" s="313"/>
      <c r="D17" s="313"/>
      <c r="E17" s="313"/>
      <c r="F17" s="313"/>
      <c r="G17" s="313"/>
      <c r="H17" s="313"/>
      <c r="I17" s="324"/>
    </row>
    <row r="18" spans="2:9" ht="15" customHeight="1" x14ac:dyDescent="0.25">
      <c r="B18" s="340" t="s">
        <v>7</v>
      </c>
      <c r="C18" s="338"/>
      <c r="D18" s="327"/>
      <c r="E18" s="318"/>
      <c r="F18" s="318"/>
      <c r="G18" s="318"/>
      <c r="H18" s="318"/>
      <c r="I18" s="319"/>
    </row>
    <row r="19" spans="2:9" ht="15" customHeight="1" x14ac:dyDescent="0.25">
      <c r="B19" s="326" t="s">
        <v>17</v>
      </c>
      <c r="C19" s="299"/>
      <c r="D19" s="327"/>
      <c r="E19" s="318"/>
      <c r="F19" s="318"/>
      <c r="G19" s="318"/>
      <c r="H19" s="318"/>
      <c r="I19" s="319"/>
    </row>
    <row r="20" spans="2:9" ht="15" customHeight="1" x14ac:dyDescent="0.25">
      <c r="B20" s="328" t="s">
        <v>18</v>
      </c>
      <c r="C20" s="299"/>
      <c r="D20" s="327"/>
      <c r="E20" s="318"/>
      <c r="F20" s="318"/>
      <c r="G20" s="318"/>
      <c r="H20" s="318"/>
      <c r="I20" s="319"/>
    </row>
    <row r="21" spans="2:9" ht="15" customHeight="1" x14ac:dyDescent="0.25">
      <c r="B21" s="328" t="s">
        <v>13</v>
      </c>
      <c r="C21" s="299"/>
      <c r="D21" s="135"/>
      <c r="E21" s="135"/>
      <c r="F21" s="135"/>
      <c r="G21" s="135"/>
      <c r="H21" s="135"/>
      <c r="I21" s="138"/>
    </row>
    <row r="22" spans="2:9" ht="15" customHeight="1" x14ac:dyDescent="0.25">
      <c r="B22" s="328" t="s">
        <v>14</v>
      </c>
      <c r="C22" s="299"/>
      <c r="D22" s="7">
        <f>SUM(Contagem!AK4:AK941)</f>
        <v>0</v>
      </c>
      <c r="E22" s="330" t="s">
        <v>15</v>
      </c>
      <c r="F22" s="299"/>
      <c r="G22" s="331">
        <f>SUM(Contagem!AL4:AL941)</f>
        <v>0</v>
      </c>
      <c r="H22" s="313"/>
      <c r="I22" s="324"/>
    </row>
    <row r="23" spans="2:9" ht="15" customHeight="1" x14ac:dyDescent="0.25">
      <c r="B23" s="339"/>
      <c r="C23" s="304"/>
      <c r="D23" s="332"/>
      <c r="E23" s="301"/>
      <c r="F23" s="301"/>
      <c r="G23" s="301"/>
      <c r="H23" s="301"/>
      <c r="I23" s="302"/>
    </row>
    <row r="24" spans="2:9" ht="14.25" customHeight="1" x14ac:dyDescent="0.25">
      <c r="B24" s="333" t="s">
        <v>19</v>
      </c>
      <c r="C24" s="313"/>
      <c r="D24" s="313"/>
      <c r="E24" s="313"/>
      <c r="F24" s="313"/>
      <c r="G24" s="313"/>
      <c r="H24" s="313"/>
      <c r="I24" s="324"/>
    </row>
    <row r="25" spans="2:9" ht="15" customHeight="1" x14ac:dyDescent="0.25">
      <c r="B25" s="337" t="s">
        <v>20</v>
      </c>
      <c r="C25" s="338"/>
      <c r="D25" s="334" t="s">
        <v>21</v>
      </c>
      <c r="E25" s="335"/>
      <c r="F25" s="335"/>
      <c r="G25" s="335"/>
      <c r="H25" s="335"/>
      <c r="I25" s="336"/>
    </row>
    <row r="26" spans="2:9" ht="15" customHeight="1" x14ac:dyDescent="0.25">
      <c r="B26" s="337" t="s">
        <v>22</v>
      </c>
      <c r="C26" s="338"/>
      <c r="D26" s="9">
        <f>IFERROR(IF(G3="B",ROUND((D22-D15)/D15,4),ROUND((G22-G15)/G15,4)),0)</f>
        <v>-1</v>
      </c>
      <c r="E26" s="139"/>
      <c r="F26" s="139"/>
      <c r="G26" s="139"/>
      <c r="H26" s="139"/>
      <c r="I26" s="140"/>
    </row>
    <row r="27" spans="2:9" ht="15" customHeight="1" x14ac:dyDescent="0.25">
      <c r="B27" s="341" t="s">
        <v>23</v>
      </c>
      <c r="C27" s="338"/>
      <c r="D27" s="97" t="s">
        <v>24</v>
      </c>
      <c r="E27" s="342">
        <f>IF(B6="Aguardando auditoria da Fábrica de Software",0,IF(B6="Aguardando auditoria da Fábrica de Métricas",0,IF(B6="Contagem Aprovada",MIN(D15,D22),"Em Divergência")))</f>
        <v>0</v>
      </c>
      <c r="F27" s="299"/>
      <c r="G27" s="10" t="s">
        <v>25</v>
      </c>
      <c r="H27" s="342">
        <f>IF(B6="Aguardando auditoria da Fábrica de Software",0,IF(B6="Aguardando auditoria da Fábrica de Métricas",0,IF(B6="Contagem Aprovada",MIN(G15,G22),"Em Divergência")))</f>
        <v>0</v>
      </c>
      <c r="I27" s="324"/>
    </row>
    <row r="28" spans="2:9" ht="15" hidden="1" customHeight="1" x14ac:dyDescent="0.25">
      <c r="B28" s="141"/>
      <c r="C28" s="98"/>
      <c r="D28" s="139"/>
      <c r="E28" s="139"/>
      <c r="F28" s="139"/>
      <c r="G28" s="139"/>
      <c r="H28" s="139"/>
      <c r="I28" s="140"/>
    </row>
    <row r="29" spans="2:9" ht="14.25" hidden="1" customHeight="1" x14ac:dyDescent="0.25">
      <c r="B29" s="326" t="s">
        <v>26</v>
      </c>
      <c r="C29" s="299"/>
      <c r="D29" s="343">
        <v>19809</v>
      </c>
      <c r="E29" s="299"/>
      <c r="F29" s="11" t="s">
        <v>27</v>
      </c>
      <c r="G29" s="142"/>
      <c r="H29" s="11" t="s">
        <v>28</v>
      </c>
      <c r="I29" s="143" t="e">
        <f>IF(#REF!="x",(SUM(I34:I38)*0.75),SUM(I34:I38))</f>
        <v>#REF!</v>
      </c>
    </row>
    <row r="30" spans="2:9" ht="14.25" hidden="1" customHeight="1" x14ac:dyDescent="0.25">
      <c r="B30" s="326" t="s">
        <v>29</v>
      </c>
      <c r="C30" s="299"/>
      <c r="D30" s="344"/>
      <c r="E30" s="345"/>
      <c r="F30" s="345"/>
      <c r="G30" s="338"/>
      <c r="H30" s="12" t="s">
        <v>30</v>
      </c>
      <c r="I30" s="144">
        <v>41526</v>
      </c>
    </row>
    <row r="31" spans="2:9" ht="14.25" hidden="1" customHeight="1" x14ac:dyDescent="0.25">
      <c r="B31" s="326" t="s">
        <v>31</v>
      </c>
      <c r="C31" s="299"/>
      <c r="D31" s="343"/>
      <c r="E31" s="313"/>
      <c r="F31" s="313"/>
      <c r="G31" s="299"/>
      <c r="H31" s="12" t="s">
        <v>30</v>
      </c>
      <c r="I31" s="144"/>
    </row>
    <row r="32" spans="2:9" ht="15" hidden="1" customHeight="1" x14ac:dyDescent="0.25">
      <c r="B32" s="306" t="s">
        <v>32</v>
      </c>
      <c r="C32" s="298" t="s">
        <v>33</v>
      </c>
      <c r="D32" s="299"/>
      <c r="E32" s="99"/>
      <c r="F32" s="99"/>
      <c r="G32" s="99"/>
      <c r="H32" s="99"/>
      <c r="I32" s="145"/>
    </row>
    <row r="33" spans="2:9" ht="15" hidden="1" customHeight="1" x14ac:dyDescent="0.25">
      <c r="B33" s="307"/>
      <c r="C33" s="298" t="s">
        <v>34</v>
      </c>
      <c r="D33" s="299"/>
      <c r="E33" s="99"/>
      <c r="F33" s="99"/>
      <c r="G33" s="99"/>
      <c r="H33" s="13" t="s">
        <v>35</v>
      </c>
      <c r="I33" s="146" t="s">
        <v>36</v>
      </c>
    </row>
    <row r="34" spans="2:9" ht="14.25" hidden="1" customHeight="1" x14ac:dyDescent="0.25">
      <c r="B34" s="307"/>
      <c r="C34" s="298" t="s">
        <v>37</v>
      </c>
      <c r="D34" s="299"/>
      <c r="E34" s="99"/>
      <c r="F34" s="99"/>
      <c r="G34" s="99"/>
      <c r="H34" s="12" t="s">
        <v>38</v>
      </c>
      <c r="I34" s="147" t="e">
        <f>QuadroResumo!#REF!</f>
        <v>#REF!</v>
      </c>
    </row>
    <row r="35" spans="2:9" ht="14.25" hidden="1" customHeight="1" x14ac:dyDescent="0.25">
      <c r="B35" s="307"/>
      <c r="C35" s="298" t="s">
        <v>39</v>
      </c>
      <c r="D35" s="299"/>
      <c r="E35" s="99"/>
      <c r="F35" s="99"/>
      <c r="G35" s="99"/>
      <c r="H35" s="12" t="s">
        <v>40</v>
      </c>
      <c r="I35" s="147" t="e">
        <f>IF(#REF!="x",QuadroResumo!#REF!*0.6,QuadroResumo!#REF!)</f>
        <v>#REF!</v>
      </c>
    </row>
    <row r="36" spans="2:9" ht="14.25" hidden="1" customHeight="1" x14ac:dyDescent="0.25">
      <c r="B36" s="307"/>
      <c r="C36" s="298" t="s">
        <v>41</v>
      </c>
      <c r="D36" s="299"/>
      <c r="E36" s="99"/>
      <c r="F36" s="99"/>
      <c r="G36" s="99"/>
      <c r="H36" s="12" t="s">
        <v>42</v>
      </c>
      <c r="I36" s="147" t="e">
        <f>IF(#REF!="x",QuadroResumo!#REF!*0.4,QuadroResumo!#REF!)</f>
        <v>#REF!</v>
      </c>
    </row>
    <row r="37" spans="2:9" ht="14.25" hidden="1" customHeight="1" x14ac:dyDescent="0.25">
      <c r="B37" s="307"/>
      <c r="C37" s="298" t="s">
        <v>43</v>
      </c>
      <c r="D37" s="299"/>
      <c r="E37" s="99"/>
      <c r="F37" s="99"/>
      <c r="G37" s="99"/>
      <c r="H37" s="12" t="s">
        <v>44</v>
      </c>
      <c r="I37" s="147" t="e">
        <f>IF(#REF!="x",QuadroResumo!#REF!,(IF(#REF!="x",QuadroResumo!#REF!*0.75,0)))</f>
        <v>#REF!</v>
      </c>
    </row>
    <row r="38" spans="2:9" ht="14.25" hidden="1" customHeight="1" x14ac:dyDescent="0.25">
      <c r="B38" s="307"/>
      <c r="C38" s="298" t="s">
        <v>45</v>
      </c>
      <c r="D38" s="299"/>
      <c r="E38" s="99"/>
      <c r="F38" s="99"/>
      <c r="G38" s="99"/>
      <c r="H38" s="14" t="s">
        <v>46</v>
      </c>
      <c r="I38" s="148">
        <f>'Itens Não Mensuráveis'!E16</f>
        <v>0</v>
      </c>
    </row>
    <row r="39" spans="2:9" ht="14.25" hidden="1" customHeight="1" x14ac:dyDescent="0.25">
      <c r="B39" s="308"/>
      <c r="C39" s="298" t="s">
        <v>47</v>
      </c>
      <c r="D39" s="299"/>
      <c r="E39" s="100" t="s">
        <v>48</v>
      </c>
      <c r="F39" s="99"/>
      <c r="G39" s="99"/>
      <c r="H39" s="99"/>
      <c r="I39" s="149"/>
    </row>
    <row r="40" spans="2:9" ht="7.5" customHeight="1" x14ac:dyDescent="0.25">
      <c r="B40" s="300" t="str">
        <f>CONCATENATE(B17," = ",D22," PF")</f>
        <v>Auditoria da Contagem = 0 PF</v>
      </c>
      <c r="C40" s="301"/>
      <c r="D40" s="301"/>
      <c r="E40" s="301"/>
      <c r="F40" s="301"/>
      <c r="G40" s="301"/>
      <c r="H40" s="301"/>
      <c r="I40" s="302"/>
    </row>
    <row r="41" spans="2:9" ht="7.5" hidden="1" customHeight="1" x14ac:dyDescent="0.25">
      <c r="B41" s="300" t="e">
        <f>CONCATENATE(#REF!,":",G22," PF")</f>
        <v>#REF!</v>
      </c>
      <c r="C41" s="301"/>
      <c r="D41" s="301"/>
      <c r="E41" s="301"/>
      <c r="F41" s="301"/>
      <c r="G41" s="301"/>
      <c r="H41" s="301"/>
      <c r="I41" s="302"/>
    </row>
    <row r="42" spans="2:9" ht="7.5" customHeight="1" x14ac:dyDescent="0.25">
      <c r="B42" s="300" t="str">
        <f>CONCATENATE(B26,":",D26*100,"%")</f>
        <v xml:space="preserve">    % de Divergência:-100%</v>
      </c>
      <c r="C42" s="301"/>
      <c r="D42" s="301"/>
      <c r="E42" s="301"/>
      <c r="F42" s="301"/>
      <c r="G42" s="301"/>
      <c r="H42" s="301"/>
      <c r="I42" s="302"/>
    </row>
    <row r="43" spans="2:9" ht="14.25" customHeight="1" x14ac:dyDescent="0.25">
      <c r="B43" s="303" t="s">
        <v>49</v>
      </c>
      <c r="C43" s="304"/>
      <c r="D43" s="304"/>
      <c r="E43" s="304"/>
      <c r="F43" s="304"/>
      <c r="G43" s="304"/>
      <c r="H43" s="304"/>
      <c r="I43" s="305"/>
    </row>
    <row r="44" spans="2:9" ht="60" customHeight="1" x14ac:dyDescent="0.25">
      <c r="B44" s="309"/>
      <c r="C44" s="310"/>
      <c r="D44" s="310"/>
      <c r="E44" s="310"/>
      <c r="F44" s="310"/>
      <c r="G44" s="310"/>
      <c r="H44" s="310"/>
      <c r="I44" s="311"/>
    </row>
    <row r="45" spans="2:9" ht="14.25" customHeight="1" x14ac:dyDescent="0.25">
      <c r="B45" s="303" t="s">
        <v>50</v>
      </c>
      <c r="C45" s="304"/>
      <c r="D45" s="304"/>
      <c r="E45" s="304"/>
      <c r="F45" s="304"/>
      <c r="G45" s="304"/>
      <c r="H45" s="304"/>
      <c r="I45" s="305"/>
    </row>
    <row r="46" spans="2:9" ht="60" customHeight="1" x14ac:dyDescent="0.25">
      <c r="B46" s="309" t="s">
        <v>51</v>
      </c>
      <c r="C46" s="310"/>
      <c r="D46" s="310"/>
      <c r="E46" s="310"/>
      <c r="F46" s="310"/>
      <c r="G46" s="310"/>
      <c r="H46" s="310"/>
      <c r="I46" s="311"/>
    </row>
    <row r="47" spans="2:9" ht="14.25" customHeight="1" x14ac:dyDescent="0.25">
      <c r="B47" s="303" t="s">
        <v>52</v>
      </c>
      <c r="C47" s="304"/>
      <c r="D47" s="304"/>
      <c r="E47" s="304"/>
      <c r="F47" s="304"/>
      <c r="G47" s="304"/>
      <c r="H47" s="304"/>
      <c r="I47" s="305"/>
    </row>
    <row r="48" spans="2:9" ht="60" customHeight="1" x14ac:dyDescent="0.25">
      <c r="B48" s="309" t="s">
        <v>53</v>
      </c>
      <c r="C48" s="310"/>
      <c r="D48" s="310"/>
      <c r="E48" s="310"/>
      <c r="F48" s="310"/>
      <c r="G48" s="310"/>
      <c r="H48" s="310"/>
      <c r="I48" s="311"/>
    </row>
    <row r="49" spans="2:9" ht="14.25" customHeight="1" x14ac:dyDescent="0.25">
      <c r="B49" s="303" t="s">
        <v>54</v>
      </c>
      <c r="C49" s="304"/>
      <c r="D49" s="304"/>
      <c r="E49" s="304"/>
      <c r="F49" s="304"/>
      <c r="G49" s="304"/>
      <c r="H49" s="304"/>
      <c r="I49" s="305"/>
    </row>
    <row r="50" spans="2:9" ht="60" customHeight="1" x14ac:dyDescent="0.25">
      <c r="B50" s="309" t="s">
        <v>55</v>
      </c>
      <c r="C50" s="310"/>
      <c r="D50" s="310"/>
      <c r="E50" s="310"/>
      <c r="F50" s="310"/>
      <c r="G50" s="310"/>
      <c r="H50" s="310"/>
      <c r="I50" s="311"/>
    </row>
    <row r="51" spans="2:9" ht="14.25" customHeight="1" x14ac:dyDescent="0.25">
      <c r="B51" s="303" t="s">
        <v>56</v>
      </c>
      <c r="C51" s="304"/>
      <c r="D51" s="304"/>
      <c r="E51" s="304"/>
      <c r="F51" s="304"/>
      <c r="G51" s="304"/>
      <c r="H51" s="304"/>
      <c r="I51" s="305"/>
    </row>
    <row r="52" spans="2:9" ht="14.25" customHeight="1" x14ac:dyDescent="0.25">
      <c r="B52" s="312" t="s">
        <v>57</v>
      </c>
      <c r="C52" s="313"/>
      <c r="D52" s="317"/>
      <c r="E52" s="318"/>
      <c r="F52" s="318"/>
      <c r="G52" s="318"/>
      <c r="H52" s="318"/>
      <c r="I52" s="319"/>
    </row>
    <row r="53" spans="2:9" ht="14.25" customHeight="1" x14ac:dyDescent="0.25">
      <c r="B53" s="312" t="s">
        <v>58</v>
      </c>
      <c r="C53" s="313"/>
      <c r="D53" s="317"/>
      <c r="E53" s="318"/>
      <c r="F53" s="318"/>
      <c r="G53" s="318"/>
      <c r="H53" s="318"/>
      <c r="I53" s="319"/>
    </row>
    <row r="54" spans="2:9" ht="14.25" customHeight="1" x14ac:dyDescent="0.25">
      <c r="B54" s="303" t="s">
        <v>59</v>
      </c>
      <c r="C54" s="304"/>
      <c r="D54" s="304"/>
      <c r="E54" s="304"/>
      <c r="F54" s="304"/>
      <c r="G54" s="304"/>
      <c r="H54" s="304"/>
      <c r="I54" s="305"/>
    </row>
    <row r="55" spans="2:9" ht="60" customHeight="1" x14ac:dyDescent="0.25">
      <c r="B55" s="309"/>
      <c r="C55" s="310"/>
      <c r="D55" s="310"/>
      <c r="E55" s="310"/>
      <c r="F55" s="310"/>
      <c r="G55" s="310"/>
      <c r="H55" s="310"/>
      <c r="I55" s="311"/>
    </row>
    <row r="56" spans="2:9" ht="14.25" customHeight="1" x14ac:dyDescent="0.25">
      <c r="B56" s="303" t="s">
        <v>60</v>
      </c>
      <c r="C56" s="304"/>
      <c r="D56" s="304"/>
      <c r="E56" s="304"/>
      <c r="F56" s="304"/>
      <c r="G56" s="304"/>
      <c r="H56" s="304"/>
      <c r="I56" s="305"/>
    </row>
    <row r="57" spans="2:9" ht="60" customHeight="1" thickBot="1" x14ac:dyDescent="0.3">
      <c r="B57" s="314" t="s">
        <v>61</v>
      </c>
      <c r="C57" s="315"/>
      <c r="D57" s="315"/>
      <c r="E57" s="315"/>
      <c r="F57" s="315"/>
      <c r="G57" s="315"/>
      <c r="H57" s="315"/>
      <c r="I57" s="316"/>
    </row>
  </sheetData>
  <sheetProtection algorithmName="SHA-512" hashValue="XubCs1087r2s+8kyu8Dmzxu2sDKzvnWBSexIMoLq7TdoA+YUmaC2p2gcG3L6VUwzZAEn0xLbp+TyyIrO5cz5Ew==" saltValue="lUjNZ+DPo2kN6y07OfjK4A==" spinCount="100000" sheet="1" objects="1" scenarios="1"/>
  <mergeCells count="76">
    <mergeCell ref="B30:C30"/>
    <mergeCell ref="D30:G30"/>
    <mergeCell ref="B31:C31"/>
    <mergeCell ref="D31:G31"/>
    <mergeCell ref="C32:D32"/>
    <mergeCell ref="B26:C26"/>
    <mergeCell ref="B27:C27"/>
    <mergeCell ref="E27:F27"/>
    <mergeCell ref="H27:I27"/>
    <mergeCell ref="D29:E29"/>
    <mergeCell ref="B29:C29"/>
    <mergeCell ref="D25:I25"/>
    <mergeCell ref="B13:C13"/>
    <mergeCell ref="B14:C14"/>
    <mergeCell ref="B15:C15"/>
    <mergeCell ref="E15:F15"/>
    <mergeCell ref="G15:I15"/>
    <mergeCell ref="D16:I16"/>
    <mergeCell ref="B17:I17"/>
    <mergeCell ref="B25:C25"/>
    <mergeCell ref="B16:C16"/>
    <mergeCell ref="B18:C18"/>
    <mergeCell ref="B19:C19"/>
    <mergeCell ref="B20:C20"/>
    <mergeCell ref="B21:C21"/>
    <mergeCell ref="B22:C22"/>
    <mergeCell ref="B23:C23"/>
    <mergeCell ref="D20:I20"/>
    <mergeCell ref="E22:F22"/>
    <mergeCell ref="G22:I22"/>
    <mergeCell ref="D23:I23"/>
    <mergeCell ref="B24:I24"/>
    <mergeCell ref="B12:C12"/>
    <mergeCell ref="D12:I12"/>
    <mergeCell ref="D13:I13"/>
    <mergeCell ref="D18:I18"/>
    <mergeCell ref="D19:I19"/>
    <mergeCell ref="B9:C9"/>
    <mergeCell ref="D9:I9"/>
    <mergeCell ref="B10:C10"/>
    <mergeCell ref="D10:I10"/>
    <mergeCell ref="B11:C11"/>
    <mergeCell ref="D11:I11"/>
    <mergeCell ref="B2:I2"/>
    <mergeCell ref="B6:I6"/>
    <mergeCell ref="B7:I7"/>
    <mergeCell ref="B8:C8"/>
    <mergeCell ref="D8:I8"/>
    <mergeCell ref="B57:I57"/>
    <mergeCell ref="B48:I48"/>
    <mergeCell ref="B49:I49"/>
    <mergeCell ref="B50:I50"/>
    <mergeCell ref="B51:I51"/>
    <mergeCell ref="B52:C52"/>
    <mergeCell ref="D52:I52"/>
    <mergeCell ref="D53:I53"/>
    <mergeCell ref="B54:I54"/>
    <mergeCell ref="B55:I55"/>
    <mergeCell ref="B56:I56"/>
    <mergeCell ref="B44:I44"/>
    <mergeCell ref="B45:I45"/>
    <mergeCell ref="B46:I46"/>
    <mergeCell ref="B47:I47"/>
    <mergeCell ref="B53:C53"/>
    <mergeCell ref="C39:D39"/>
    <mergeCell ref="B40:I40"/>
    <mergeCell ref="B41:I41"/>
    <mergeCell ref="B42:I42"/>
    <mergeCell ref="B43:I43"/>
    <mergeCell ref="B32:B39"/>
    <mergeCell ref="C33:D33"/>
    <mergeCell ref="C34:D34"/>
    <mergeCell ref="C35:D35"/>
    <mergeCell ref="C36:D36"/>
    <mergeCell ref="C37:D37"/>
    <mergeCell ref="C38:D38"/>
  </mergeCells>
  <conditionalFormatting sqref="B6">
    <cfRule type="expression" dxfId="8" priority="1">
      <formula>$B$6="Contagem em Divergência"</formula>
    </cfRule>
    <cfRule type="expression" dxfId="7" priority="2">
      <formula>$B$6="Contagem Aprovada"</formula>
    </cfRule>
  </conditionalFormatting>
  <dataValidations count="2">
    <dataValidation type="list" allowBlank="1" showErrorMessage="1" sqref="D25" xr:uid="{00000000-0002-0000-0000-000000000000}">
      <formula1>"Comparação PF Bruto,Comparação PF Liquído"</formula1>
    </dataValidation>
    <dataValidation type="list" allowBlank="1" showErrorMessage="1" sqref="D13:I13" xr:uid="{9846820B-4225-4069-8816-D4B420207D92}">
      <formula1>"Contagem Estimada,Contagem Detalhada, Contagem Simplificada"</formula1>
    </dataValidation>
  </dataValidations>
  <pageMargins left="0.51181102362204722" right="0.51181102362204722" top="1.0416666666666667" bottom="0.78740157480314965" header="0" footer="0"/>
  <pageSetup paperSize="9" orientation="portrait" r:id="rId1"/>
  <headerFooter>
    <oddFooter>&amp;LVersão 6.2</oddFooter>
  </headerFooter>
  <rowBreaks count="1" manualBreakCount="1">
    <brk id="50" man="1"/>
  </rowBreaks>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1177">
              <controlPr defaultSize="0" print="0" autoFill="0" autoPict="0" macro="[0]!LimparResumo">
                <anchor>
                  <from>
                    <xdr:col>3</xdr:col>
                    <xdr:colOff>0</xdr:colOff>
                    <xdr:row>0</xdr:row>
                    <xdr:rowOff>133350</xdr:rowOff>
                  </from>
                  <to>
                    <xdr:col>4</xdr:col>
                    <xdr:colOff>0</xdr:colOff>
                    <xdr:row>0</xdr:row>
                    <xdr:rowOff>400050</xdr:rowOff>
                  </to>
                </anchor>
              </controlPr>
            </control>
          </mc:Choice>
        </mc:AlternateContent>
        <mc:AlternateContent xmlns:mc="http://schemas.openxmlformats.org/markup-compatibility/2006">
          <mc:Choice Requires="x14">
            <control shapeId="6147" r:id="rId5" name="Button 1177">
              <controlPr defaultSize="0" print="0" autoFill="0" autoPict="0" macro="[0]!LimparContagem">
                <anchor>
                  <from>
                    <xdr:col>5</xdr:col>
                    <xdr:colOff>819150</xdr:colOff>
                    <xdr:row>0</xdr:row>
                    <xdr:rowOff>133350</xdr:rowOff>
                  </from>
                  <to>
                    <xdr:col>6</xdr:col>
                    <xdr:colOff>800100</xdr:colOff>
                    <xdr:row>0</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V942"/>
  <sheetViews>
    <sheetView showGridLines="0" showRowColHeaders="0" zoomScaleNormal="100" workbookViewId="0">
      <pane ySplit="3" topLeftCell="A4" activePane="bottomLeft" state="frozen"/>
      <selection activeCell="D1" sqref="D1"/>
      <selection pane="bottomLeft" activeCell="T4" sqref="T4"/>
    </sheetView>
  </sheetViews>
  <sheetFormatPr defaultColWidth="8.85546875" defaultRowHeight="15" customHeight="1" x14ac:dyDescent="0.25"/>
  <cols>
    <col min="1" max="1" width="3.7109375" style="202" customWidth="1"/>
    <col min="2" max="2" width="7" style="123" customWidth="1"/>
    <col min="3" max="3" width="48.7109375" style="123" customWidth="1"/>
    <col min="4" max="4" width="5.7109375" style="236" customWidth="1"/>
    <col min="5" max="5" width="9.7109375" style="123" customWidth="1"/>
    <col min="6" max="6" width="5.28515625" style="123" customWidth="1"/>
    <col min="7" max="7" width="15.7109375" style="123" customWidth="1"/>
    <col min="8" max="8" width="5.28515625" style="123" customWidth="1"/>
    <col min="9" max="9" width="15.7109375" style="123" customWidth="1"/>
    <col min="10" max="10" width="5.28515625" style="123" customWidth="1"/>
    <col min="11" max="11" width="23.7109375" style="123" customWidth="1"/>
    <col min="12" max="14" width="5.28515625" style="158" hidden="1" customWidth="1"/>
    <col min="15" max="15" width="10.140625" style="159" hidden="1" customWidth="1"/>
    <col min="16" max="16" width="5.28515625" style="158" hidden="1" customWidth="1"/>
    <col min="17" max="17" width="5.7109375" style="158" hidden="1" customWidth="1"/>
    <col min="18" max="18" width="4.5703125" style="123" customWidth="1"/>
    <col min="19" max="20" width="5.28515625" style="123" customWidth="1"/>
    <col min="21" max="21" width="0.85546875" style="123" customWidth="1"/>
    <col min="22" max="22" width="5.7109375" style="123" customWidth="1"/>
    <col min="23" max="23" width="5.28515625" style="123" hidden="1" customWidth="1"/>
    <col min="24" max="24" width="5.85546875" style="123" customWidth="1"/>
    <col min="25" max="25" width="9.7109375" style="123" customWidth="1"/>
    <col min="26" max="26" width="5.28515625" style="123" customWidth="1"/>
    <col min="27" max="27" width="15.7109375" style="123" customWidth="1"/>
    <col min="28" max="28" width="5.28515625" style="123" customWidth="1"/>
    <col min="29" max="29" width="15.7109375" style="123" customWidth="1"/>
    <col min="30" max="30" width="5.140625" style="123" customWidth="1"/>
    <col min="31" max="35" width="5.28515625" style="123" hidden="1" customWidth="1"/>
    <col min="36" max="36" width="4.5703125" style="123" customWidth="1"/>
    <col min="37" max="37" width="5.28515625" style="123" customWidth="1"/>
    <col min="38" max="38" width="5.42578125" style="123" customWidth="1"/>
    <col min="39" max="39" width="5.28515625" style="123" hidden="1" customWidth="1"/>
    <col min="40" max="40" width="8.5703125" style="158" hidden="1" customWidth="1"/>
    <col min="41" max="42" width="5.28515625" style="158" hidden="1" customWidth="1"/>
    <col min="43" max="46" width="33.7109375" style="123" customWidth="1"/>
    <col min="47" max="47" width="5.28515625" style="123" customWidth="1"/>
    <col min="48" max="16384" width="8.85546875" style="202"/>
  </cols>
  <sheetData>
    <row r="1" spans="2:48" ht="41.45" customHeight="1" thickBot="1" x14ac:dyDescent="0.3">
      <c r="D1" s="294" t="s">
        <v>62</v>
      </c>
      <c r="E1" s="295"/>
      <c r="H1" s="261"/>
      <c r="L1" s="123"/>
      <c r="M1" s="123"/>
      <c r="N1" s="123"/>
      <c r="O1" s="156"/>
      <c r="P1" s="123"/>
      <c r="Q1" s="123"/>
      <c r="AM1" s="157"/>
      <c r="AN1" s="157"/>
      <c r="AO1" s="157"/>
      <c r="AP1" s="157"/>
    </row>
    <row r="2" spans="2:48" ht="25.15" customHeight="1" thickBot="1" x14ac:dyDescent="0.3">
      <c r="B2" s="292" t="str">
        <f xml:space="preserve"> Resumo!D13 &amp;" da Fábrica"</f>
        <v>Contagem Detalhada da Fábrica</v>
      </c>
      <c r="C2" s="293"/>
      <c r="D2" s="293"/>
      <c r="E2" s="293"/>
      <c r="F2" s="293"/>
      <c r="G2" s="293"/>
      <c r="H2" s="293"/>
      <c r="I2" s="293"/>
      <c r="J2" s="293"/>
      <c r="K2" s="293"/>
      <c r="L2" s="293"/>
      <c r="M2" s="293"/>
      <c r="N2" s="293"/>
      <c r="O2" s="293"/>
      <c r="P2" s="293"/>
      <c r="Q2" s="293"/>
      <c r="R2" s="293"/>
      <c r="S2" s="293"/>
      <c r="T2" s="293"/>
      <c r="U2" s="161"/>
      <c r="V2" s="296" t="str">
        <f>"Auditoria " &amp; Resumo!D13</f>
        <v>Auditoria Contagem Detalhada</v>
      </c>
      <c r="W2" s="297"/>
      <c r="X2" s="297"/>
      <c r="Y2" s="297"/>
      <c r="Z2" s="297"/>
      <c r="AA2" s="297"/>
      <c r="AB2" s="297"/>
      <c r="AC2" s="297"/>
      <c r="AD2" s="297"/>
      <c r="AE2" s="297"/>
      <c r="AF2" s="297"/>
      <c r="AG2" s="297"/>
      <c r="AH2" s="297"/>
      <c r="AI2" s="297"/>
      <c r="AJ2" s="297"/>
      <c r="AK2" s="297"/>
      <c r="AL2" s="297"/>
      <c r="AM2" s="245"/>
      <c r="AN2" s="169"/>
      <c r="AO2" s="169"/>
      <c r="AP2" s="169"/>
      <c r="AQ2" s="170"/>
      <c r="AR2" s="171"/>
      <c r="AS2" s="172"/>
      <c r="AT2" s="173"/>
      <c r="AV2" s="243"/>
    </row>
    <row r="3" spans="2:48" ht="50.45" customHeight="1" thickBot="1" x14ac:dyDescent="0.3">
      <c r="B3" s="194" t="s">
        <v>63</v>
      </c>
      <c r="C3" s="180" t="s">
        <v>64</v>
      </c>
      <c r="D3" s="180" t="s">
        <v>65</v>
      </c>
      <c r="E3" s="180" t="s">
        <v>66</v>
      </c>
      <c r="F3" s="180" t="s">
        <v>67</v>
      </c>
      <c r="G3" s="220" t="s">
        <v>68</v>
      </c>
      <c r="H3" s="195" t="s">
        <v>69</v>
      </c>
      <c r="I3" s="180" t="s">
        <v>70</v>
      </c>
      <c r="J3" s="195" t="s">
        <v>71</v>
      </c>
      <c r="K3" s="180" t="s">
        <v>72</v>
      </c>
      <c r="L3" s="196" t="s">
        <v>73</v>
      </c>
      <c r="M3" s="196" t="s">
        <v>74</v>
      </c>
      <c r="N3" s="197" t="s">
        <v>75</v>
      </c>
      <c r="O3" s="197" t="s">
        <v>76</v>
      </c>
      <c r="P3" s="196" t="s">
        <v>77</v>
      </c>
      <c r="Q3" s="196" t="s">
        <v>78</v>
      </c>
      <c r="R3" s="218" t="s">
        <v>79</v>
      </c>
      <c r="S3" s="218" t="s">
        <v>80</v>
      </c>
      <c r="T3" s="218" t="s">
        <v>81</v>
      </c>
      <c r="U3" s="198"/>
      <c r="V3" s="220" t="s">
        <v>82</v>
      </c>
      <c r="W3" s="220" t="s">
        <v>83</v>
      </c>
      <c r="X3" s="220" t="s">
        <v>65</v>
      </c>
      <c r="Y3" s="220" t="s">
        <v>66</v>
      </c>
      <c r="Z3" s="220" t="s">
        <v>84</v>
      </c>
      <c r="AA3" s="220" t="s">
        <v>68</v>
      </c>
      <c r="AB3" s="246" t="s">
        <v>69</v>
      </c>
      <c r="AC3" s="220" t="s">
        <v>70</v>
      </c>
      <c r="AD3" s="220" t="s">
        <v>71</v>
      </c>
      <c r="AE3" s="199" t="s">
        <v>73</v>
      </c>
      <c r="AF3" s="199" t="s">
        <v>74</v>
      </c>
      <c r="AG3" s="199" t="s">
        <v>76</v>
      </c>
      <c r="AH3" s="199" t="s">
        <v>77</v>
      </c>
      <c r="AI3" s="199" t="s">
        <v>78</v>
      </c>
      <c r="AJ3" s="219" t="s">
        <v>79</v>
      </c>
      <c r="AK3" s="219" t="s">
        <v>80</v>
      </c>
      <c r="AL3" s="219" t="s">
        <v>81</v>
      </c>
      <c r="AM3" s="200" t="s">
        <v>85</v>
      </c>
      <c r="AN3" s="200" t="s">
        <v>86</v>
      </c>
      <c r="AO3" s="200" t="s">
        <v>87</v>
      </c>
      <c r="AP3" s="200" t="s">
        <v>88</v>
      </c>
      <c r="AQ3" s="220" t="s">
        <v>89</v>
      </c>
      <c r="AR3" s="218" t="s">
        <v>90</v>
      </c>
      <c r="AS3" s="220" t="s">
        <v>89</v>
      </c>
      <c r="AT3" s="221" t="s">
        <v>90</v>
      </c>
      <c r="AU3"/>
      <c r="AV3" s="244"/>
    </row>
    <row r="4" spans="2:48" ht="15" customHeight="1" x14ac:dyDescent="0.25">
      <c r="B4" s="271">
        <v>370622</v>
      </c>
      <c r="C4" s="269" t="s">
        <v>391</v>
      </c>
      <c r="D4" s="266" t="s">
        <v>347</v>
      </c>
      <c r="E4" s="266" t="s">
        <v>166</v>
      </c>
      <c r="F4" s="266">
        <v>10</v>
      </c>
      <c r="G4" s="267"/>
      <c r="H4" s="266">
        <v>2</v>
      </c>
      <c r="I4" s="267"/>
      <c r="J4" s="268"/>
      <c r="K4" s="270"/>
      <c r="L4" s="187" t="str">
        <f>IF(OR(ISBLANK(F4),ISBLANK(H4)),IF(OR(D4="ALI",D4="AIE"),"L",IF(ISBLANK(D4),"","A")),IF(D4="EE",IF(H4&gt;=3,IF(F4&gt;=5,"H","A"),IF(H4&gt;=2,IF(F4&gt;=16,"H",IF(F4&lt;=4,"L","A")),IF(F4&lt;=15,"L","A"))),IF(OR(D4="SE",D4="CE"),IF(H4&gt;=4,IF(F4&gt;=6,"H","A"),IF(H4&gt;=2,IF(F4&gt;=20,"H",IF(F4&lt;=5,"L","A")),IF(F4&lt;=19,"L","A"))),IF(OR(D4="ALI",D4="AIE"),IF(H4&gt;=6,IF(F4&gt;=20,"H","A"),IF(H4&gt;=2,IF(F4&gt;=51,"H",IF(F4&lt;=19,"L","A")),IF(F4&lt;=50,"L","A")))))))</f>
        <v>A</v>
      </c>
      <c r="M4" s="187" t="str">
        <f t="shared" ref="M4" si="0">CONCATENATE(D4,L4)</f>
        <v>EEA</v>
      </c>
      <c r="N4" s="187" t="str">
        <f t="shared" ref="N4:N67" si="1">IF(Tipo_de_contagem="Contagem Detalhada","D",IF(Tipo_de_contagem="Contagem Estimada","E","S"))</f>
        <v>D</v>
      </c>
      <c r="O4" s="187" t="str">
        <f>IF(N4="S",D4,CONCATENATE(D4,L4,N4))</f>
        <v>EEAD</v>
      </c>
      <c r="P4" s="187">
        <f t="shared" ref="P4" si="2">IFERROR(VLOOKUP(E4,Tabela_Deflator,3,FALSE),1)</f>
        <v>0.6</v>
      </c>
      <c r="Q4" s="187">
        <f>IFERROR(VLOOKUP(E4,Tabela_Deflator:E$43,5,FALSE),1)</f>
        <v>1</v>
      </c>
      <c r="R4" s="188" t="str">
        <f>IF(OR(D4="INM",D4="N/A"),"",IF(L4="L","Baixa",IF(L4="A","Média",IF(L4="","","Alta"))))</f>
        <v>Média</v>
      </c>
      <c r="S4" s="237">
        <f t="shared" ref="S4:S67" si="3">IF(D4="N/A","",IF(D4="","",IFERROR(IF(D4="INM",P4*J4,VLOOKUP(O4,Tabela_Pontuação,2,FALSE)),0)))</f>
        <v>4</v>
      </c>
      <c r="T4" s="237">
        <f xml:space="preserve"> IF(D4="N/A","",IF(D4="","",IF(D4="INM",(1*P4)*J4,S4*P4)))</f>
        <v>2.4</v>
      </c>
      <c r="U4" s="189"/>
      <c r="V4" s="167"/>
      <c r="W4" s="165"/>
      <c r="X4" s="164"/>
      <c r="Y4" s="164"/>
      <c r="Z4" s="164"/>
      <c r="AA4" s="174"/>
      <c r="AB4" s="164"/>
      <c r="AC4" s="174"/>
      <c r="AD4" s="184"/>
      <c r="AE4" s="190" t="str">
        <f t="shared" ref="AE4" si="4">IF(OR(ISBLANK(Z4),ISBLANK(AB4)),IF(OR(X4="ALI",X4="AIE"),"L",IF(ISBLANK(X4),"","A")),IF(X4="EE",IF(AB4&gt;=3,IF(Z4&gt;=5,"H","A"),IF(AB4&gt;=2,IF(Z4&gt;=16,"H",IF(Z4&lt;=4,"L","A")),IF(Z4&lt;=15,"L","A"))),IF(OR(X4="SE",X4="CE"),IF(AB4&gt;=4,IF(Z4&gt;=6,"H","A"),IF(AB4&gt;=2,IF(Z4&gt;=20,"H",IF(Z4&lt;=5,"L","A")),IF(Z4&lt;=19,"L","A"))),IF(OR(X4="ALI",X4="AIE"),IF(AB4&gt;=6,IF(Z4&gt;=20,"H","A"),IF(AB4&gt;=2,IF(Z4&gt;=51,"H",IF(Z4&lt;=19,"L","A")),IF(Z4&lt;=50,"L","A")))))))</f>
        <v/>
      </c>
      <c r="AF4" s="190" t="str">
        <f t="shared" ref="AF4" si="5">CONCATENATE(X4,AE4)</f>
        <v/>
      </c>
      <c r="AG4" s="190" t="str">
        <f t="shared" ref="AG4:AG67" si="6">IF(N4="S",X4,CONCATENATE(X4,AE4,N4))</f>
        <v>D</v>
      </c>
      <c r="AH4" s="190">
        <f>IFERROR(VLOOKUP(Y4,SISP_Deflatores_e_INMs!B$4:F$49,3,FALSE),1)</f>
        <v>1</v>
      </c>
      <c r="AI4" s="190">
        <f>IFERROR(VLOOKUP(Y4,SISP_Deflatores_e_INMs!B$4:G$49,5,FALSE),1)</f>
        <v>1</v>
      </c>
      <c r="AJ4" s="191" t="str">
        <f>IF(OR(X4="INM",X4="N/A"),"",IF(AE4="L","Baixa",IF(AE4="A","Média",IF(AE4="","","Alta"))))</f>
        <v/>
      </c>
      <c r="AK4" s="237" t="str">
        <f t="shared" ref="AK4:AK67" si="7">IFERROR(IF(X4="INM",AH4*AD4,VLOOKUP(AG4,Tabela_Pontuação,2,FALSE)),"")</f>
        <v/>
      </c>
      <c r="AL4" s="237" t="str">
        <f>IFERROR(IF(OR(ISBLANK(V4),V4="NOK"),"",IF(X4="INM",(1*AH4)*AD4,AK4*AH4)),"")</f>
        <v/>
      </c>
      <c r="AM4" s="192" t="e">
        <f t="shared" ref="AM4:AM67" si="8">IF(S4&lt;=0,0,AK4-S4)</f>
        <v>#VALUE!</v>
      </c>
      <c r="AN4" s="193" t="e">
        <f t="shared" ref="AN4:AN67" si="9">AM4/S4</f>
        <v>#VALUE!</v>
      </c>
      <c r="AO4" s="193" t="e">
        <f t="shared" ref="AO4:AO67" si="10">IF(T4&lt;=0,0,AL4-T4)</f>
        <v>#VALUE!</v>
      </c>
      <c r="AP4" s="193"/>
      <c r="AQ4" s="204"/>
      <c r="AR4" s="204"/>
      <c r="AS4" s="204"/>
      <c r="AT4" s="204"/>
      <c r="AU4"/>
    </row>
    <row r="5" spans="2:48" ht="15" customHeight="1" x14ac:dyDescent="0.25">
      <c r="B5" s="271">
        <v>370622</v>
      </c>
      <c r="C5" s="269" t="s">
        <v>392</v>
      </c>
      <c r="D5" s="266" t="s">
        <v>168</v>
      </c>
      <c r="E5" s="266" t="s">
        <v>166</v>
      </c>
      <c r="F5" s="266"/>
      <c r="G5" s="267"/>
      <c r="H5" s="266"/>
      <c r="I5" s="267"/>
      <c r="J5" s="268">
        <v>1</v>
      </c>
      <c r="K5" s="270" t="s">
        <v>388</v>
      </c>
      <c r="L5" s="187" t="str">
        <f t="shared" ref="L5:L68" si="11">IF(OR(ISBLANK(F5),ISBLANK(H5)),IF(OR(D5="ALI",D5="AIE"),"L",IF(ISBLANK(D5),"","A")),IF(D5="EE",IF(H5&gt;=3,IF(F5&gt;=5,"H","A"),IF(H5&gt;=2,IF(F5&gt;=16,"H",IF(F5&lt;=4,"L","A")),IF(F5&lt;=15,"L","A"))),IF(OR(D5="SE",D5="CE"),IF(H5&gt;=4,IF(F5&gt;=6,"H","A"),IF(H5&gt;=2,IF(F5&gt;=20,"H",IF(F5&lt;=5,"L","A")),IF(F5&lt;=19,"L","A"))),IF(OR(D5="ALI",D5="AIE"),IF(H5&gt;=6,IF(F5&gt;=20,"H","A"),IF(H5&gt;=2,IF(F5&gt;=51,"H",IF(F5&lt;=19,"L","A")),IF(F5&lt;=50,"L","A")))))))</f>
        <v>A</v>
      </c>
      <c r="M5" s="187" t="str">
        <f t="shared" ref="M5:M68" si="12">CONCATENATE(D5,L5)</f>
        <v>INMA</v>
      </c>
      <c r="N5" s="187" t="str">
        <f t="shared" si="1"/>
        <v>D</v>
      </c>
      <c r="O5" s="187" t="str">
        <f t="shared" ref="O5:O68" si="13">IF(N5="S",D5,CONCATENATE(D5,L5,N5))</f>
        <v>INMAD</v>
      </c>
      <c r="P5" s="187">
        <f t="shared" ref="P5:P68" si="14">IFERROR(VLOOKUP(E5,Tabela_Deflator,3,FALSE),1)</f>
        <v>0.6</v>
      </c>
      <c r="Q5" s="187">
        <f>IFERROR(VLOOKUP(E5,Tabela_Deflator:E$43,5,FALSE),1)</f>
        <v>1</v>
      </c>
      <c r="R5" s="188" t="str">
        <f t="shared" ref="R5:R68" si="15">IF(OR(D5="INM",D5="N/A"),"",IF(L5="L","Baixa",IF(L5="A","Média",IF(L5="","","Alta"))))</f>
        <v/>
      </c>
      <c r="S5" s="237">
        <f t="shared" si="3"/>
        <v>0.6</v>
      </c>
      <c r="T5" s="237">
        <f xml:space="preserve"> IF(D5="N/A","",IF(D5="","",IF(D5="INM",(1*P5)*J5,S5*P5)))</f>
        <v>0.6</v>
      </c>
      <c r="U5" s="189"/>
      <c r="V5" s="167"/>
      <c r="W5" s="165"/>
      <c r="X5" s="164"/>
      <c r="Y5" s="164"/>
      <c r="Z5" s="164"/>
      <c r="AA5" s="174"/>
      <c r="AB5" s="164"/>
      <c r="AC5" s="174"/>
      <c r="AD5" s="184"/>
      <c r="AE5" s="190" t="str">
        <f t="shared" ref="AE5:AE68" si="16">IF(OR(ISBLANK(Z5),ISBLANK(AB5)),IF(OR(X5="ALI",X5="AIE"),"L",IF(ISBLANK(X5),"","A")),IF(X5="EE",IF(AB5&gt;=3,IF(Z5&gt;=5,"H","A"),IF(AB5&gt;=2,IF(Z5&gt;=16,"H",IF(Z5&lt;=4,"L","A")),IF(Z5&lt;=15,"L","A"))),IF(OR(X5="SE",X5="CE"),IF(AB5&gt;=4,IF(Z5&gt;=6,"H","A"),IF(AB5&gt;=2,IF(Z5&gt;=20,"H",IF(Z5&lt;=5,"L","A")),IF(Z5&lt;=19,"L","A"))),IF(OR(X5="ALI",X5="AIE"),IF(AB5&gt;=6,IF(Z5&gt;=20,"H","A"),IF(AB5&gt;=2,IF(Z5&gt;=51,"H",IF(Z5&lt;=19,"L","A")),IF(Z5&lt;=50,"L","A")))))))</f>
        <v/>
      </c>
      <c r="AF5" s="190" t="str">
        <f t="shared" ref="AF5:AF68" si="17">CONCATENATE(X5,AE5)</f>
        <v/>
      </c>
      <c r="AG5" s="190" t="str">
        <f t="shared" si="6"/>
        <v>D</v>
      </c>
      <c r="AH5" s="190">
        <f>IFERROR(VLOOKUP(Y5,SISP_Deflatores_e_INMs!B$4:F$49,3,FALSE),1)</f>
        <v>1</v>
      </c>
      <c r="AI5" s="190">
        <f>IFERROR(VLOOKUP(Y5,SISP_Deflatores_e_INMs!B$4:G$49,5,FALSE),1)</f>
        <v>1</v>
      </c>
      <c r="AJ5" s="191" t="str">
        <f t="shared" ref="AJ5:AJ68" si="18">IF(OR(X5="INM",X5="N/A"),"",IF(AE5="L","Baixa",IF(AE5="A","Média",IF(AE5="","","Alta"))))</f>
        <v/>
      </c>
      <c r="AK5" s="237" t="str">
        <f t="shared" si="7"/>
        <v/>
      </c>
      <c r="AL5" s="237" t="str">
        <f t="shared" ref="AL5:AL68" si="19">IFERROR(IF(OR(ISBLANK(V5),V5="NOK"),"",IF(X5="INM",(1*AH5)*AD5,AK5*AH5)),"")</f>
        <v/>
      </c>
      <c r="AM5" s="192" t="e">
        <f t="shared" si="8"/>
        <v>#VALUE!</v>
      </c>
      <c r="AN5" s="193" t="e">
        <f t="shared" si="9"/>
        <v>#VALUE!</v>
      </c>
      <c r="AO5" s="193" t="e">
        <f t="shared" si="10"/>
        <v>#VALUE!</v>
      </c>
      <c r="AP5" s="193"/>
      <c r="AQ5" s="204"/>
      <c r="AR5" s="204"/>
      <c r="AS5" s="204"/>
      <c r="AT5" s="204"/>
      <c r="AU5"/>
    </row>
    <row r="6" spans="2:48" ht="15" customHeight="1" x14ac:dyDescent="0.25">
      <c r="B6" s="271">
        <v>370622</v>
      </c>
      <c r="C6" s="269" t="s">
        <v>393</v>
      </c>
      <c r="D6" s="266" t="s">
        <v>168</v>
      </c>
      <c r="E6" s="266" t="s">
        <v>166</v>
      </c>
      <c r="F6" s="266"/>
      <c r="G6" s="267"/>
      <c r="H6" s="266"/>
      <c r="I6" s="267"/>
      <c r="J6" s="268">
        <v>1</v>
      </c>
      <c r="K6" s="270" t="s">
        <v>389</v>
      </c>
      <c r="L6" s="187" t="str">
        <f t="shared" si="11"/>
        <v>A</v>
      </c>
      <c r="M6" s="187" t="str">
        <f t="shared" si="12"/>
        <v>INMA</v>
      </c>
      <c r="N6" s="187" t="str">
        <f t="shared" si="1"/>
        <v>D</v>
      </c>
      <c r="O6" s="187" t="str">
        <f t="shared" si="13"/>
        <v>INMAD</v>
      </c>
      <c r="P6" s="187">
        <f t="shared" si="14"/>
        <v>0.6</v>
      </c>
      <c r="Q6" s="187">
        <f>IFERROR(VLOOKUP(E6,Tabela_Deflator:E$43,5,FALSE),1)</f>
        <v>1</v>
      </c>
      <c r="R6" s="188" t="str">
        <f t="shared" si="15"/>
        <v/>
      </c>
      <c r="S6" s="237">
        <f t="shared" si="3"/>
        <v>0.6</v>
      </c>
      <c r="T6" s="237">
        <f t="shared" ref="T6:T69" si="20" xml:space="preserve"> IF(D6="N/A","",IF(D6="","",IF(D6="INM",(1*P6)*J6,S6*P6)))</f>
        <v>0.6</v>
      </c>
      <c r="U6" s="189"/>
      <c r="V6" s="167"/>
      <c r="W6" s="165"/>
      <c r="X6" s="164"/>
      <c r="Y6" s="164"/>
      <c r="Z6" s="164"/>
      <c r="AA6" s="174"/>
      <c r="AB6" s="164"/>
      <c r="AC6" s="174"/>
      <c r="AD6" s="184"/>
      <c r="AE6" s="190" t="str">
        <f t="shared" si="16"/>
        <v/>
      </c>
      <c r="AF6" s="190" t="str">
        <f t="shared" si="17"/>
        <v/>
      </c>
      <c r="AG6" s="190" t="str">
        <f t="shared" si="6"/>
        <v>D</v>
      </c>
      <c r="AH6" s="190">
        <f>IFERROR(VLOOKUP(Y6,SISP_Deflatores_e_INMs!B$4:F$49,3,FALSE),1)</f>
        <v>1</v>
      </c>
      <c r="AI6" s="190">
        <f>IFERROR(VLOOKUP(Y6,SISP_Deflatores_e_INMs!B$4:G$49,5,FALSE),1)</f>
        <v>1</v>
      </c>
      <c r="AJ6" s="191" t="str">
        <f t="shared" si="18"/>
        <v/>
      </c>
      <c r="AK6" s="237" t="str">
        <f t="shared" si="7"/>
        <v/>
      </c>
      <c r="AL6" s="237" t="str">
        <f t="shared" si="19"/>
        <v/>
      </c>
      <c r="AM6" s="192" t="e">
        <f t="shared" si="8"/>
        <v>#VALUE!</v>
      </c>
      <c r="AN6" s="193" t="e">
        <f t="shared" si="9"/>
        <v>#VALUE!</v>
      </c>
      <c r="AO6" s="193" t="e">
        <f t="shared" si="10"/>
        <v>#VALUE!</v>
      </c>
      <c r="AP6" s="193"/>
      <c r="AQ6" s="204"/>
      <c r="AR6" s="204"/>
      <c r="AS6" s="204"/>
      <c r="AT6" s="204"/>
      <c r="AU6"/>
    </row>
    <row r="7" spans="2:48" ht="15" customHeight="1" x14ac:dyDescent="0.25">
      <c r="B7" s="271">
        <v>370622</v>
      </c>
      <c r="C7" s="269" t="s">
        <v>394</v>
      </c>
      <c r="D7" s="266" t="s">
        <v>168</v>
      </c>
      <c r="E7" s="266" t="s">
        <v>166</v>
      </c>
      <c r="F7" s="266"/>
      <c r="G7" s="267"/>
      <c r="H7" s="266"/>
      <c r="I7" s="267"/>
      <c r="J7" s="268">
        <v>1</v>
      </c>
      <c r="K7" s="270" t="s">
        <v>390</v>
      </c>
      <c r="L7" s="187" t="str">
        <f t="shared" si="11"/>
        <v>A</v>
      </c>
      <c r="M7" s="187" t="str">
        <f t="shared" si="12"/>
        <v>INMA</v>
      </c>
      <c r="N7" s="187" t="str">
        <f t="shared" si="1"/>
        <v>D</v>
      </c>
      <c r="O7" s="187" t="str">
        <f t="shared" si="13"/>
        <v>INMAD</v>
      </c>
      <c r="P7" s="187">
        <f t="shared" si="14"/>
        <v>0.6</v>
      </c>
      <c r="Q7" s="187">
        <f>IFERROR(VLOOKUP(E7,Tabela_Deflator:E$43,5,FALSE),1)</f>
        <v>1</v>
      </c>
      <c r="R7" s="188" t="str">
        <f t="shared" si="15"/>
        <v/>
      </c>
      <c r="S7" s="237">
        <f t="shared" si="3"/>
        <v>0.6</v>
      </c>
      <c r="T7" s="237">
        <f t="shared" si="20"/>
        <v>0.6</v>
      </c>
      <c r="U7" s="189"/>
      <c r="V7" s="167"/>
      <c r="W7" s="165"/>
      <c r="X7" s="164"/>
      <c r="Y7" s="164"/>
      <c r="Z7" s="164"/>
      <c r="AA7" s="174"/>
      <c r="AB7" s="164"/>
      <c r="AC7" s="174"/>
      <c r="AD7" s="184"/>
      <c r="AE7" s="190" t="str">
        <f t="shared" si="16"/>
        <v/>
      </c>
      <c r="AF7" s="190" t="str">
        <f t="shared" si="17"/>
        <v/>
      </c>
      <c r="AG7" s="190" t="str">
        <f t="shared" si="6"/>
        <v>D</v>
      </c>
      <c r="AH7" s="190">
        <f>IFERROR(VLOOKUP(Y7,SISP_Deflatores_e_INMs!B$4:F$49,3,FALSE),1)</f>
        <v>1</v>
      </c>
      <c r="AI7" s="190">
        <f>IFERROR(VLOOKUP(Y7,SISP_Deflatores_e_INMs!B$4:G$49,5,FALSE),1)</f>
        <v>1</v>
      </c>
      <c r="AJ7" s="191" t="str">
        <f t="shared" si="18"/>
        <v/>
      </c>
      <c r="AK7" s="237" t="str">
        <f t="shared" si="7"/>
        <v/>
      </c>
      <c r="AL7" s="237" t="str">
        <f t="shared" si="19"/>
        <v/>
      </c>
      <c r="AM7" s="192" t="e">
        <f t="shared" si="8"/>
        <v>#VALUE!</v>
      </c>
      <c r="AN7" s="193" t="e">
        <f t="shared" si="9"/>
        <v>#VALUE!</v>
      </c>
      <c r="AO7" s="193" t="e">
        <f t="shared" si="10"/>
        <v>#VALUE!</v>
      </c>
      <c r="AP7" s="193"/>
      <c r="AQ7" s="204"/>
      <c r="AR7" s="204"/>
      <c r="AS7" s="204"/>
      <c r="AT7" s="204"/>
      <c r="AU7"/>
    </row>
    <row r="8" spans="2:48" ht="15" customHeight="1" x14ac:dyDescent="0.25">
      <c r="B8" s="271"/>
      <c r="C8" s="269"/>
      <c r="D8" s="266"/>
      <c r="E8" s="266"/>
      <c r="F8" s="266"/>
      <c r="G8" s="267"/>
      <c r="H8" s="266"/>
      <c r="I8" s="267"/>
      <c r="J8" s="268"/>
      <c r="K8" s="270"/>
      <c r="L8" s="187" t="str">
        <f t="shared" si="11"/>
        <v/>
      </c>
      <c r="M8" s="187" t="str">
        <f t="shared" si="12"/>
        <v/>
      </c>
      <c r="N8" s="187" t="str">
        <f t="shared" si="1"/>
        <v>D</v>
      </c>
      <c r="O8" s="187" t="str">
        <f t="shared" si="13"/>
        <v>D</v>
      </c>
      <c r="P8" s="187">
        <f t="shared" si="14"/>
        <v>1</v>
      </c>
      <c r="Q8" s="187">
        <f>IFERROR(VLOOKUP(E8,Tabela_Deflator:E$43,5,FALSE),1)</f>
        <v>1</v>
      </c>
      <c r="R8" s="188" t="str">
        <f t="shared" si="15"/>
        <v/>
      </c>
      <c r="S8" s="237" t="str">
        <f t="shared" si="3"/>
        <v/>
      </c>
      <c r="T8" s="237" t="str">
        <f t="shared" si="20"/>
        <v/>
      </c>
      <c r="U8" s="189"/>
      <c r="V8" s="167"/>
      <c r="W8" s="165"/>
      <c r="X8" s="164"/>
      <c r="Y8" s="164"/>
      <c r="Z8" s="164"/>
      <c r="AA8" s="174"/>
      <c r="AB8" s="164"/>
      <c r="AC8" s="174"/>
      <c r="AD8" s="184"/>
      <c r="AE8" s="190" t="str">
        <f t="shared" si="16"/>
        <v/>
      </c>
      <c r="AF8" s="190" t="str">
        <f t="shared" si="17"/>
        <v/>
      </c>
      <c r="AG8" s="190" t="str">
        <f t="shared" si="6"/>
        <v>D</v>
      </c>
      <c r="AH8" s="190">
        <f>IFERROR(VLOOKUP(Y8,SISP_Deflatores_e_INMs!B$4:F$49,3,FALSE),1)</f>
        <v>1</v>
      </c>
      <c r="AI8" s="190">
        <f>IFERROR(VLOOKUP(Y8,SISP_Deflatores_e_INMs!B$4:G$49,5,FALSE),1)</f>
        <v>1</v>
      </c>
      <c r="AJ8" s="191" t="str">
        <f t="shared" si="18"/>
        <v/>
      </c>
      <c r="AK8" s="237" t="str">
        <f t="shared" si="7"/>
        <v/>
      </c>
      <c r="AL8" s="237" t="str">
        <f t="shared" si="19"/>
        <v/>
      </c>
      <c r="AM8" s="192" t="e">
        <f t="shared" si="8"/>
        <v>#VALUE!</v>
      </c>
      <c r="AN8" s="193" t="e">
        <f t="shared" si="9"/>
        <v>#VALUE!</v>
      </c>
      <c r="AO8" s="193" t="e">
        <f t="shared" si="10"/>
        <v>#VALUE!</v>
      </c>
      <c r="AP8" s="193"/>
      <c r="AQ8" s="204"/>
      <c r="AR8" s="204"/>
      <c r="AS8" s="204"/>
      <c r="AT8" s="204"/>
      <c r="AU8"/>
    </row>
    <row r="9" spans="2:48" ht="15" customHeight="1" x14ac:dyDescent="0.25">
      <c r="B9" s="271"/>
      <c r="C9" s="269"/>
      <c r="D9" s="266"/>
      <c r="E9" s="266"/>
      <c r="F9" s="266"/>
      <c r="G9" s="267"/>
      <c r="H9" s="266"/>
      <c r="I9" s="267"/>
      <c r="J9" s="268"/>
      <c r="K9" s="270"/>
      <c r="L9" s="187" t="str">
        <f t="shared" si="11"/>
        <v/>
      </c>
      <c r="M9" s="187" t="str">
        <f t="shared" si="12"/>
        <v/>
      </c>
      <c r="N9" s="187" t="str">
        <f t="shared" si="1"/>
        <v>D</v>
      </c>
      <c r="O9" s="187" t="str">
        <f t="shared" si="13"/>
        <v>D</v>
      </c>
      <c r="P9" s="187">
        <f t="shared" si="14"/>
        <v>1</v>
      </c>
      <c r="Q9" s="187">
        <f>IFERROR(VLOOKUP(E9,Tabela_Deflator:E$43,5,FALSE),1)</f>
        <v>1</v>
      </c>
      <c r="R9" s="188" t="str">
        <f t="shared" si="15"/>
        <v/>
      </c>
      <c r="S9" s="237" t="str">
        <f t="shared" si="3"/>
        <v/>
      </c>
      <c r="T9" s="237" t="str">
        <f t="shared" si="20"/>
        <v/>
      </c>
      <c r="U9" s="189"/>
      <c r="V9" s="167"/>
      <c r="W9" s="165"/>
      <c r="X9" s="164"/>
      <c r="Y9" s="164"/>
      <c r="Z9" s="164"/>
      <c r="AA9" s="174"/>
      <c r="AB9" s="164"/>
      <c r="AC9" s="174"/>
      <c r="AD9" s="184"/>
      <c r="AE9" s="190" t="str">
        <f t="shared" si="16"/>
        <v/>
      </c>
      <c r="AF9" s="190" t="str">
        <f t="shared" si="17"/>
        <v/>
      </c>
      <c r="AG9" s="190" t="str">
        <f t="shared" si="6"/>
        <v>D</v>
      </c>
      <c r="AH9" s="190">
        <f>IFERROR(VLOOKUP(Y9,SISP_Deflatores_e_INMs!B$4:F$49,3,FALSE),1)</f>
        <v>1</v>
      </c>
      <c r="AI9" s="190">
        <f>IFERROR(VLOOKUP(Y9,SISP_Deflatores_e_INMs!B$4:G$49,5,FALSE),1)</f>
        <v>1</v>
      </c>
      <c r="AJ9" s="191" t="str">
        <f t="shared" si="18"/>
        <v/>
      </c>
      <c r="AK9" s="237" t="str">
        <f t="shared" si="7"/>
        <v/>
      </c>
      <c r="AL9" s="237" t="str">
        <f t="shared" si="19"/>
        <v/>
      </c>
      <c r="AM9" s="192" t="e">
        <f t="shared" si="8"/>
        <v>#VALUE!</v>
      </c>
      <c r="AN9" s="193" t="e">
        <f t="shared" si="9"/>
        <v>#VALUE!</v>
      </c>
      <c r="AO9" s="193" t="e">
        <f t="shared" si="10"/>
        <v>#VALUE!</v>
      </c>
      <c r="AP9" s="193"/>
      <c r="AQ9" s="204"/>
      <c r="AR9" s="204"/>
      <c r="AS9" s="204"/>
      <c r="AT9" s="204"/>
      <c r="AU9"/>
    </row>
    <row r="10" spans="2:48" ht="15" customHeight="1" x14ac:dyDescent="0.25">
      <c r="B10" s="271"/>
      <c r="C10" s="269"/>
      <c r="D10" s="266"/>
      <c r="E10" s="266"/>
      <c r="F10" s="266"/>
      <c r="G10" s="267"/>
      <c r="H10" s="266"/>
      <c r="I10" s="267"/>
      <c r="J10" s="268"/>
      <c r="K10" s="270"/>
      <c r="L10" s="187" t="str">
        <f t="shared" si="11"/>
        <v/>
      </c>
      <c r="M10" s="187" t="str">
        <f t="shared" si="12"/>
        <v/>
      </c>
      <c r="N10" s="187" t="str">
        <f t="shared" si="1"/>
        <v>D</v>
      </c>
      <c r="O10" s="187" t="str">
        <f t="shared" si="13"/>
        <v>D</v>
      </c>
      <c r="P10" s="187">
        <f t="shared" si="14"/>
        <v>1</v>
      </c>
      <c r="Q10" s="187">
        <f>IFERROR(VLOOKUP(E10,Tabela_Deflator:E$43,5,FALSE),1)</f>
        <v>1</v>
      </c>
      <c r="R10" s="188" t="str">
        <f t="shared" si="15"/>
        <v/>
      </c>
      <c r="S10" s="237" t="str">
        <f t="shared" si="3"/>
        <v/>
      </c>
      <c r="T10" s="237" t="str">
        <f t="shared" si="20"/>
        <v/>
      </c>
      <c r="U10" s="189"/>
      <c r="V10" s="167"/>
      <c r="W10" s="165"/>
      <c r="X10" s="164"/>
      <c r="Y10" s="164"/>
      <c r="Z10" s="164"/>
      <c r="AA10" s="174"/>
      <c r="AB10" s="164"/>
      <c r="AC10" s="174"/>
      <c r="AD10" s="184"/>
      <c r="AE10" s="190" t="str">
        <f t="shared" si="16"/>
        <v/>
      </c>
      <c r="AF10" s="190" t="str">
        <f t="shared" si="17"/>
        <v/>
      </c>
      <c r="AG10" s="190" t="str">
        <f t="shared" si="6"/>
        <v>D</v>
      </c>
      <c r="AH10" s="190">
        <f>IFERROR(VLOOKUP(Y10,SISP_Deflatores_e_INMs!B$4:F$49,3,FALSE),1)</f>
        <v>1</v>
      </c>
      <c r="AI10" s="190">
        <f>IFERROR(VLOOKUP(Y10,SISP_Deflatores_e_INMs!B$4:G$49,5,FALSE),1)</f>
        <v>1</v>
      </c>
      <c r="AJ10" s="191" t="str">
        <f t="shared" si="18"/>
        <v/>
      </c>
      <c r="AK10" s="237" t="str">
        <f t="shared" si="7"/>
        <v/>
      </c>
      <c r="AL10" s="237" t="str">
        <f t="shared" si="19"/>
        <v/>
      </c>
      <c r="AM10" s="192" t="e">
        <f t="shared" si="8"/>
        <v>#VALUE!</v>
      </c>
      <c r="AN10" s="193" t="e">
        <f t="shared" si="9"/>
        <v>#VALUE!</v>
      </c>
      <c r="AO10" s="193" t="e">
        <f t="shared" si="10"/>
        <v>#VALUE!</v>
      </c>
      <c r="AP10" s="193"/>
      <c r="AQ10" s="204"/>
      <c r="AR10" s="204"/>
      <c r="AS10" s="204"/>
      <c r="AT10" s="204"/>
      <c r="AU10"/>
    </row>
    <row r="11" spans="2:48" ht="15" customHeight="1" x14ac:dyDescent="0.25">
      <c r="B11" s="271"/>
      <c r="C11" s="269"/>
      <c r="D11" s="266"/>
      <c r="E11" s="266"/>
      <c r="F11" s="266"/>
      <c r="G11" s="267"/>
      <c r="H11" s="266"/>
      <c r="I11" s="267"/>
      <c r="J11" s="268"/>
      <c r="K11" s="270"/>
      <c r="L11" s="187" t="str">
        <f t="shared" si="11"/>
        <v/>
      </c>
      <c r="M11" s="187" t="str">
        <f t="shared" si="12"/>
        <v/>
      </c>
      <c r="N11" s="187" t="str">
        <f t="shared" si="1"/>
        <v>D</v>
      </c>
      <c r="O11" s="187" t="str">
        <f t="shared" si="13"/>
        <v>D</v>
      </c>
      <c r="P11" s="187">
        <f t="shared" si="14"/>
        <v>1</v>
      </c>
      <c r="Q11" s="187">
        <f>IFERROR(VLOOKUP(E11,Tabela_Deflator:E$43,5,FALSE),1)</f>
        <v>1</v>
      </c>
      <c r="R11" s="188" t="str">
        <f t="shared" si="15"/>
        <v/>
      </c>
      <c r="S11" s="237" t="str">
        <f t="shared" si="3"/>
        <v/>
      </c>
      <c r="T11" s="237" t="str">
        <f t="shared" si="20"/>
        <v/>
      </c>
      <c r="U11" s="189"/>
      <c r="V11" s="167"/>
      <c r="W11" s="165"/>
      <c r="X11" s="164"/>
      <c r="Y11" s="164"/>
      <c r="Z11" s="164"/>
      <c r="AA11" s="174"/>
      <c r="AB11" s="164"/>
      <c r="AC11" s="174"/>
      <c r="AD11" s="184"/>
      <c r="AE11" s="190" t="str">
        <f t="shared" si="16"/>
        <v/>
      </c>
      <c r="AF11" s="190" t="str">
        <f t="shared" si="17"/>
        <v/>
      </c>
      <c r="AG11" s="190" t="str">
        <f t="shared" si="6"/>
        <v>D</v>
      </c>
      <c r="AH11" s="190">
        <f>IFERROR(VLOOKUP(Y11,SISP_Deflatores_e_INMs!B$4:F$49,3,FALSE),1)</f>
        <v>1</v>
      </c>
      <c r="AI11" s="190">
        <f>IFERROR(VLOOKUP(Y11,SISP_Deflatores_e_INMs!B$4:G$49,5,FALSE),1)</f>
        <v>1</v>
      </c>
      <c r="AJ11" s="191" t="str">
        <f t="shared" si="18"/>
        <v/>
      </c>
      <c r="AK11" s="237" t="str">
        <f t="shared" si="7"/>
        <v/>
      </c>
      <c r="AL11" s="237" t="str">
        <f t="shared" si="19"/>
        <v/>
      </c>
      <c r="AM11" s="192" t="e">
        <f t="shared" si="8"/>
        <v>#VALUE!</v>
      </c>
      <c r="AN11" s="193" t="e">
        <f t="shared" si="9"/>
        <v>#VALUE!</v>
      </c>
      <c r="AO11" s="193" t="e">
        <f t="shared" si="10"/>
        <v>#VALUE!</v>
      </c>
      <c r="AP11" s="193"/>
      <c r="AQ11" s="204"/>
      <c r="AR11" s="204"/>
      <c r="AS11" s="204"/>
      <c r="AT11" s="204"/>
      <c r="AU11"/>
    </row>
    <row r="12" spans="2:48" ht="15" customHeight="1" x14ac:dyDescent="0.25">
      <c r="B12" s="271"/>
      <c r="C12" s="269"/>
      <c r="D12" s="266"/>
      <c r="E12" s="266"/>
      <c r="F12" s="266"/>
      <c r="G12" s="267"/>
      <c r="H12" s="266"/>
      <c r="I12" s="267"/>
      <c r="J12" s="268"/>
      <c r="K12" s="270"/>
      <c r="L12" s="187" t="str">
        <f t="shared" si="11"/>
        <v/>
      </c>
      <c r="M12" s="187" t="str">
        <f t="shared" si="12"/>
        <v/>
      </c>
      <c r="N12" s="187" t="str">
        <f t="shared" si="1"/>
        <v>D</v>
      </c>
      <c r="O12" s="187" t="str">
        <f t="shared" si="13"/>
        <v>D</v>
      </c>
      <c r="P12" s="187">
        <f t="shared" si="14"/>
        <v>1</v>
      </c>
      <c r="Q12" s="187">
        <f>IFERROR(VLOOKUP(E12,Tabela_Deflator:E$43,5,FALSE),1)</f>
        <v>1</v>
      </c>
      <c r="R12" s="188" t="str">
        <f t="shared" si="15"/>
        <v/>
      </c>
      <c r="S12" s="237" t="str">
        <f t="shared" si="3"/>
        <v/>
      </c>
      <c r="T12" s="237" t="str">
        <f t="shared" si="20"/>
        <v/>
      </c>
      <c r="U12" s="189"/>
      <c r="V12" s="167"/>
      <c r="W12" s="165"/>
      <c r="X12" s="164"/>
      <c r="Y12" s="164"/>
      <c r="Z12" s="164"/>
      <c r="AA12" s="174"/>
      <c r="AB12" s="164"/>
      <c r="AC12" s="174"/>
      <c r="AD12" s="184"/>
      <c r="AE12" s="190" t="str">
        <f t="shared" si="16"/>
        <v/>
      </c>
      <c r="AF12" s="190" t="str">
        <f t="shared" si="17"/>
        <v/>
      </c>
      <c r="AG12" s="190" t="str">
        <f t="shared" si="6"/>
        <v>D</v>
      </c>
      <c r="AH12" s="190">
        <f>IFERROR(VLOOKUP(Y12,SISP_Deflatores_e_INMs!B$4:F$49,3,FALSE),1)</f>
        <v>1</v>
      </c>
      <c r="AI12" s="190">
        <f>IFERROR(VLOOKUP(Y12,SISP_Deflatores_e_INMs!B$4:G$49,5,FALSE),1)</f>
        <v>1</v>
      </c>
      <c r="AJ12" s="191" t="str">
        <f t="shared" si="18"/>
        <v/>
      </c>
      <c r="AK12" s="237" t="str">
        <f t="shared" si="7"/>
        <v/>
      </c>
      <c r="AL12" s="237" t="str">
        <f t="shared" si="19"/>
        <v/>
      </c>
      <c r="AM12" s="192" t="e">
        <f t="shared" si="8"/>
        <v>#VALUE!</v>
      </c>
      <c r="AN12" s="193" t="e">
        <f t="shared" si="9"/>
        <v>#VALUE!</v>
      </c>
      <c r="AO12" s="193" t="e">
        <f t="shared" si="10"/>
        <v>#VALUE!</v>
      </c>
      <c r="AP12" s="193"/>
      <c r="AQ12" s="204"/>
      <c r="AR12" s="204"/>
      <c r="AS12" s="204"/>
      <c r="AT12" s="205"/>
      <c r="AU12"/>
    </row>
    <row r="13" spans="2:48" ht="15" customHeight="1" x14ac:dyDescent="0.25">
      <c r="B13" s="271"/>
      <c r="C13" s="269"/>
      <c r="D13" s="266"/>
      <c r="E13" s="266"/>
      <c r="F13" s="266"/>
      <c r="G13" s="267"/>
      <c r="H13" s="266"/>
      <c r="I13" s="267"/>
      <c r="J13" s="268"/>
      <c r="K13" s="270"/>
      <c r="L13" s="187" t="str">
        <f t="shared" si="11"/>
        <v/>
      </c>
      <c r="M13" s="187" t="str">
        <f t="shared" si="12"/>
        <v/>
      </c>
      <c r="N13" s="187" t="str">
        <f t="shared" si="1"/>
        <v>D</v>
      </c>
      <c r="O13" s="187" t="str">
        <f t="shared" si="13"/>
        <v>D</v>
      </c>
      <c r="P13" s="187">
        <f t="shared" si="14"/>
        <v>1</v>
      </c>
      <c r="Q13" s="187">
        <f>IFERROR(VLOOKUP(E13,Tabela_Deflator:E$43,5,FALSE),1)</f>
        <v>1</v>
      </c>
      <c r="R13" s="188" t="str">
        <f t="shared" si="15"/>
        <v/>
      </c>
      <c r="S13" s="237" t="str">
        <f t="shared" si="3"/>
        <v/>
      </c>
      <c r="T13" s="237" t="str">
        <f t="shared" si="20"/>
        <v/>
      </c>
      <c r="U13" s="189"/>
      <c r="V13" s="167"/>
      <c r="W13" s="165"/>
      <c r="X13" s="164"/>
      <c r="Y13" s="164"/>
      <c r="Z13" s="164"/>
      <c r="AA13" s="174"/>
      <c r="AB13" s="164"/>
      <c r="AC13" s="174"/>
      <c r="AD13" s="184"/>
      <c r="AE13" s="190" t="str">
        <f t="shared" si="16"/>
        <v/>
      </c>
      <c r="AF13" s="190" t="str">
        <f t="shared" si="17"/>
        <v/>
      </c>
      <c r="AG13" s="190" t="str">
        <f t="shared" si="6"/>
        <v>D</v>
      </c>
      <c r="AH13" s="190">
        <f>IFERROR(VLOOKUP(Y13,SISP_Deflatores_e_INMs!B$4:F$49,3,FALSE),1)</f>
        <v>1</v>
      </c>
      <c r="AI13" s="190">
        <f>IFERROR(VLOOKUP(Y13,SISP_Deflatores_e_INMs!B$4:G$49,5,FALSE),1)</f>
        <v>1</v>
      </c>
      <c r="AJ13" s="191" t="str">
        <f t="shared" si="18"/>
        <v/>
      </c>
      <c r="AK13" s="237" t="str">
        <f t="shared" si="7"/>
        <v/>
      </c>
      <c r="AL13" s="237" t="str">
        <f t="shared" si="19"/>
        <v/>
      </c>
      <c r="AM13" s="192" t="e">
        <f t="shared" si="8"/>
        <v>#VALUE!</v>
      </c>
      <c r="AN13" s="193" t="e">
        <f t="shared" si="9"/>
        <v>#VALUE!</v>
      </c>
      <c r="AO13" s="193" t="e">
        <f t="shared" si="10"/>
        <v>#VALUE!</v>
      </c>
      <c r="AP13" s="193"/>
      <c r="AQ13" s="204"/>
      <c r="AR13" s="204"/>
      <c r="AS13" s="204"/>
      <c r="AT13" s="205"/>
      <c r="AU13"/>
    </row>
    <row r="14" spans="2:48" ht="15" customHeight="1" x14ac:dyDescent="0.25">
      <c r="B14" s="271"/>
      <c r="C14" s="269"/>
      <c r="D14" s="266"/>
      <c r="E14" s="266"/>
      <c r="F14" s="266"/>
      <c r="G14" s="267"/>
      <c r="H14" s="266"/>
      <c r="I14" s="267"/>
      <c r="J14" s="268"/>
      <c r="K14" s="270"/>
      <c r="L14" s="187" t="str">
        <f t="shared" si="11"/>
        <v/>
      </c>
      <c r="M14" s="187" t="str">
        <f t="shared" si="12"/>
        <v/>
      </c>
      <c r="N14" s="187" t="str">
        <f t="shared" si="1"/>
        <v>D</v>
      </c>
      <c r="O14" s="187" t="str">
        <f t="shared" si="13"/>
        <v>D</v>
      </c>
      <c r="P14" s="187">
        <f t="shared" si="14"/>
        <v>1</v>
      </c>
      <c r="Q14" s="187">
        <f>IFERROR(VLOOKUP(E14,Tabela_Deflator:E$43,5,FALSE),1)</f>
        <v>1</v>
      </c>
      <c r="R14" s="188" t="str">
        <f t="shared" si="15"/>
        <v/>
      </c>
      <c r="S14" s="237" t="str">
        <f t="shared" si="3"/>
        <v/>
      </c>
      <c r="T14" s="237" t="str">
        <f t="shared" si="20"/>
        <v/>
      </c>
      <c r="U14" s="189"/>
      <c r="V14" s="167"/>
      <c r="W14" s="165"/>
      <c r="X14" s="164"/>
      <c r="Y14" s="164"/>
      <c r="Z14" s="164"/>
      <c r="AA14" s="174"/>
      <c r="AB14" s="164"/>
      <c r="AC14" s="174"/>
      <c r="AD14" s="184"/>
      <c r="AE14" s="190" t="str">
        <f t="shared" si="16"/>
        <v/>
      </c>
      <c r="AF14" s="190" t="str">
        <f t="shared" si="17"/>
        <v/>
      </c>
      <c r="AG14" s="190" t="str">
        <f t="shared" si="6"/>
        <v>D</v>
      </c>
      <c r="AH14" s="190">
        <f>IFERROR(VLOOKUP(Y14,SISP_Deflatores_e_INMs!B$4:F$49,3,FALSE),1)</f>
        <v>1</v>
      </c>
      <c r="AI14" s="190">
        <f>IFERROR(VLOOKUP(Y14,SISP_Deflatores_e_INMs!B$4:G$49,5,FALSE),1)</f>
        <v>1</v>
      </c>
      <c r="AJ14" s="191" t="str">
        <f t="shared" si="18"/>
        <v/>
      </c>
      <c r="AK14" s="237" t="str">
        <f t="shared" si="7"/>
        <v/>
      </c>
      <c r="AL14" s="237" t="str">
        <f t="shared" si="19"/>
        <v/>
      </c>
      <c r="AM14" s="192" t="e">
        <f t="shared" si="8"/>
        <v>#VALUE!</v>
      </c>
      <c r="AN14" s="193" t="e">
        <f t="shared" si="9"/>
        <v>#VALUE!</v>
      </c>
      <c r="AO14" s="193" t="e">
        <f t="shared" si="10"/>
        <v>#VALUE!</v>
      </c>
      <c r="AP14" s="193"/>
      <c r="AQ14" s="204"/>
      <c r="AR14" s="204"/>
      <c r="AS14" s="204"/>
      <c r="AT14" s="205"/>
      <c r="AU14"/>
    </row>
    <row r="15" spans="2:48" ht="15" customHeight="1" x14ac:dyDescent="0.25">
      <c r="B15" s="206"/>
      <c r="C15" s="185"/>
      <c r="D15" s="164"/>
      <c r="E15" s="174"/>
      <c r="F15" s="164"/>
      <c r="G15" s="174"/>
      <c r="H15" s="164"/>
      <c r="I15" s="174"/>
      <c r="J15" s="184"/>
      <c r="K15" s="186"/>
      <c r="L15" s="187" t="str">
        <f t="shared" si="11"/>
        <v/>
      </c>
      <c r="M15" s="187" t="str">
        <f t="shared" si="12"/>
        <v/>
      </c>
      <c r="N15" s="187" t="str">
        <f t="shared" si="1"/>
        <v>D</v>
      </c>
      <c r="O15" s="187" t="str">
        <f t="shared" si="13"/>
        <v>D</v>
      </c>
      <c r="P15" s="187">
        <f t="shared" si="14"/>
        <v>1</v>
      </c>
      <c r="Q15" s="187">
        <f>IFERROR(VLOOKUP(E15,Tabela_Deflator:E$43,5,FALSE),1)</f>
        <v>1</v>
      </c>
      <c r="R15" s="188" t="str">
        <f t="shared" si="15"/>
        <v/>
      </c>
      <c r="S15" s="237" t="str">
        <f t="shared" si="3"/>
        <v/>
      </c>
      <c r="T15" s="237" t="str">
        <f t="shared" si="20"/>
        <v/>
      </c>
      <c r="U15" s="189"/>
      <c r="V15" s="167"/>
      <c r="W15" s="165"/>
      <c r="X15" s="164"/>
      <c r="Y15" s="164"/>
      <c r="Z15" s="164"/>
      <c r="AA15" s="174"/>
      <c r="AB15" s="164"/>
      <c r="AC15" s="174"/>
      <c r="AD15" s="184"/>
      <c r="AE15" s="190" t="str">
        <f t="shared" si="16"/>
        <v/>
      </c>
      <c r="AF15" s="190" t="str">
        <f t="shared" si="17"/>
        <v/>
      </c>
      <c r="AG15" s="190" t="str">
        <f t="shared" si="6"/>
        <v>D</v>
      </c>
      <c r="AH15" s="190">
        <f>IFERROR(VLOOKUP(Y15,SISP_Deflatores_e_INMs!B$4:F$49,3,FALSE),1)</f>
        <v>1</v>
      </c>
      <c r="AI15" s="190">
        <f>IFERROR(VLOOKUP(Y15,SISP_Deflatores_e_INMs!B$4:G$49,5,FALSE),1)</f>
        <v>1</v>
      </c>
      <c r="AJ15" s="191" t="str">
        <f t="shared" si="18"/>
        <v/>
      </c>
      <c r="AK15" s="237" t="str">
        <f t="shared" si="7"/>
        <v/>
      </c>
      <c r="AL15" s="237" t="str">
        <f t="shared" si="19"/>
        <v/>
      </c>
      <c r="AM15" s="192" t="e">
        <f t="shared" si="8"/>
        <v>#VALUE!</v>
      </c>
      <c r="AN15" s="193" t="e">
        <f t="shared" si="9"/>
        <v>#VALUE!</v>
      </c>
      <c r="AO15" s="193" t="e">
        <f t="shared" si="10"/>
        <v>#VALUE!</v>
      </c>
      <c r="AP15" s="193"/>
      <c r="AQ15" s="204"/>
      <c r="AR15" s="204"/>
      <c r="AS15" s="204"/>
      <c r="AT15" s="205"/>
      <c r="AU15"/>
    </row>
    <row r="16" spans="2:48" ht="15" customHeight="1" x14ac:dyDescent="0.25">
      <c r="B16" s="206"/>
      <c r="C16" s="185"/>
      <c r="D16" s="164"/>
      <c r="E16" s="174"/>
      <c r="F16" s="164"/>
      <c r="G16" s="174"/>
      <c r="H16" s="164"/>
      <c r="I16" s="174"/>
      <c r="J16" s="184"/>
      <c r="K16" s="186"/>
      <c r="L16" s="187" t="str">
        <f t="shared" si="11"/>
        <v/>
      </c>
      <c r="M16" s="187" t="str">
        <f t="shared" si="12"/>
        <v/>
      </c>
      <c r="N16" s="187" t="str">
        <f t="shared" si="1"/>
        <v>D</v>
      </c>
      <c r="O16" s="187" t="str">
        <f t="shared" si="13"/>
        <v>D</v>
      </c>
      <c r="P16" s="187">
        <f t="shared" si="14"/>
        <v>1</v>
      </c>
      <c r="Q16" s="187">
        <f>IFERROR(VLOOKUP(E16,Tabela_Deflator:E$43,5,FALSE),1)</f>
        <v>1</v>
      </c>
      <c r="R16" s="188" t="str">
        <f t="shared" si="15"/>
        <v/>
      </c>
      <c r="S16" s="237" t="str">
        <f t="shared" si="3"/>
        <v/>
      </c>
      <c r="T16" s="237" t="str">
        <f t="shared" si="20"/>
        <v/>
      </c>
      <c r="U16" s="189"/>
      <c r="V16" s="167"/>
      <c r="W16" s="165"/>
      <c r="X16" s="164"/>
      <c r="Y16" s="164"/>
      <c r="Z16" s="164"/>
      <c r="AA16" s="174"/>
      <c r="AB16" s="164"/>
      <c r="AC16" s="174"/>
      <c r="AD16" s="184"/>
      <c r="AE16" s="190" t="str">
        <f t="shared" si="16"/>
        <v/>
      </c>
      <c r="AF16" s="190" t="str">
        <f t="shared" si="17"/>
        <v/>
      </c>
      <c r="AG16" s="190" t="str">
        <f t="shared" si="6"/>
        <v>D</v>
      </c>
      <c r="AH16" s="190">
        <f>IFERROR(VLOOKUP(Y16,SISP_Deflatores_e_INMs!B$4:F$49,3,FALSE),1)</f>
        <v>1</v>
      </c>
      <c r="AI16" s="190">
        <f>IFERROR(VLOOKUP(Y16,SISP_Deflatores_e_INMs!B$4:G$49,5,FALSE),1)</f>
        <v>1</v>
      </c>
      <c r="AJ16" s="191" t="str">
        <f t="shared" si="18"/>
        <v/>
      </c>
      <c r="AK16" s="237" t="str">
        <f t="shared" si="7"/>
        <v/>
      </c>
      <c r="AL16" s="237" t="str">
        <f t="shared" si="19"/>
        <v/>
      </c>
      <c r="AM16" s="192" t="e">
        <f t="shared" si="8"/>
        <v>#VALUE!</v>
      </c>
      <c r="AN16" s="193" t="e">
        <f t="shared" si="9"/>
        <v>#VALUE!</v>
      </c>
      <c r="AO16" s="193" t="e">
        <f t="shared" si="10"/>
        <v>#VALUE!</v>
      </c>
      <c r="AP16" s="193"/>
      <c r="AQ16" s="204"/>
      <c r="AR16" s="204"/>
      <c r="AS16" s="204"/>
      <c r="AT16" s="205"/>
      <c r="AU16"/>
    </row>
    <row r="17" spans="2:47" ht="15" customHeight="1" x14ac:dyDescent="0.25">
      <c r="B17" s="206"/>
      <c r="C17" s="185"/>
      <c r="D17" s="164"/>
      <c r="E17" s="174"/>
      <c r="F17" s="164"/>
      <c r="G17" s="174"/>
      <c r="H17" s="164"/>
      <c r="I17" s="174"/>
      <c r="J17" s="184"/>
      <c r="K17" s="186"/>
      <c r="L17" s="187" t="str">
        <f t="shared" si="11"/>
        <v/>
      </c>
      <c r="M17" s="187" t="str">
        <f t="shared" si="12"/>
        <v/>
      </c>
      <c r="N17" s="187" t="str">
        <f t="shared" si="1"/>
        <v>D</v>
      </c>
      <c r="O17" s="187" t="str">
        <f t="shared" si="13"/>
        <v>D</v>
      </c>
      <c r="P17" s="187">
        <f t="shared" si="14"/>
        <v>1</v>
      </c>
      <c r="Q17" s="187">
        <f>IFERROR(VLOOKUP(E17,Tabela_Deflator:E$43,5,FALSE),1)</f>
        <v>1</v>
      </c>
      <c r="R17" s="188" t="str">
        <f t="shared" si="15"/>
        <v/>
      </c>
      <c r="S17" s="237" t="str">
        <f t="shared" si="3"/>
        <v/>
      </c>
      <c r="T17" s="237" t="str">
        <f t="shared" si="20"/>
        <v/>
      </c>
      <c r="U17" s="189"/>
      <c r="V17" s="167"/>
      <c r="W17" s="165"/>
      <c r="X17" s="164"/>
      <c r="Y17" s="164"/>
      <c r="Z17" s="164"/>
      <c r="AA17" s="174"/>
      <c r="AB17" s="164"/>
      <c r="AC17" s="174"/>
      <c r="AD17" s="184"/>
      <c r="AE17" s="190" t="str">
        <f t="shared" si="16"/>
        <v/>
      </c>
      <c r="AF17" s="190" t="str">
        <f t="shared" si="17"/>
        <v/>
      </c>
      <c r="AG17" s="190" t="str">
        <f t="shared" si="6"/>
        <v>D</v>
      </c>
      <c r="AH17" s="190">
        <f>IFERROR(VLOOKUP(Y17,SISP_Deflatores_e_INMs!B$4:F$49,3,FALSE),1)</f>
        <v>1</v>
      </c>
      <c r="AI17" s="190">
        <f>IFERROR(VLOOKUP(Y17,SISP_Deflatores_e_INMs!B$4:G$49,5,FALSE),1)</f>
        <v>1</v>
      </c>
      <c r="AJ17" s="191" t="str">
        <f t="shared" si="18"/>
        <v/>
      </c>
      <c r="AK17" s="237" t="str">
        <f t="shared" si="7"/>
        <v/>
      </c>
      <c r="AL17" s="237" t="str">
        <f t="shared" si="19"/>
        <v/>
      </c>
      <c r="AM17" s="192" t="e">
        <f t="shared" si="8"/>
        <v>#VALUE!</v>
      </c>
      <c r="AN17" s="193" t="e">
        <f t="shared" si="9"/>
        <v>#VALUE!</v>
      </c>
      <c r="AO17" s="193" t="e">
        <f t="shared" si="10"/>
        <v>#VALUE!</v>
      </c>
      <c r="AP17" s="193"/>
      <c r="AQ17" s="204"/>
      <c r="AR17" s="204"/>
      <c r="AS17" s="204"/>
      <c r="AT17" s="205"/>
      <c r="AU17"/>
    </row>
    <row r="18" spans="2:47" ht="15" customHeight="1" x14ac:dyDescent="0.25">
      <c r="B18" s="206"/>
      <c r="C18" s="185"/>
      <c r="D18" s="164"/>
      <c r="E18" s="174"/>
      <c r="F18" s="164"/>
      <c r="G18" s="174"/>
      <c r="H18" s="164"/>
      <c r="I18" s="174"/>
      <c r="J18" s="184"/>
      <c r="K18" s="186"/>
      <c r="L18" s="187" t="str">
        <f t="shared" si="11"/>
        <v/>
      </c>
      <c r="M18" s="187" t="str">
        <f t="shared" si="12"/>
        <v/>
      </c>
      <c r="N18" s="187" t="str">
        <f t="shared" si="1"/>
        <v>D</v>
      </c>
      <c r="O18" s="187" t="str">
        <f t="shared" si="13"/>
        <v>D</v>
      </c>
      <c r="P18" s="187">
        <f t="shared" si="14"/>
        <v>1</v>
      </c>
      <c r="Q18" s="187">
        <f>IFERROR(VLOOKUP(E18,Tabela_Deflator:E$43,5,FALSE),1)</f>
        <v>1</v>
      </c>
      <c r="R18" s="188" t="str">
        <f t="shared" si="15"/>
        <v/>
      </c>
      <c r="S18" s="237" t="str">
        <f t="shared" si="3"/>
        <v/>
      </c>
      <c r="T18" s="237" t="str">
        <f t="shared" si="20"/>
        <v/>
      </c>
      <c r="U18" s="189"/>
      <c r="V18" s="167"/>
      <c r="W18" s="165"/>
      <c r="X18" s="164"/>
      <c r="Y18" s="164"/>
      <c r="Z18" s="164"/>
      <c r="AA18" s="174"/>
      <c r="AB18" s="164"/>
      <c r="AC18" s="174"/>
      <c r="AD18" s="184"/>
      <c r="AE18" s="190" t="str">
        <f t="shared" si="16"/>
        <v/>
      </c>
      <c r="AF18" s="190" t="str">
        <f t="shared" si="17"/>
        <v/>
      </c>
      <c r="AG18" s="190" t="str">
        <f t="shared" si="6"/>
        <v>D</v>
      </c>
      <c r="AH18" s="190">
        <f>IFERROR(VLOOKUP(Y18,SISP_Deflatores_e_INMs!B$4:F$49,3,FALSE),1)</f>
        <v>1</v>
      </c>
      <c r="AI18" s="190">
        <f>IFERROR(VLOOKUP(Y18,SISP_Deflatores_e_INMs!B$4:G$49,5,FALSE),1)</f>
        <v>1</v>
      </c>
      <c r="AJ18" s="191" t="str">
        <f t="shared" si="18"/>
        <v/>
      </c>
      <c r="AK18" s="237" t="str">
        <f t="shared" si="7"/>
        <v/>
      </c>
      <c r="AL18" s="237" t="str">
        <f t="shared" si="19"/>
        <v/>
      </c>
      <c r="AM18" s="192" t="e">
        <f t="shared" si="8"/>
        <v>#VALUE!</v>
      </c>
      <c r="AN18" s="193" t="e">
        <f t="shared" si="9"/>
        <v>#VALUE!</v>
      </c>
      <c r="AO18" s="193" t="e">
        <f t="shared" si="10"/>
        <v>#VALUE!</v>
      </c>
      <c r="AP18" s="193"/>
      <c r="AQ18" s="204"/>
      <c r="AR18" s="204"/>
      <c r="AS18" s="204"/>
      <c r="AT18" s="205"/>
      <c r="AU18"/>
    </row>
    <row r="19" spans="2:47" ht="15" customHeight="1" x14ac:dyDescent="0.25">
      <c r="B19" s="206"/>
      <c r="C19" s="185"/>
      <c r="D19" s="164"/>
      <c r="E19" s="174"/>
      <c r="F19" s="164"/>
      <c r="G19" s="174"/>
      <c r="H19" s="164"/>
      <c r="I19" s="174"/>
      <c r="J19" s="184"/>
      <c r="K19" s="186"/>
      <c r="L19" s="187" t="str">
        <f t="shared" si="11"/>
        <v/>
      </c>
      <c r="M19" s="187" t="str">
        <f t="shared" si="12"/>
        <v/>
      </c>
      <c r="N19" s="187" t="str">
        <f t="shared" si="1"/>
        <v>D</v>
      </c>
      <c r="O19" s="187" t="str">
        <f t="shared" si="13"/>
        <v>D</v>
      </c>
      <c r="P19" s="187">
        <f t="shared" si="14"/>
        <v>1</v>
      </c>
      <c r="Q19" s="187">
        <f>IFERROR(VLOOKUP(E19,Tabela_Deflator:E$43,5,FALSE),1)</f>
        <v>1</v>
      </c>
      <c r="R19" s="188" t="str">
        <f t="shared" si="15"/>
        <v/>
      </c>
      <c r="S19" s="237" t="str">
        <f t="shared" si="3"/>
        <v/>
      </c>
      <c r="T19" s="237" t="str">
        <f t="shared" si="20"/>
        <v/>
      </c>
      <c r="U19" s="189"/>
      <c r="V19" s="167"/>
      <c r="W19" s="165"/>
      <c r="X19" s="164"/>
      <c r="Y19" s="164"/>
      <c r="Z19" s="164"/>
      <c r="AA19" s="174"/>
      <c r="AB19" s="164"/>
      <c r="AC19" s="174"/>
      <c r="AD19" s="184"/>
      <c r="AE19" s="190" t="str">
        <f t="shared" si="16"/>
        <v/>
      </c>
      <c r="AF19" s="190" t="str">
        <f t="shared" si="17"/>
        <v/>
      </c>
      <c r="AG19" s="190" t="str">
        <f t="shared" si="6"/>
        <v>D</v>
      </c>
      <c r="AH19" s="190">
        <f>IFERROR(VLOOKUP(Y19,SISP_Deflatores_e_INMs!B$4:F$49,3,FALSE),1)</f>
        <v>1</v>
      </c>
      <c r="AI19" s="190">
        <f>IFERROR(VLOOKUP(Y19,SISP_Deflatores_e_INMs!B$4:G$49,5,FALSE),1)</f>
        <v>1</v>
      </c>
      <c r="AJ19" s="191" t="str">
        <f t="shared" si="18"/>
        <v/>
      </c>
      <c r="AK19" s="237" t="str">
        <f t="shared" si="7"/>
        <v/>
      </c>
      <c r="AL19" s="237" t="str">
        <f t="shared" si="19"/>
        <v/>
      </c>
      <c r="AM19" s="192" t="e">
        <f t="shared" si="8"/>
        <v>#VALUE!</v>
      </c>
      <c r="AN19" s="193" t="e">
        <f t="shared" si="9"/>
        <v>#VALUE!</v>
      </c>
      <c r="AO19" s="193" t="e">
        <f t="shared" si="10"/>
        <v>#VALUE!</v>
      </c>
      <c r="AP19" s="193"/>
      <c r="AQ19" s="204"/>
      <c r="AR19" s="204"/>
      <c r="AS19" s="204"/>
      <c r="AT19" s="205"/>
      <c r="AU19"/>
    </row>
    <row r="20" spans="2:47" ht="15" customHeight="1" x14ac:dyDescent="0.25">
      <c r="B20" s="206"/>
      <c r="C20" s="185"/>
      <c r="D20" s="164"/>
      <c r="E20" s="174"/>
      <c r="F20" s="164"/>
      <c r="G20" s="174"/>
      <c r="H20" s="164"/>
      <c r="I20" s="174"/>
      <c r="J20" s="184"/>
      <c r="K20" s="186"/>
      <c r="L20" s="187" t="str">
        <f t="shared" si="11"/>
        <v/>
      </c>
      <c r="M20" s="187" t="str">
        <f t="shared" si="12"/>
        <v/>
      </c>
      <c r="N20" s="187" t="str">
        <f t="shared" si="1"/>
        <v>D</v>
      </c>
      <c r="O20" s="187" t="str">
        <f t="shared" si="13"/>
        <v>D</v>
      </c>
      <c r="P20" s="187">
        <f t="shared" si="14"/>
        <v>1</v>
      </c>
      <c r="Q20" s="187">
        <f>IFERROR(VLOOKUP(E20,Tabela_Deflator:E$43,5,FALSE),1)</f>
        <v>1</v>
      </c>
      <c r="R20" s="188" t="str">
        <f t="shared" si="15"/>
        <v/>
      </c>
      <c r="S20" s="237" t="str">
        <f t="shared" si="3"/>
        <v/>
      </c>
      <c r="T20" s="237" t="str">
        <f t="shared" si="20"/>
        <v/>
      </c>
      <c r="U20" s="189"/>
      <c r="V20" s="167"/>
      <c r="W20" s="165"/>
      <c r="X20" s="164"/>
      <c r="Y20" s="164"/>
      <c r="Z20" s="164"/>
      <c r="AA20" s="174"/>
      <c r="AB20" s="164"/>
      <c r="AC20" s="174"/>
      <c r="AD20" s="184"/>
      <c r="AE20" s="190" t="str">
        <f t="shared" si="16"/>
        <v/>
      </c>
      <c r="AF20" s="190" t="str">
        <f t="shared" si="17"/>
        <v/>
      </c>
      <c r="AG20" s="190" t="str">
        <f t="shared" si="6"/>
        <v>D</v>
      </c>
      <c r="AH20" s="190">
        <f>IFERROR(VLOOKUP(Y20,SISP_Deflatores_e_INMs!B$4:F$49,3,FALSE),1)</f>
        <v>1</v>
      </c>
      <c r="AI20" s="190">
        <f>IFERROR(VLOOKUP(Y20,SISP_Deflatores_e_INMs!B$4:G$49,5,FALSE),1)</f>
        <v>1</v>
      </c>
      <c r="AJ20" s="191" t="str">
        <f t="shared" si="18"/>
        <v/>
      </c>
      <c r="AK20" s="237" t="str">
        <f t="shared" si="7"/>
        <v/>
      </c>
      <c r="AL20" s="237" t="str">
        <f t="shared" si="19"/>
        <v/>
      </c>
      <c r="AM20" s="192" t="e">
        <f t="shared" si="8"/>
        <v>#VALUE!</v>
      </c>
      <c r="AN20" s="193" t="e">
        <f t="shared" si="9"/>
        <v>#VALUE!</v>
      </c>
      <c r="AO20" s="193" t="e">
        <f t="shared" si="10"/>
        <v>#VALUE!</v>
      </c>
      <c r="AP20" s="193"/>
      <c r="AQ20" s="204"/>
      <c r="AR20" s="204"/>
      <c r="AS20" s="204"/>
      <c r="AT20" s="205"/>
      <c r="AU20"/>
    </row>
    <row r="21" spans="2:47" ht="15" customHeight="1" x14ac:dyDescent="0.25">
      <c r="B21" s="206"/>
      <c r="C21" s="185"/>
      <c r="D21" s="164"/>
      <c r="E21" s="174"/>
      <c r="F21" s="164"/>
      <c r="G21" s="174"/>
      <c r="H21" s="164"/>
      <c r="I21" s="174"/>
      <c r="J21" s="184"/>
      <c r="K21" s="186"/>
      <c r="L21" s="187" t="str">
        <f t="shared" si="11"/>
        <v/>
      </c>
      <c r="M21" s="187" t="str">
        <f t="shared" si="12"/>
        <v/>
      </c>
      <c r="N21" s="187" t="str">
        <f t="shared" si="1"/>
        <v>D</v>
      </c>
      <c r="O21" s="187" t="str">
        <f t="shared" si="13"/>
        <v>D</v>
      </c>
      <c r="P21" s="187">
        <f t="shared" si="14"/>
        <v>1</v>
      </c>
      <c r="Q21" s="187">
        <f>IFERROR(VLOOKUP(E21,Tabela_Deflator:E$43,5,FALSE),1)</f>
        <v>1</v>
      </c>
      <c r="R21" s="188" t="str">
        <f t="shared" si="15"/>
        <v/>
      </c>
      <c r="S21" s="237" t="str">
        <f t="shared" si="3"/>
        <v/>
      </c>
      <c r="T21" s="237" t="str">
        <f t="shared" si="20"/>
        <v/>
      </c>
      <c r="U21" s="189"/>
      <c r="V21" s="167"/>
      <c r="W21" s="165"/>
      <c r="X21" s="164"/>
      <c r="Y21" s="164"/>
      <c r="Z21" s="164"/>
      <c r="AA21" s="174"/>
      <c r="AB21" s="164"/>
      <c r="AC21" s="174"/>
      <c r="AD21" s="184"/>
      <c r="AE21" s="190" t="str">
        <f t="shared" si="16"/>
        <v/>
      </c>
      <c r="AF21" s="190" t="str">
        <f t="shared" si="17"/>
        <v/>
      </c>
      <c r="AG21" s="190" t="str">
        <f t="shared" si="6"/>
        <v>D</v>
      </c>
      <c r="AH21" s="190">
        <f>IFERROR(VLOOKUP(Y21,SISP_Deflatores_e_INMs!B$4:F$49,3,FALSE),1)</f>
        <v>1</v>
      </c>
      <c r="AI21" s="190">
        <f>IFERROR(VLOOKUP(Y21,SISP_Deflatores_e_INMs!B$4:G$49,5,FALSE),1)</f>
        <v>1</v>
      </c>
      <c r="AJ21" s="191" t="str">
        <f t="shared" si="18"/>
        <v/>
      </c>
      <c r="AK21" s="237" t="str">
        <f t="shared" si="7"/>
        <v/>
      </c>
      <c r="AL21" s="237" t="str">
        <f t="shared" si="19"/>
        <v/>
      </c>
      <c r="AM21" s="192" t="e">
        <f t="shared" si="8"/>
        <v>#VALUE!</v>
      </c>
      <c r="AN21" s="193" t="e">
        <f t="shared" si="9"/>
        <v>#VALUE!</v>
      </c>
      <c r="AO21" s="193" t="e">
        <f t="shared" si="10"/>
        <v>#VALUE!</v>
      </c>
      <c r="AP21" s="193"/>
      <c r="AQ21" s="204"/>
      <c r="AR21" s="204"/>
      <c r="AS21" s="204"/>
      <c r="AT21" s="205"/>
      <c r="AU21"/>
    </row>
    <row r="22" spans="2:47" ht="15" customHeight="1" x14ac:dyDescent="0.25">
      <c r="B22" s="206"/>
      <c r="C22" s="185"/>
      <c r="D22" s="164"/>
      <c r="E22" s="174"/>
      <c r="F22" s="164"/>
      <c r="G22" s="174"/>
      <c r="H22" s="164"/>
      <c r="I22" s="174"/>
      <c r="J22" s="184"/>
      <c r="K22" s="186"/>
      <c r="L22" s="187" t="str">
        <f t="shared" si="11"/>
        <v/>
      </c>
      <c r="M22" s="187" t="str">
        <f t="shared" si="12"/>
        <v/>
      </c>
      <c r="N22" s="187" t="str">
        <f t="shared" si="1"/>
        <v>D</v>
      </c>
      <c r="O22" s="187" t="str">
        <f t="shared" si="13"/>
        <v>D</v>
      </c>
      <c r="P22" s="187">
        <f t="shared" si="14"/>
        <v>1</v>
      </c>
      <c r="Q22" s="187">
        <f>IFERROR(VLOOKUP(E22,Tabela_Deflator:E$43,5,FALSE),1)</f>
        <v>1</v>
      </c>
      <c r="R22" s="188" t="str">
        <f t="shared" si="15"/>
        <v/>
      </c>
      <c r="S22" s="237" t="str">
        <f t="shared" si="3"/>
        <v/>
      </c>
      <c r="T22" s="237" t="str">
        <f t="shared" si="20"/>
        <v/>
      </c>
      <c r="U22" s="189"/>
      <c r="V22" s="167"/>
      <c r="W22" s="165"/>
      <c r="X22" s="164"/>
      <c r="Y22" s="164"/>
      <c r="Z22" s="164"/>
      <c r="AA22" s="174"/>
      <c r="AB22" s="164"/>
      <c r="AC22" s="174"/>
      <c r="AD22" s="184"/>
      <c r="AE22" s="190" t="str">
        <f t="shared" si="16"/>
        <v/>
      </c>
      <c r="AF22" s="190" t="str">
        <f t="shared" si="17"/>
        <v/>
      </c>
      <c r="AG22" s="190" t="str">
        <f t="shared" si="6"/>
        <v>D</v>
      </c>
      <c r="AH22" s="190">
        <f>IFERROR(VLOOKUP(Y22,SISP_Deflatores_e_INMs!B$4:F$49,3,FALSE),1)</f>
        <v>1</v>
      </c>
      <c r="AI22" s="190">
        <f>IFERROR(VLOOKUP(Y22,SISP_Deflatores_e_INMs!B$4:G$49,5,FALSE),1)</f>
        <v>1</v>
      </c>
      <c r="AJ22" s="191" t="str">
        <f t="shared" si="18"/>
        <v/>
      </c>
      <c r="AK22" s="237" t="str">
        <f t="shared" si="7"/>
        <v/>
      </c>
      <c r="AL22" s="237" t="str">
        <f t="shared" si="19"/>
        <v/>
      </c>
      <c r="AM22" s="192" t="e">
        <f t="shared" si="8"/>
        <v>#VALUE!</v>
      </c>
      <c r="AN22" s="193" t="e">
        <f t="shared" si="9"/>
        <v>#VALUE!</v>
      </c>
      <c r="AO22" s="193" t="e">
        <f t="shared" si="10"/>
        <v>#VALUE!</v>
      </c>
      <c r="AP22" s="193"/>
      <c r="AQ22" s="204"/>
      <c r="AR22" s="204"/>
      <c r="AS22" s="204"/>
      <c r="AT22" s="205"/>
      <c r="AU22"/>
    </row>
    <row r="23" spans="2:47" ht="15" customHeight="1" x14ac:dyDescent="0.25">
      <c r="B23" s="206"/>
      <c r="C23" s="185"/>
      <c r="D23" s="164"/>
      <c r="E23" s="174"/>
      <c r="F23" s="164"/>
      <c r="G23" s="174"/>
      <c r="H23" s="164"/>
      <c r="I23" s="174"/>
      <c r="J23" s="184"/>
      <c r="K23" s="186"/>
      <c r="L23" s="187" t="str">
        <f t="shared" si="11"/>
        <v/>
      </c>
      <c r="M23" s="187" t="str">
        <f t="shared" si="12"/>
        <v/>
      </c>
      <c r="N23" s="187" t="str">
        <f t="shared" si="1"/>
        <v>D</v>
      </c>
      <c r="O23" s="187" t="str">
        <f t="shared" si="13"/>
        <v>D</v>
      </c>
      <c r="P23" s="187">
        <f t="shared" si="14"/>
        <v>1</v>
      </c>
      <c r="Q23" s="187">
        <f>IFERROR(VLOOKUP(E23,Tabela_Deflator:E$43,5,FALSE),1)</f>
        <v>1</v>
      </c>
      <c r="R23" s="188" t="str">
        <f t="shared" si="15"/>
        <v/>
      </c>
      <c r="S23" s="237" t="str">
        <f t="shared" si="3"/>
        <v/>
      </c>
      <c r="T23" s="237" t="str">
        <f t="shared" si="20"/>
        <v/>
      </c>
      <c r="U23" s="189"/>
      <c r="V23" s="167"/>
      <c r="W23" s="165"/>
      <c r="X23" s="164"/>
      <c r="Y23" s="164"/>
      <c r="Z23" s="164"/>
      <c r="AA23" s="174"/>
      <c r="AB23" s="164"/>
      <c r="AC23" s="174"/>
      <c r="AD23" s="184"/>
      <c r="AE23" s="190" t="str">
        <f t="shared" si="16"/>
        <v/>
      </c>
      <c r="AF23" s="190" t="str">
        <f t="shared" si="17"/>
        <v/>
      </c>
      <c r="AG23" s="190" t="str">
        <f t="shared" si="6"/>
        <v>D</v>
      </c>
      <c r="AH23" s="190">
        <f>IFERROR(VLOOKUP(Y23,SISP_Deflatores_e_INMs!B$4:F$49,3,FALSE),1)</f>
        <v>1</v>
      </c>
      <c r="AI23" s="190">
        <f>IFERROR(VLOOKUP(Y23,SISP_Deflatores_e_INMs!B$4:G$49,5,FALSE),1)</f>
        <v>1</v>
      </c>
      <c r="AJ23" s="191" t="str">
        <f t="shared" si="18"/>
        <v/>
      </c>
      <c r="AK23" s="237" t="str">
        <f t="shared" si="7"/>
        <v/>
      </c>
      <c r="AL23" s="237" t="str">
        <f t="shared" si="19"/>
        <v/>
      </c>
      <c r="AM23" s="192" t="e">
        <f t="shared" si="8"/>
        <v>#VALUE!</v>
      </c>
      <c r="AN23" s="193" t="e">
        <f t="shared" si="9"/>
        <v>#VALUE!</v>
      </c>
      <c r="AO23" s="193" t="e">
        <f t="shared" si="10"/>
        <v>#VALUE!</v>
      </c>
      <c r="AP23" s="193"/>
      <c r="AQ23" s="204"/>
      <c r="AR23" s="204"/>
      <c r="AS23" s="204"/>
      <c r="AT23" s="205"/>
      <c r="AU23"/>
    </row>
    <row r="24" spans="2:47" ht="15" customHeight="1" x14ac:dyDescent="0.25">
      <c r="B24" s="206"/>
      <c r="C24" s="185"/>
      <c r="D24" s="164"/>
      <c r="E24" s="174"/>
      <c r="F24" s="164"/>
      <c r="G24" s="174"/>
      <c r="H24" s="164"/>
      <c r="I24" s="174"/>
      <c r="J24" s="184"/>
      <c r="K24" s="186"/>
      <c r="L24" s="187" t="str">
        <f t="shared" si="11"/>
        <v/>
      </c>
      <c r="M24" s="187" t="str">
        <f t="shared" si="12"/>
        <v/>
      </c>
      <c r="N24" s="187" t="str">
        <f t="shared" si="1"/>
        <v>D</v>
      </c>
      <c r="O24" s="187" t="str">
        <f t="shared" si="13"/>
        <v>D</v>
      </c>
      <c r="P24" s="187">
        <f t="shared" si="14"/>
        <v>1</v>
      </c>
      <c r="Q24" s="187">
        <f>IFERROR(VLOOKUP(E24,Tabela_Deflator:E$43,5,FALSE),1)</f>
        <v>1</v>
      </c>
      <c r="R24" s="188" t="str">
        <f t="shared" si="15"/>
        <v/>
      </c>
      <c r="S24" s="237" t="str">
        <f t="shared" si="3"/>
        <v/>
      </c>
      <c r="T24" s="237" t="str">
        <f t="shared" si="20"/>
        <v/>
      </c>
      <c r="U24" s="189"/>
      <c r="V24" s="167"/>
      <c r="W24" s="165"/>
      <c r="X24" s="164"/>
      <c r="Y24" s="164"/>
      <c r="Z24" s="164"/>
      <c r="AA24" s="174"/>
      <c r="AB24" s="164"/>
      <c r="AC24" s="174"/>
      <c r="AD24" s="184"/>
      <c r="AE24" s="190" t="str">
        <f t="shared" si="16"/>
        <v/>
      </c>
      <c r="AF24" s="190" t="str">
        <f t="shared" si="17"/>
        <v/>
      </c>
      <c r="AG24" s="190" t="str">
        <f t="shared" si="6"/>
        <v>D</v>
      </c>
      <c r="AH24" s="190">
        <f>IFERROR(VLOOKUP(Y24,SISP_Deflatores_e_INMs!B$4:F$49,3,FALSE),1)</f>
        <v>1</v>
      </c>
      <c r="AI24" s="190">
        <f>IFERROR(VLOOKUP(Y24,SISP_Deflatores_e_INMs!B$4:G$49,5,FALSE),1)</f>
        <v>1</v>
      </c>
      <c r="AJ24" s="191" t="str">
        <f t="shared" si="18"/>
        <v/>
      </c>
      <c r="AK24" s="237" t="str">
        <f t="shared" si="7"/>
        <v/>
      </c>
      <c r="AL24" s="237" t="str">
        <f t="shared" si="19"/>
        <v/>
      </c>
      <c r="AM24" s="192" t="e">
        <f t="shared" si="8"/>
        <v>#VALUE!</v>
      </c>
      <c r="AN24" s="193" t="e">
        <f t="shared" si="9"/>
        <v>#VALUE!</v>
      </c>
      <c r="AO24" s="193" t="e">
        <f t="shared" si="10"/>
        <v>#VALUE!</v>
      </c>
      <c r="AP24" s="193"/>
      <c r="AQ24" s="204"/>
      <c r="AR24" s="204"/>
      <c r="AS24" s="204"/>
      <c r="AT24" s="205"/>
      <c r="AU24"/>
    </row>
    <row r="25" spans="2:47" ht="15" customHeight="1" x14ac:dyDescent="0.25">
      <c r="B25" s="206"/>
      <c r="C25" s="185"/>
      <c r="D25" s="164"/>
      <c r="E25" s="174"/>
      <c r="F25" s="164"/>
      <c r="G25" s="174"/>
      <c r="H25" s="164"/>
      <c r="I25" s="174"/>
      <c r="J25" s="184"/>
      <c r="K25" s="186"/>
      <c r="L25" s="187" t="str">
        <f t="shared" si="11"/>
        <v/>
      </c>
      <c r="M25" s="187" t="str">
        <f t="shared" si="12"/>
        <v/>
      </c>
      <c r="N25" s="187" t="str">
        <f t="shared" si="1"/>
        <v>D</v>
      </c>
      <c r="O25" s="187" t="str">
        <f t="shared" si="13"/>
        <v>D</v>
      </c>
      <c r="P25" s="187">
        <f t="shared" si="14"/>
        <v>1</v>
      </c>
      <c r="Q25" s="187">
        <f>IFERROR(VLOOKUP(E25,Tabela_Deflator:E$43,5,FALSE),1)</f>
        <v>1</v>
      </c>
      <c r="R25" s="188" t="str">
        <f t="shared" si="15"/>
        <v/>
      </c>
      <c r="S25" s="237" t="str">
        <f t="shared" si="3"/>
        <v/>
      </c>
      <c r="T25" s="237" t="str">
        <f t="shared" si="20"/>
        <v/>
      </c>
      <c r="U25" s="189"/>
      <c r="V25" s="167"/>
      <c r="W25" s="165"/>
      <c r="X25" s="164"/>
      <c r="Y25" s="164"/>
      <c r="Z25" s="164"/>
      <c r="AA25" s="174"/>
      <c r="AB25" s="164"/>
      <c r="AC25" s="174"/>
      <c r="AD25" s="184"/>
      <c r="AE25" s="190" t="str">
        <f t="shared" si="16"/>
        <v/>
      </c>
      <c r="AF25" s="190" t="str">
        <f t="shared" si="17"/>
        <v/>
      </c>
      <c r="AG25" s="190" t="str">
        <f t="shared" si="6"/>
        <v>D</v>
      </c>
      <c r="AH25" s="190">
        <f>IFERROR(VLOOKUP(Y25,SISP_Deflatores_e_INMs!B$4:F$49,3,FALSE),1)</f>
        <v>1</v>
      </c>
      <c r="AI25" s="190">
        <f>IFERROR(VLOOKUP(Y25,SISP_Deflatores_e_INMs!B$4:G$49,5,FALSE),1)</f>
        <v>1</v>
      </c>
      <c r="AJ25" s="191" t="str">
        <f t="shared" si="18"/>
        <v/>
      </c>
      <c r="AK25" s="237" t="str">
        <f t="shared" si="7"/>
        <v/>
      </c>
      <c r="AL25" s="237" t="str">
        <f t="shared" si="19"/>
        <v/>
      </c>
      <c r="AM25" s="192" t="e">
        <f t="shared" si="8"/>
        <v>#VALUE!</v>
      </c>
      <c r="AN25" s="193" t="e">
        <f t="shared" si="9"/>
        <v>#VALUE!</v>
      </c>
      <c r="AO25" s="193" t="e">
        <f t="shared" si="10"/>
        <v>#VALUE!</v>
      </c>
      <c r="AP25" s="193"/>
      <c r="AQ25" s="204"/>
      <c r="AR25" s="204"/>
      <c r="AS25" s="204"/>
      <c r="AT25" s="205"/>
      <c r="AU25"/>
    </row>
    <row r="26" spans="2:47" ht="15" customHeight="1" x14ac:dyDescent="0.25">
      <c r="B26" s="206"/>
      <c r="C26" s="185"/>
      <c r="D26" s="164"/>
      <c r="E26" s="174"/>
      <c r="F26" s="164"/>
      <c r="G26" s="174"/>
      <c r="H26" s="164"/>
      <c r="I26" s="174"/>
      <c r="J26" s="184"/>
      <c r="K26" s="186"/>
      <c r="L26" s="187" t="str">
        <f t="shared" si="11"/>
        <v/>
      </c>
      <c r="M26" s="187" t="str">
        <f t="shared" si="12"/>
        <v/>
      </c>
      <c r="N26" s="187" t="str">
        <f t="shared" si="1"/>
        <v>D</v>
      </c>
      <c r="O26" s="187" t="str">
        <f t="shared" si="13"/>
        <v>D</v>
      </c>
      <c r="P26" s="187">
        <f t="shared" si="14"/>
        <v>1</v>
      </c>
      <c r="Q26" s="187">
        <f>IFERROR(VLOOKUP(E26,Tabela_Deflator:E$43,5,FALSE),1)</f>
        <v>1</v>
      </c>
      <c r="R26" s="188" t="str">
        <f t="shared" si="15"/>
        <v/>
      </c>
      <c r="S26" s="237" t="str">
        <f t="shared" si="3"/>
        <v/>
      </c>
      <c r="T26" s="237" t="str">
        <f t="shared" si="20"/>
        <v/>
      </c>
      <c r="U26" s="189"/>
      <c r="V26" s="167"/>
      <c r="W26" s="165"/>
      <c r="X26" s="164"/>
      <c r="Y26" s="164"/>
      <c r="Z26" s="164"/>
      <c r="AA26" s="174"/>
      <c r="AB26" s="164"/>
      <c r="AC26" s="174"/>
      <c r="AD26" s="184"/>
      <c r="AE26" s="190" t="str">
        <f t="shared" si="16"/>
        <v/>
      </c>
      <c r="AF26" s="190" t="str">
        <f t="shared" si="17"/>
        <v/>
      </c>
      <c r="AG26" s="190" t="str">
        <f t="shared" si="6"/>
        <v>D</v>
      </c>
      <c r="AH26" s="190">
        <f>IFERROR(VLOOKUP(Y26,SISP_Deflatores_e_INMs!B$4:F$49,3,FALSE),1)</f>
        <v>1</v>
      </c>
      <c r="AI26" s="190">
        <f>IFERROR(VLOOKUP(Y26,SISP_Deflatores_e_INMs!B$4:G$49,5,FALSE),1)</f>
        <v>1</v>
      </c>
      <c r="AJ26" s="191" t="str">
        <f t="shared" si="18"/>
        <v/>
      </c>
      <c r="AK26" s="237" t="str">
        <f t="shared" si="7"/>
        <v/>
      </c>
      <c r="AL26" s="237" t="str">
        <f t="shared" si="19"/>
        <v/>
      </c>
      <c r="AM26" s="192" t="e">
        <f t="shared" si="8"/>
        <v>#VALUE!</v>
      </c>
      <c r="AN26" s="193" t="e">
        <f t="shared" si="9"/>
        <v>#VALUE!</v>
      </c>
      <c r="AO26" s="193" t="e">
        <f t="shared" si="10"/>
        <v>#VALUE!</v>
      </c>
      <c r="AP26" s="193"/>
      <c r="AQ26" s="204"/>
      <c r="AR26" s="204"/>
      <c r="AS26" s="204"/>
      <c r="AT26" s="205"/>
      <c r="AU26"/>
    </row>
    <row r="27" spans="2:47" ht="15" customHeight="1" x14ac:dyDescent="0.25">
      <c r="B27" s="206"/>
      <c r="C27" s="185"/>
      <c r="D27" s="164"/>
      <c r="E27" s="174"/>
      <c r="F27" s="164"/>
      <c r="G27" s="174"/>
      <c r="H27" s="164"/>
      <c r="I27" s="174"/>
      <c r="J27" s="184"/>
      <c r="K27" s="186"/>
      <c r="L27" s="187" t="str">
        <f t="shared" si="11"/>
        <v/>
      </c>
      <c r="M27" s="187" t="str">
        <f t="shared" si="12"/>
        <v/>
      </c>
      <c r="N27" s="187" t="str">
        <f t="shared" si="1"/>
        <v>D</v>
      </c>
      <c r="O27" s="187" t="str">
        <f t="shared" si="13"/>
        <v>D</v>
      </c>
      <c r="P27" s="187">
        <f t="shared" si="14"/>
        <v>1</v>
      </c>
      <c r="Q27" s="187">
        <f>IFERROR(VLOOKUP(E27,Tabela_Deflator:E$43,5,FALSE),1)</f>
        <v>1</v>
      </c>
      <c r="R27" s="188" t="str">
        <f t="shared" si="15"/>
        <v/>
      </c>
      <c r="S27" s="237" t="str">
        <f t="shared" si="3"/>
        <v/>
      </c>
      <c r="T27" s="237" t="str">
        <f t="shared" si="20"/>
        <v/>
      </c>
      <c r="U27" s="189"/>
      <c r="V27" s="167"/>
      <c r="W27" s="165"/>
      <c r="X27" s="164"/>
      <c r="Y27" s="164"/>
      <c r="Z27" s="164"/>
      <c r="AA27" s="174"/>
      <c r="AB27" s="164"/>
      <c r="AC27" s="174"/>
      <c r="AD27" s="184"/>
      <c r="AE27" s="190" t="str">
        <f t="shared" si="16"/>
        <v/>
      </c>
      <c r="AF27" s="190" t="str">
        <f t="shared" si="17"/>
        <v/>
      </c>
      <c r="AG27" s="190" t="str">
        <f t="shared" si="6"/>
        <v>D</v>
      </c>
      <c r="AH27" s="190">
        <f>IFERROR(VLOOKUP(Y27,SISP_Deflatores_e_INMs!B$4:F$49,3,FALSE),1)</f>
        <v>1</v>
      </c>
      <c r="AI27" s="190">
        <f>IFERROR(VLOOKUP(Y27,SISP_Deflatores_e_INMs!B$4:G$49,5,FALSE),1)</f>
        <v>1</v>
      </c>
      <c r="AJ27" s="191" t="str">
        <f t="shared" si="18"/>
        <v/>
      </c>
      <c r="AK27" s="237" t="str">
        <f t="shared" si="7"/>
        <v/>
      </c>
      <c r="AL27" s="237" t="str">
        <f t="shared" si="19"/>
        <v/>
      </c>
      <c r="AM27" s="192" t="e">
        <f t="shared" si="8"/>
        <v>#VALUE!</v>
      </c>
      <c r="AN27" s="193" t="e">
        <f t="shared" si="9"/>
        <v>#VALUE!</v>
      </c>
      <c r="AO27" s="193" t="e">
        <f t="shared" si="10"/>
        <v>#VALUE!</v>
      </c>
      <c r="AP27" s="193"/>
      <c r="AQ27" s="204"/>
      <c r="AR27" s="204"/>
      <c r="AS27" s="204"/>
      <c r="AT27" s="205"/>
      <c r="AU27"/>
    </row>
    <row r="28" spans="2:47" ht="15" customHeight="1" x14ac:dyDescent="0.25">
      <c r="B28" s="206"/>
      <c r="C28" s="185"/>
      <c r="D28" s="164"/>
      <c r="E28" s="174"/>
      <c r="F28" s="164"/>
      <c r="G28" s="174"/>
      <c r="H28" s="164"/>
      <c r="I28" s="174"/>
      <c r="J28" s="184"/>
      <c r="K28" s="186"/>
      <c r="L28" s="187" t="str">
        <f t="shared" si="11"/>
        <v/>
      </c>
      <c r="M28" s="187" t="str">
        <f t="shared" si="12"/>
        <v/>
      </c>
      <c r="N28" s="187" t="str">
        <f t="shared" si="1"/>
        <v>D</v>
      </c>
      <c r="O28" s="187" t="str">
        <f t="shared" si="13"/>
        <v>D</v>
      </c>
      <c r="P28" s="187">
        <f t="shared" si="14"/>
        <v>1</v>
      </c>
      <c r="Q28" s="187">
        <f>IFERROR(VLOOKUP(E28,Tabela_Deflator:E$43,5,FALSE),1)</f>
        <v>1</v>
      </c>
      <c r="R28" s="188" t="str">
        <f t="shared" si="15"/>
        <v/>
      </c>
      <c r="S28" s="237" t="str">
        <f t="shared" si="3"/>
        <v/>
      </c>
      <c r="T28" s="237" t="str">
        <f t="shared" si="20"/>
        <v/>
      </c>
      <c r="U28" s="189"/>
      <c r="V28" s="167"/>
      <c r="W28" s="165"/>
      <c r="X28" s="164"/>
      <c r="Y28" s="164"/>
      <c r="Z28" s="164"/>
      <c r="AA28" s="174"/>
      <c r="AB28" s="164"/>
      <c r="AC28" s="174"/>
      <c r="AD28" s="184"/>
      <c r="AE28" s="190" t="str">
        <f t="shared" si="16"/>
        <v/>
      </c>
      <c r="AF28" s="190" t="str">
        <f t="shared" si="17"/>
        <v/>
      </c>
      <c r="AG28" s="190" t="str">
        <f t="shared" si="6"/>
        <v>D</v>
      </c>
      <c r="AH28" s="190">
        <f>IFERROR(VLOOKUP(Y28,SISP_Deflatores_e_INMs!B$4:F$49,3,FALSE),1)</f>
        <v>1</v>
      </c>
      <c r="AI28" s="190">
        <f>IFERROR(VLOOKUP(Y28,SISP_Deflatores_e_INMs!B$4:G$49,5,FALSE),1)</f>
        <v>1</v>
      </c>
      <c r="AJ28" s="191" t="str">
        <f t="shared" si="18"/>
        <v/>
      </c>
      <c r="AK28" s="237" t="str">
        <f t="shared" si="7"/>
        <v/>
      </c>
      <c r="AL28" s="237" t="str">
        <f t="shared" si="19"/>
        <v/>
      </c>
      <c r="AM28" s="192" t="e">
        <f t="shared" si="8"/>
        <v>#VALUE!</v>
      </c>
      <c r="AN28" s="193" t="e">
        <f t="shared" si="9"/>
        <v>#VALUE!</v>
      </c>
      <c r="AO28" s="193" t="e">
        <f t="shared" si="10"/>
        <v>#VALUE!</v>
      </c>
      <c r="AP28" s="193"/>
      <c r="AQ28" s="204"/>
      <c r="AR28" s="204"/>
      <c r="AS28" s="204"/>
      <c r="AT28" s="205"/>
      <c r="AU28"/>
    </row>
    <row r="29" spans="2:47" ht="15" customHeight="1" x14ac:dyDescent="0.25">
      <c r="B29" s="206"/>
      <c r="C29" s="185"/>
      <c r="D29" s="164"/>
      <c r="E29" s="174"/>
      <c r="F29" s="164"/>
      <c r="G29" s="174"/>
      <c r="H29" s="164"/>
      <c r="I29" s="174"/>
      <c r="J29" s="184"/>
      <c r="K29" s="186"/>
      <c r="L29" s="187" t="str">
        <f t="shared" si="11"/>
        <v/>
      </c>
      <c r="M29" s="187" t="str">
        <f t="shared" si="12"/>
        <v/>
      </c>
      <c r="N29" s="187" t="str">
        <f t="shared" si="1"/>
        <v>D</v>
      </c>
      <c r="O29" s="187" t="str">
        <f t="shared" si="13"/>
        <v>D</v>
      </c>
      <c r="P29" s="187">
        <f t="shared" si="14"/>
        <v>1</v>
      </c>
      <c r="Q29" s="187">
        <f>IFERROR(VLOOKUP(E29,Tabela_Deflator:E$43,5,FALSE),1)</f>
        <v>1</v>
      </c>
      <c r="R29" s="188" t="str">
        <f t="shared" si="15"/>
        <v/>
      </c>
      <c r="S29" s="237" t="str">
        <f t="shared" si="3"/>
        <v/>
      </c>
      <c r="T29" s="237" t="str">
        <f t="shared" si="20"/>
        <v/>
      </c>
      <c r="U29" s="189"/>
      <c r="V29" s="167"/>
      <c r="W29" s="165"/>
      <c r="X29" s="164"/>
      <c r="Y29" s="164"/>
      <c r="Z29" s="164"/>
      <c r="AA29" s="174"/>
      <c r="AB29" s="164"/>
      <c r="AC29" s="174"/>
      <c r="AD29" s="184"/>
      <c r="AE29" s="190" t="str">
        <f t="shared" si="16"/>
        <v/>
      </c>
      <c r="AF29" s="190" t="str">
        <f t="shared" si="17"/>
        <v/>
      </c>
      <c r="AG29" s="190" t="str">
        <f t="shared" si="6"/>
        <v>D</v>
      </c>
      <c r="AH29" s="190">
        <f>IFERROR(VLOOKUP(Y29,SISP_Deflatores_e_INMs!B$4:F$49,3,FALSE),1)</f>
        <v>1</v>
      </c>
      <c r="AI29" s="190">
        <f>IFERROR(VLOOKUP(Y29,SISP_Deflatores_e_INMs!B$4:G$49,5,FALSE),1)</f>
        <v>1</v>
      </c>
      <c r="AJ29" s="191" t="str">
        <f t="shared" si="18"/>
        <v/>
      </c>
      <c r="AK29" s="237" t="str">
        <f t="shared" si="7"/>
        <v/>
      </c>
      <c r="AL29" s="237" t="str">
        <f t="shared" si="19"/>
        <v/>
      </c>
      <c r="AM29" s="192" t="e">
        <f t="shared" si="8"/>
        <v>#VALUE!</v>
      </c>
      <c r="AN29" s="193" t="e">
        <f t="shared" si="9"/>
        <v>#VALUE!</v>
      </c>
      <c r="AO29" s="193" t="e">
        <f t="shared" si="10"/>
        <v>#VALUE!</v>
      </c>
      <c r="AP29" s="193"/>
      <c r="AQ29" s="204"/>
      <c r="AR29" s="204"/>
      <c r="AS29" s="204"/>
      <c r="AT29" s="205"/>
      <c r="AU29"/>
    </row>
    <row r="30" spans="2:47" ht="15" customHeight="1" x14ac:dyDescent="0.25">
      <c r="B30" s="206"/>
      <c r="C30" s="185"/>
      <c r="D30" s="164"/>
      <c r="E30" s="174"/>
      <c r="F30" s="164"/>
      <c r="G30" s="174"/>
      <c r="H30" s="164"/>
      <c r="I30" s="174"/>
      <c r="J30" s="184"/>
      <c r="K30" s="186"/>
      <c r="L30" s="187" t="str">
        <f t="shared" si="11"/>
        <v/>
      </c>
      <c r="M30" s="187" t="str">
        <f t="shared" si="12"/>
        <v/>
      </c>
      <c r="N30" s="187" t="str">
        <f t="shared" si="1"/>
        <v>D</v>
      </c>
      <c r="O30" s="187" t="str">
        <f t="shared" si="13"/>
        <v>D</v>
      </c>
      <c r="P30" s="187">
        <f t="shared" si="14"/>
        <v>1</v>
      </c>
      <c r="Q30" s="187">
        <f>IFERROR(VLOOKUP(E30,Tabela_Deflator:E$43,5,FALSE),1)</f>
        <v>1</v>
      </c>
      <c r="R30" s="188" t="str">
        <f t="shared" si="15"/>
        <v/>
      </c>
      <c r="S30" s="237" t="str">
        <f t="shared" si="3"/>
        <v/>
      </c>
      <c r="T30" s="237" t="str">
        <f t="shared" si="20"/>
        <v/>
      </c>
      <c r="U30" s="189"/>
      <c r="V30" s="167"/>
      <c r="W30" s="165"/>
      <c r="X30" s="164"/>
      <c r="Y30" s="164"/>
      <c r="Z30" s="164"/>
      <c r="AA30" s="174"/>
      <c r="AB30" s="164"/>
      <c r="AC30" s="174"/>
      <c r="AD30" s="184"/>
      <c r="AE30" s="190" t="str">
        <f t="shared" si="16"/>
        <v/>
      </c>
      <c r="AF30" s="190" t="str">
        <f t="shared" si="17"/>
        <v/>
      </c>
      <c r="AG30" s="190" t="str">
        <f t="shared" si="6"/>
        <v>D</v>
      </c>
      <c r="AH30" s="190">
        <f>IFERROR(VLOOKUP(Y30,SISP_Deflatores_e_INMs!B$4:F$49,3,FALSE),1)</f>
        <v>1</v>
      </c>
      <c r="AI30" s="190">
        <f>IFERROR(VLOOKUP(Y30,SISP_Deflatores_e_INMs!B$4:G$49,5,FALSE),1)</f>
        <v>1</v>
      </c>
      <c r="AJ30" s="191" t="str">
        <f t="shared" si="18"/>
        <v/>
      </c>
      <c r="AK30" s="237" t="str">
        <f t="shared" si="7"/>
        <v/>
      </c>
      <c r="AL30" s="237" t="str">
        <f t="shared" si="19"/>
        <v/>
      </c>
      <c r="AM30" s="192" t="e">
        <f t="shared" si="8"/>
        <v>#VALUE!</v>
      </c>
      <c r="AN30" s="193" t="e">
        <f t="shared" si="9"/>
        <v>#VALUE!</v>
      </c>
      <c r="AO30" s="193" t="e">
        <f t="shared" si="10"/>
        <v>#VALUE!</v>
      </c>
      <c r="AP30" s="193"/>
      <c r="AQ30" s="204"/>
      <c r="AR30" s="204"/>
      <c r="AS30" s="204"/>
      <c r="AT30" s="205"/>
      <c r="AU30"/>
    </row>
    <row r="31" spans="2:47" ht="15" customHeight="1" x14ac:dyDescent="0.25">
      <c r="B31" s="206"/>
      <c r="C31" s="185"/>
      <c r="D31" s="164"/>
      <c r="E31" s="174"/>
      <c r="F31" s="164"/>
      <c r="G31" s="174"/>
      <c r="H31" s="164"/>
      <c r="I31" s="174"/>
      <c r="J31" s="184"/>
      <c r="K31" s="186"/>
      <c r="L31" s="187" t="str">
        <f t="shared" si="11"/>
        <v/>
      </c>
      <c r="M31" s="187" t="str">
        <f t="shared" si="12"/>
        <v/>
      </c>
      <c r="N31" s="187" t="str">
        <f t="shared" si="1"/>
        <v>D</v>
      </c>
      <c r="O31" s="187" t="str">
        <f t="shared" si="13"/>
        <v>D</v>
      </c>
      <c r="P31" s="187">
        <f t="shared" si="14"/>
        <v>1</v>
      </c>
      <c r="Q31" s="187">
        <f>IFERROR(VLOOKUP(E31,Tabela_Deflator:E$43,5,FALSE),1)</f>
        <v>1</v>
      </c>
      <c r="R31" s="188" t="str">
        <f t="shared" si="15"/>
        <v/>
      </c>
      <c r="S31" s="237" t="str">
        <f t="shared" si="3"/>
        <v/>
      </c>
      <c r="T31" s="237" t="str">
        <f t="shared" si="20"/>
        <v/>
      </c>
      <c r="U31" s="189"/>
      <c r="V31" s="167"/>
      <c r="W31" s="165"/>
      <c r="X31" s="164"/>
      <c r="Y31" s="164"/>
      <c r="Z31" s="164"/>
      <c r="AA31" s="174"/>
      <c r="AB31" s="164"/>
      <c r="AC31" s="174"/>
      <c r="AD31" s="184"/>
      <c r="AE31" s="190" t="str">
        <f t="shared" si="16"/>
        <v/>
      </c>
      <c r="AF31" s="190" t="str">
        <f t="shared" si="17"/>
        <v/>
      </c>
      <c r="AG31" s="190" t="str">
        <f t="shared" si="6"/>
        <v>D</v>
      </c>
      <c r="AH31" s="190">
        <f>IFERROR(VLOOKUP(Y31,SISP_Deflatores_e_INMs!B$4:F$49,3,FALSE),1)</f>
        <v>1</v>
      </c>
      <c r="AI31" s="190">
        <f>IFERROR(VLOOKUP(Y31,SISP_Deflatores_e_INMs!B$4:G$49,5,FALSE),1)</f>
        <v>1</v>
      </c>
      <c r="AJ31" s="191" t="str">
        <f t="shared" si="18"/>
        <v/>
      </c>
      <c r="AK31" s="237" t="str">
        <f t="shared" si="7"/>
        <v/>
      </c>
      <c r="AL31" s="237" t="str">
        <f t="shared" si="19"/>
        <v/>
      </c>
      <c r="AM31" s="192" t="e">
        <f t="shared" si="8"/>
        <v>#VALUE!</v>
      </c>
      <c r="AN31" s="193" t="e">
        <f t="shared" si="9"/>
        <v>#VALUE!</v>
      </c>
      <c r="AO31" s="193" t="e">
        <f t="shared" si="10"/>
        <v>#VALUE!</v>
      </c>
      <c r="AP31" s="193"/>
      <c r="AQ31" s="204"/>
      <c r="AR31" s="204"/>
      <c r="AS31" s="204"/>
      <c r="AT31" s="205"/>
      <c r="AU31"/>
    </row>
    <row r="32" spans="2:47" ht="15" customHeight="1" x14ac:dyDescent="0.25">
      <c r="B32" s="206"/>
      <c r="C32" s="185"/>
      <c r="D32" s="164"/>
      <c r="E32" s="174"/>
      <c r="F32" s="164"/>
      <c r="G32" s="174"/>
      <c r="H32" s="164"/>
      <c r="I32" s="174"/>
      <c r="J32" s="184"/>
      <c r="K32" s="186"/>
      <c r="L32" s="187" t="str">
        <f t="shared" si="11"/>
        <v/>
      </c>
      <c r="M32" s="187" t="str">
        <f t="shared" si="12"/>
        <v/>
      </c>
      <c r="N32" s="187" t="str">
        <f t="shared" si="1"/>
        <v>D</v>
      </c>
      <c r="O32" s="187" t="str">
        <f t="shared" si="13"/>
        <v>D</v>
      </c>
      <c r="P32" s="187">
        <f t="shared" si="14"/>
        <v>1</v>
      </c>
      <c r="Q32" s="187">
        <f>IFERROR(VLOOKUP(E32,Tabela_Deflator:E$43,5,FALSE),1)</f>
        <v>1</v>
      </c>
      <c r="R32" s="188" t="str">
        <f t="shared" si="15"/>
        <v/>
      </c>
      <c r="S32" s="237" t="str">
        <f t="shared" si="3"/>
        <v/>
      </c>
      <c r="T32" s="237" t="str">
        <f t="shared" si="20"/>
        <v/>
      </c>
      <c r="U32" s="189"/>
      <c r="V32" s="167"/>
      <c r="W32" s="165"/>
      <c r="X32" s="164"/>
      <c r="Y32" s="164"/>
      <c r="Z32" s="164"/>
      <c r="AA32" s="174"/>
      <c r="AB32" s="164"/>
      <c r="AC32" s="174"/>
      <c r="AD32" s="184"/>
      <c r="AE32" s="190" t="str">
        <f t="shared" si="16"/>
        <v/>
      </c>
      <c r="AF32" s="190" t="str">
        <f t="shared" si="17"/>
        <v/>
      </c>
      <c r="AG32" s="190" t="str">
        <f t="shared" si="6"/>
        <v>D</v>
      </c>
      <c r="AH32" s="190">
        <f>IFERROR(VLOOKUP(Y32,SISP_Deflatores_e_INMs!B$4:F$49,3,FALSE),1)</f>
        <v>1</v>
      </c>
      <c r="AI32" s="190">
        <f>IFERROR(VLOOKUP(Y32,SISP_Deflatores_e_INMs!B$4:G$49,5,FALSE),1)</f>
        <v>1</v>
      </c>
      <c r="AJ32" s="191" t="str">
        <f t="shared" si="18"/>
        <v/>
      </c>
      <c r="AK32" s="237" t="str">
        <f t="shared" si="7"/>
        <v/>
      </c>
      <c r="AL32" s="237" t="str">
        <f t="shared" si="19"/>
        <v/>
      </c>
      <c r="AM32" s="192" t="e">
        <f t="shared" si="8"/>
        <v>#VALUE!</v>
      </c>
      <c r="AN32" s="193" t="e">
        <f t="shared" si="9"/>
        <v>#VALUE!</v>
      </c>
      <c r="AO32" s="193" t="e">
        <f t="shared" si="10"/>
        <v>#VALUE!</v>
      </c>
      <c r="AP32" s="193"/>
      <c r="AQ32" s="204"/>
      <c r="AR32" s="204"/>
      <c r="AS32" s="204"/>
      <c r="AT32" s="205"/>
      <c r="AU32"/>
    </row>
    <row r="33" spans="2:47" ht="15" customHeight="1" x14ac:dyDescent="0.25">
      <c r="B33" s="206"/>
      <c r="C33" s="185"/>
      <c r="D33" s="164"/>
      <c r="E33" s="174"/>
      <c r="F33" s="164"/>
      <c r="G33" s="174"/>
      <c r="H33" s="164"/>
      <c r="I33" s="174"/>
      <c r="J33" s="184"/>
      <c r="K33" s="186"/>
      <c r="L33" s="187" t="str">
        <f t="shared" si="11"/>
        <v/>
      </c>
      <c r="M33" s="187" t="str">
        <f t="shared" si="12"/>
        <v/>
      </c>
      <c r="N33" s="187" t="str">
        <f t="shared" si="1"/>
        <v>D</v>
      </c>
      <c r="O33" s="187" t="str">
        <f t="shared" si="13"/>
        <v>D</v>
      </c>
      <c r="P33" s="187">
        <f t="shared" si="14"/>
        <v>1</v>
      </c>
      <c r="Q33" s="187">
        <f>IFERROR(VLOOKUP(E33,Tabela_Deflator:E$43,5,FALSE),1)</f>
        <v>1</v>
      </c>
      <c r="R33" s="188" t="str">
        <f t="shared" si="15"/>
        <v/>
      </c>
      <c r="S33" s="237" t="str">
        <f t="shared" si="3"/>
        <v/>
      </c>
      <c r="T33" s="237" t="str">
        <f t="shared" si="20"/>
        <v/>
      </c>
      <c r="U33" s="189"/>
      <c r="V33" s="167"/>
      <c r="W33" s="165"/>
      <c r="X33" s="164"/>
      <c r="Y33" s="164"/>
      <c r="Z33" s="164"/>
      <c r="AA33" s="174"/>
      <c r="AB33" s="164"/>
      <c r="AC33" s="174"/>
      <c r="AD33" s="184"/>
      <c r="AE33" s="190" t="str">
        <f t="shared" si="16"/>
        <v/>
      </c>
      <c r="AF33" s="190" t="str">
        <f t="shared" si="17"/>
        <v/>
      </c>
      <c r="AG33" s="190" t="str">
        <f t="shared" si="6"/>
        <v>D</v>
      </c>
      <c r="AH33" s="190">
        <f>IFERROR(VLOOKUP(Y33,SISP_Deflatores_e_INMs!B$4:F$49,3,FALSE),1)</f>
        <v>1</v>
      </c>
      <c r="AI33" s="190">
        <f>IFERROR(VLOOKUP(Y33,SISP_Deflatores_e_INMs!B$4:G$49,5,FALSE),1)</f>
        <v>1</v>
      </c>
      <c r="AJ33" s="191" t="str">
        <f t="shared" si="18"/>
        <v/>
      </c>
      <c r="AK33" s="237" t="str">
        <f t="shared" si="7"/>
        <v/>
      </c>
      <c r="AL33" s="237" t="str">
        <f t="shared" si="19"/>
        <v/>
      </c>
      <c r="AM33" s="192" t="e">
        <f t="shared" si="8"/>
        <v>#VALUE!</v>
      </c>
      <c r="AN33" s="193" t="e">
        <f t="shared" si="9"/>
        <v>#VALUE!</v>
      </c>
      <c r="AO33" s="193" t="e">
        <f t="shared" si="10"/>
        <v>#VALUE!</v>
      </c>
      <c r="AP33" s="193"/>
      <c r="AQ33" s="204"/>
      <c r="AR33" s="204"/>
      <c r="AS33" s="204"/>
      <c r="AT33" s="205"/>
      <c r="AU33"/>
    </row>
    <row r="34" spans="2:47" ht="15" customHeight="1" x14ac:dyDescent="0.25">
      <c r="B34" s="206"/>
      <c r="C34" s="185"/>
      <c r="D34" s="164"/>
      <c r="E34" s="174"/>
      <c r="F34" s="164"/>
      <c r="G34" s="174"/>
      <c r="H34" s="164"/>
      <c r="I34" s="174"/>
      <c r="J34" s="184"/>
      <c r="K34" s="186"/>
      <c r="L34" s="187" t="str">
        <f t="shared" si="11"/>
        <v/>
      </c>
      <c r="M34" s="187" t="str">
        <f t="shared" si="12"/>
        <v/>
      </c>
      <c r="N34" s="187" t="str">
        <f t="shared" si="1"/>
        <v>D</v>
      </c>
      <c r="O34" s="187" t="str">
        <f t="shared" si="13"/>
        <v>D</v>
      </c>
      <c r="P34" s="187">
        <f t="shared" si="14"/>
        <v>1</v>
      </c>
      <c r="Q34" s="187">
        <f>IFERROR(VLOOKUP(E34,Tabela_Deflator:E$43,5,FALSE),1)</f>
        <v>1</v>
      </c>
      <c r="R34" s="188" t="str">
        <f t="shared" si="15"/>
        <v/>
      </c>
      <c r="S34" s="237" t="str">
        <f t="shared" si="3"/>
        <v/>
      </c>
      <c r="T34" s="237" t="str">
        <f t="shared" si="20"/>
        <v/>
      </c>
      <c r="U34" s="189"/>
      <c r="V34" s="167"/>
      <c r="W34" s="165"/>
      <c r="X34" s="164"/>
      <c r="Y34" s="164"/>
      <c r="Z34" s="164"/>
      <c r="AA34" s="174"/>
      <c r="AB34" s="164"/>
      <c r="AC34" s="174"/>
      <c r="AD34" s="184"/>
      <c r="AE34" s="190" t="str">
        <f t="shared" si="16"/>
        <v/>
      </c>
      <c r="AF34" s="190" t="str">
        <f t="shared" si="17"/>
        <v/>
      </c>
      <c r="AG34" s="190" t="str">
        <f t="shared" si="6"/>
        <v>D</v>
      </c>
      <c r="AH34" s="190">
        <f>IFERROR(VLOOKUP(Y34,SISP_Deflatores_e_INMs!B$4:F$49,3,FALSE),1)</f>
        <v>1</v>
      </c>
      <c r="AI34" s="190">
        <f>IFERROR(VLOOKUP(Y34,SISP_Deflatores_e_INMs!B$4:G$49,5,FALSE),1)</f>
        <v>1</v>
      </c>
      <c r="AJ34" s="191" t="str">
        <f t="shared" si="18"/>
        <v/>
      </c>
      <c r="AK34" s="237" t="str">
        <f t="shared" si="7"/>
        <v/>
      </c>
      <c r="AL34" s="237" t="str">
        <f t="shared" si="19"/>
        <v/>
      </c>
      <c r="AM34" s="192" t="e">
        <f t="shared" si="8"/>
        <v>#VALUE!</v>
      </c>
      <c r="AN34" s="193" t="e">
        <f t="shared" si="9"/>
        <v>#VALUE!</v>
      </c>
      <c r="AO34" s="193" t="e">
        <f t="shared" si="10"/>
        <v>#VALUE!</v>
      </c>
      <c r="AP34" s="193"/>
      <c r="AQ34" s="204"/>
      <c r="AR34" s="204"/>
      <c r="AS34" s="204"/>
      <c r="AT34" s="205"/>
      <c r="AU34"/>
    </row>
    <row r="35" spans="2:47" ht="15" customHeight="1" x14ac:dyDescent="0.25">
      <c r="B35" s="206"/>
      <c r="C35" s="185"/>
      <c r="D35" s="164"/>
      <c r="E35" s="174"/>
      <c r="F35" s="164"/>
      <c r="G35" s="174"/>
      <c r="H35" s="164"/>
      <c r="I35" s="174"/>
      <c r="J35" s="184"/>
      <c r="K35" s="186"/>
      <c r="L35" s="187" t="str">
        <f t="shared" si="11"/>
        <v/>
      </c>
      <c r="M35" s="187" t="str">
        <f t="shared" si="12"/>
        <v/>
      </c>
      <c r="N35" s="187" t="str">
        <f t="shared" si="1"/>
        <v>D</v>
      </c>
      <c r="O35" s="187" t="str">
        <f t="shared" si="13"/>
        <v>D</v>
      </c>
      <c r="P35" s="187">
        <f t="shared" si="14"/>
        <v>1</v>
      </c>
      <c r="Q35" s="187">
        <f>IFERROR(VLOOKUP(E35,Tabela_Deflator:E$43,5,FALSE),1)</f>
        <v>1</v>
      </c>
      <c r="R35" s="188" t="str">
        <f t="shared" si="15"/>
        <v/>
      </c>
      <c r="S35" s="237" t="str">
        <f t="shared" si="3"/>
        <v/>
      </c>
      <c r="T35" s="237" t="str">
        <f t="shared" si="20"/>
        <v/>
      </c>
      <c r="U35" s="189"/>
      <c r="V35" s="167"/>
      <c r="W35" s="165"/>
      <c r="X35" s="164"/>
      <c r="Y35" s="164"/>
      <c r="Z35" s="164"/>
      <c r="AA35" s="174"/>
      <c r="AB35" s="164"/>
      <c r="AC35" s="174"/>
      <c r="AD35" s="184"/>
      <c r="AE35" s="190" t="str">
        <f t="shared" si="16"/>
        <v/>
      </c>
      <c r="AF35" s="190" t="str">
        <f t="shared" si="17"/>
        <v/>
      </c>
      <c r="AG35" s="190" t="str">
        <f t="shared" si="6"/>
        <v>D</v>
      </c>
      <c r="AH35" s="190">
        <f>IFERROR(VLOOKUP(Y35,SISP_Deflatores_e_INMs!B$4:F$49,3,FALSE),1)</f>
        <v>1</v>
      </c>
      <c r="AI35" s="190">
        <f>IFERROR(VLOOKUP(Y35,SISP_Deflatores_e_INMs!B$4:G$49,5,FALSE),1)</f>
        <v>1</v>
      </c>
      <c r="AJ35" s="191" t="str">
        <f t="shared" si="18"/>
        <v/>
      </c>
      <c r="AK35" s="237" t="str">
        <f t="shared" si="7"/>
        <v/>
      </c>
      <c r="AL35" s="237" t="str">
        <f t="shared" si="19"/>
        <v/>
      </c>
      <c r="AM35" s="192" t="e">
        <f t="shared" si="8"/>
        <v>#VALUE!</v>
      </c>
      <c r="AN35" s="193" t="e">
        <f t="shared" si="9"/>
        <v>#VALUE!</v>
      </c>
      <c r="AO35" s="193" t="e">
        <f t="shared" si="10"/>
        <v>#VALUE!</v>
      </c>
      <c r="AP35" s="193"/>
      <c r="AQ35" s="204"/>
      <c r="AR35" s="204"/>
      <c r="AS35" s="204"/>
      <c r="AT35" s="205"/>
      <c r="AU35"/>
    </row>
    <row r="36" spans="2:47" ht="15" customHeight="1" x14ac:dyDescent="0.25">
      <c r="B36" s="206"/>
      <c r="C36" s="185"/>
      <c r="D36" s="164"/>
      <c r="E36" s="174"/>
      <c r="F36" s="164"/>
      <c r="G36" s="174"/>
      <c r="H36" s="164"/>
      <c r="I36" s="174"/>
      <c r="J36" s="184"/>
      <c r="K36" s="186"/>
      <c r="L36" s="187" t="str">
        <f t="shared" si="11"/>
        <v/>
      </c>
      <c r="M36" s="187" t="str">
        <f t="shared" si="12"/>
        <v/>
      </c>
      <c r="N36" s="187" t="str">
        <f t="shared" si="1"/>
        <v>D</v>
      </c>
      <c r="O36" s="187" t="str">
        <f t="shared" si="13"/>
        <v>D</v>
      </c>
      <c r="P36" s="187">
        <f t="shared" si="14"/>
        <v>1</v>
      </c>
      <c r="Q36" s="187">
        <f>IFERROR(VLOOKUP(E36,Tabela_Deflator:E$43,5,FALSE),1)</f>
        <v>1</v>
      </c>
      <c r="R36" s="188" t="str">
        <f t="shared" si="15"/>
        <v/>
      </c>
      <c r="S36" s="237" t="str">
        <f t="shared" si="3"/>
        <v/>
      </c>
      <c r="T36" s="237" t="str">
        <f t="shared" si="20"/>
        <v/>
      </c>
      <c r="U36" s="189"/>
      <c r="V36" s="167"/>
      <c r="W36" s="165"/>
      <c r="X36" s="164"/>
      <c r="Y36" s="164"/>
      <c r="Z36" s="164"/>
      <c r="AA36" s="174"/>
      <c r="AB36" s="164"/>
      <c r="AC36" s="174"/>
      <c r="AD36" s="184"/>
      <c r="AE36" s="190" t="str">
        <f t="shared" si="16"/>
        <v/>
      </c>
      <c r="AF36" s="190" t="str">
        <f t="shared" si="17"/>
        <v/>
      </c>
      <c r="AG36" s="190" t="str">
        <f t="shared" si="6"/>
        <v>D</v>
      </c>
      <c r="AH36" s="190">
        <f>IFERROR(VLOOKUP(Y36,SISP_Deflatores_e_INMs!B$4:F$49,3,FALSE),1)</f>
        <v>1</v>
      </c>
      <c r="AI36" s="190">
        <f>IFERROR(VLOOKUP(Y36,SISP_Deflatores_e_INMs!B$4:G$49,5,FALSE),1)</f>
        <v>1</v>
      </c>
      <c r="AJ36" s="191" t="str">
        <f t="shared" si="18"/>
        <v/>
      </c>
      <c r="AK36" s="237" t="str">
        <f t="shared" si="7"/>
        <v/>
      </c>
      <c r="AL36" s="237" t="str">
        <f t="shared" si="19"/>
        <v/>
      </c>
      <c r="AM36" s="192" t="e">
        <f t="shared" si="8"/>
        <v>#VALUE!</v>
      </c>
      <c r="AN36" s="193" t="e">
        <f t="shared" si="9"/>
        <v>#VALUE!</v>
      </c>
      <c r="AO36" s="193" t="e">
        <f t="shared" si="10"/>
        <v>#VALUE!</v>
      </c>
      <c r="AP36" s="193"/>
      <c r="AQ36" s="204"/>
      <c r="AR36" s="204"/>
      <c r="AS36" s="204"/>
      <c r="AT36" s="205"/>
      <c r="AU36"/>
    </row>
    <row r="37" spans="2:47" ht="15" customHeight="1" x14ac:dyDescent="0.25">
      <c r="B37" s="206"/>
      <c r="C37" s="185"/>
      <c r="D37" s="164"/>
      <c r="E37" s="174"/>
      <c r="F37" s="164"/>
      <c r="G37" s="174"/>
      <c r="H37" s="164"/>
      <c r="I37" s="174"/>
      <c r="J37" s="184"/>
      <c r="K37" s="186"/>
      <c r="L37" s="187" t="str">
        <f t="shared" si="11"/>
        <v/>
      </c>
      <c r="M37" s="187" t="str">
        <f t="shared" si="12"/>
        <v/>
      </c>
      <c r="N37" s="187" t="str">
        <f t="shared" si="1"/>
        <v>D</v>
      </c>
      <c r="O37" s="187" t="str">
        <f t="shared" si="13"/>
        <v>D</v>
      </c>
      <c r="P37" s="187">
        <f t="shared" si="14"/>
        <v>1</v>
      </c>
      <c r="Q37" s="187">
        <f>IFERROR(VLOOKUP(E37,Tabela_Deflator:E$43,5,FALSE),1)</f>
        <v>1</v>
      </c>
      <c r="R37" s="188" t="str">
        <f t="shared" si="15"/>
        <v/>
      </c>
      <c r="S37" s="237" t="str">
        <f t="shared" si="3"/>
        <v/>
      </c>
      <c r="T37" s="237" t="str">
        <f t="shared" si="20"/>
        <v/>
      </c>
      <c r="U37" s="189"/>
      <c r="V37" s="167"/>
      <c r="W37" s="165"/>
      <c r="X37" s="164"/>
      <c r="Y37" s="164"/>
      <c r="Z37" s="164"/>
      <c r="AA37" s="174"/>
      <c r="AB37" s="164"/>
      <c r="AC37" s="174"/>
      <c r="AD37" s="184"/>
      <c r="AE37" s="190" t="str">
        <f t="shared" si="16"/>
        <v/>
      </c>
      <c r="AF37" s="190" t="str">
        <f t="shared" si="17"/>
        <v/>
      </c>
      <c r="AG37" s="190" t="str">
        <f t="shared" si="6"/>
        <v>D</v>
      </c>
      <c r="AH37" s="190">
        <f>IFERROR(VLOOKUP(Y37,SISP_Deflatores_e_INMs!B$4:F$49,3,FALSE),1)</f>
        <v>1</v>
      </c>
      <c r="AI37" s="190">
        <f>IFERROR(VLOOKUP(Y37,SISP_Deflatores_e_INMs!B$4:G$49,5,FALSE),1)</f>
        <v>1</v>
      </c>
      <c r="AJ37" s="191" t="str">
        <f t="shared" si="18"/>
        <v/>
      </c>
      <c r="AK37" s="237" t="str">
        <f t="shared" si="7"/>
        <v/>
      </c>
      <c r="AL37" s="237" t="str">
        <f t="shared" si="19"/>
        <v/>
      </c>
      <c r="AM37" s="192" t="e">
        <f t="shared" si="8"/>
        <v>#VALUE!</v>
      </c>
      <c r="AN37" s="193" t="e">
        <f t="shared" si="9"/>
        <v>#VALUE!</v>
      </c>
      <c r="AO37" s="193" t="e">
        <f t="shared" si="10"/>
        <v>#VALUE!</v>
      </c>
      <c r="AP37" s="193"/>
      <c r="AQ37" s="204"/>
      <c r="AR37" s="204"/>
      <c r="AS37" s="204"/>
      <c r="AT37" s="205"/>
      <c r="AU37"/>
    </row>
    <row r="38" spans="2:47" ht="15" customHeight="1" x14ac:dyDescent="0.25">
      <c r="B38" s="206"/>
      <c r="C38" s="185"/>
      <c r="D38" s="164"/>
      <c r="E38" s="174"/>
      <c r="F38" s="164"/>
      <c r="G38" s="174"/>
      <c r="H38" s="164"/>
      <c r="I38" s="174"/>
      <c r="J38" s="184"/>
      <c r="K38" s="186"/>
      <c r="L38" s="187" t="str">
        <f t="shared" si="11"/>
        <v/>
      </c>
      <c r="M38" s="187" t="str">
        <f t="shared" si="12"/>
        <v/>
      </c>
      <c r="N38" s="187" t="str">
        <f t="shared" si="1"/>
        <v>D</v>
      </c>
      <c r="O38" s="187" t="str">
        <f t="shared" si="13"/>
        <v>D</v>
      </c>
      <c r="P38" s="187">
        <f t="shared" si="14"/>
        <v>1</v>
      </c>
      <c r="Q38" s="187">
        <f>IFERROR(VLOOKUP(E38,Tabela_Deflator:E$43,5,FALSE),1)</f>
        <v>1</v>
      </c>
      <c r="R38" s="188" t="str">
        <f t="shared" si="15"/>
        <v/>
      </c>
      <c r="S38" s="237" t="str">
        <f t="shared" si="3"/>
        <v/>
      </c>
      <c r="T38" s="237" t="str">
        <f t="shared" si="20"/>
        <v/>
      </c>
      <c r="U38" s="189"/>
      <c r="V38" s="167"/>
      <c r="W38" s="165"/>
      <c r="X38" s="164"/>
      <c r="Y38" s="164"/>
      <c r="Z38" s="164"/>
      <c r="AA38" s="174"/>
      <c r="AB38" s="164"/>
      <c r="AC38" s="174"/>
      <c r="AD38" s="184"/>
      <c r="AE38" s="190" t="str">
        <f t="shared" si="16"/>
        <v/>
      </c>
      <c r="AF38" s="190" t="str">
        <f t="shared" si="17"/>
        <v/>
      </c>
      <c r="AG38" s="190" t="str">
        <f t="shared" si="6"/>
        <v>D</v>
      </c>
      <c r="AH38" s="190">
        <f>IFERROR(VLOOKUP(Y38,SISP_Deflatores_e_INMs!B$4:F$49,3,FALSE),1)</f>
        <v>1</v>
      </c>
      <c r="AI38" s="190">
        <f>IFERROR(VLOOKUP(Y38,SISP_Deflatores_e_INMs!B$4:G$49,5,FALSE),1)</f>
        <v>1</v>
      </c>
      <c r="AJ38" s="191" t="str">
        <f t="shared" si="18"/>
        <v/>
      </c>
      <c r="AK38" s="237" t="str">
        <f t="shared" si="7"/>
        <v/>
      </c>
      <c r="AL38" s="237" t="str">
        <f t="shared" si="19"/>
        <v/>
      </c>
      <c r="AM38" s="192" t="e">
        <f t="shared" si="8"/>
        <v>#VALUE!</v>
      </c>
      <c r="AN38" s="193" t="e">
        <f t="shared" si="9"/>
        <v>#VALUE!</v>
      </c>
      <c r="AO38" s="193" t="e">
        <f t="shared" si="10"/>
        <v>#VALUE!</v>
      </c>
      <c r="AP38" s="193"/>
      <c r="AQ38" s="204"/>
      <c r="AR38" s="204"/>
      <c r="AS38" s="204"/>
      <c r="AT38" s="205"/>
      <c r="AU38"/>
    </row>
    <row r="39" spans="2:47" ht="15" customHeight="1" x14ac:dyDescent="0.25">
      <c r="B39" s="206"/>
      <c r="C39" s="185"/>
      <c r="D39" s="164"/>
      <c r="E39" s="174"/>
      <c r="F39" s="164"/>
      <c r="G39" s="174"/>
      <c r="H39" s="164"/>
      <c r="I39" s="174"/>
      <c r="J39" s="184"/>
      <c r="K39" s="186"/>
      <c r="L39" s="187" t="str">
        <f t="shared" si="11"/>
        <v/>
      </c>
      <c r="M39" s="187" t="str">
        <f t="shared" si="12"/>
        <v/>
      </c>
      <c r="N39" s="187" t="str">
        <f t="shared" si="1"/>
        <v>D</v>
      </c>
      <c r="O39" s="187" t="str">
        <f t="shared" si="13"/>
        <v>D</v>
      </c>
      <c r="P39" s="187">
        <f t="shared" si="14"/>
        <v>1</v>
      </c>
      <c r="Q39" s="187">
        <f>IFERROR(VLOOKUP(E39,Tabela_Deflator:E$43,5,FALSE),1)</f>
        <v>1</v>
      </c>
      <c r="R39" s="188" t="str">
        <f t="shared" si="15"/>
        <v/>
      </c>
      <c r="S39" s="237" t="str">
        <f t="shared" si="3"/>
        <v/>
      </c>
      <c r="T39" s="237" t="str">
        <f t="shared" si="20"/>
        <v/>
      </c>
      <c r="U39" s="189"/>
      <c r="V39" s="167"/>
      <c r="W39" s="165"/>
      <c r="X39" s="164"/>
      <c r="Y39" s="164"/>
      <c r="Z39" s="164"/>
      <c r="AA39" s="174"/>
      <c r="AB39" s="164"/>
      <c r="AC39" s="174"/>
      <c r="AD39" s="184"/>
      <c r="AE39" s="190" t="str">
        <f t="shared" si="16"/>
        <v/>
      </c>
      <c r="AF39" s="190" t="str">
        <f t="shared" si="17"/>
        <v/>
      </c>
      <c r="AG39" s="190" t="str">
        <f t="shared" si="6"/>
        <v>D</v>
      </c>
      <c r="AH39" s="190">
        <f>IFERROR(VLOOKUP(Y39,SISP_Deflatores_e_INMs!B$4:F$49,3,FALSE),1)</f>
        <v>1</v>
      </c>
      <c r="AI39" s="190">
        <f>IFERROR(VLOOKUP(Y39,SISP_Deflatores_e_INMs!B$4:G$49,5,FALSE),1)</f>
        <v>1</v>
      </c>
      <c r="AJ39" s="191" t="str">
        <f t="shared" si="18"/>
        <v/>
      </c>
      <c r="AK39" s="237" t="str">
        <f t="shared" si="7"/>
        <v/>
      </c>
      <c r="AL39" s="237" t="str">
        <f t="shared" si="19"/>
        <v/>
      </c>
      <c r="AM39" s="192" t="e">
        <f t="shared" si="8"/>
        <v>#VALUE!</v>
      </c>
      <c r="AN39" s="193" t="e">
        <f t="shared" si="9"/>
        <v>#VALUE!</v>
      </c>
      <c r="AO39" s="193" t="e">
        <f t="shared" si="10"/>
        <v>#VALUE!</v>
      </c>
      <c r="AP39" s="193"/>
      <c r="AQ39" s="204"/>
      <c r="AR39" s="204"/>
      <c r="AS39" s="204"/>
      <c r="AT39" s="205"/>
      <c r="AU39"/>
    </row>
    <row r="40" spans="2:47" ht="15" customHeight="1" x14ac:dyDescent="0.25">
      <c r="B40" s="206"/>
      <c r="C40" s="185"/>
      <c r="D40" s="164"/>
      <c r="E40" s="174"/>
      <c r="F40" s="164"/>
      <c r="G40" s="174"/>
      <c r="H40" s="164"/>
      <c r="I40" s="174"/>
      <c r="J40" s="184"/>
      <c r="K40" s="186"/>
      <c r="L40" s="187" t="str">
        <f t="shared" si="11"/>
        <v/>
      </c>
      <c r="M40" s="187" t="str">
        <f t="shared" si="12"/>
        <v/>
      </c>
      <c r="N40" s="187" t="str">
        <f t="shared" si="1"/>
        <v>D</v>
      </c>
      <c r="O40" s="187" t="str">
        <f t="shared" si="13"/>
        <v>D</v>
      </c>
      <c r="P40" s="187">
        <f t="shared" si="14"/>
        <v>1</v>
      </c>
      <c r="Q40" s="187">
        <f>IFERROR(VLOOKUP(E40,Tabela_Deflator:E$43,5,FALSE),1)</f>
        <v>1</v>
      </c>
      <c r="R40" s="188" t="str">
        <f t="shared" si="15"/>
        <v/>
      </c>
      <c r="S40" s="237" t="str">
        <f t="shared" si="3"/>
        <v/>
      </c>
      <c r="T40" s="237" t="str">
        <f t="shared" si="20"/>
        <v/>
      </c>
      <c r="U40" s="189"/>
      <c r="V40" s="167"/>
      <c r="W40" s="165"/>
      <c r="X40" s="164"/>
      <c r="Y40" s="164"/>
      <c r="Z40" s="164"/>
      <c r="AA40" s="174"/>
      <c r="AB40" s="164"/>
      <c r="AC40" s="174"/>
      <c r="AD40" s="184"/>
      <c r="AE40" s="190" t="str">
        <f t="shared" si="16"/>
        <v/>
      </c>
      <c r="AF40" s="190" t="str">
        <f t="shared" si="17"/>
        <v/>
      </c>
      <c r="AG40" s="190" t="str">
        <f t="shared" si="6"/>
        <v>D</v>
      </c>
      <c r="AH40" s="190">
        <f>IFERROR(VLOOKUP(Y40,SISP_Deflatores_e_INMs!B$4:F$49,3,FALSE),1)</f>
        <v>1</v>
      </c>
      <c r="AI40" s="190">
        <f>IFERROR(VLOOKUP(Y40,SISP_Deflatores_e_INMs!B$4:G$49,5,FALSE),1)</f>
        <v>1</v>
      </c>
      <c r="AJ40" s="191" t="str">
        <f t="shared" si="18"/>
        <v/>
      </c>
      <c r="AK40" s="237" t="str">
        <f t="shared" si="7"/>
        <v/>
      </c>
      <c r="AL40" s="237" t="str">
        <f t="shared" si="19"/>
        <v/>
      </c>
      <c r="AM40" s="192" t="e">
        <f t="shared" si="8"/>
        <v>#VALUE!</v>
      </c>
      <c r="AN40" s="193" t="e">
        <f t="shared" si="9"/>
        <v>#VALUE!</v>
      </c>
      <c r="AO40" s="193" t="e">
        <f t="shared" si="10"/>
        <v>#VALUE!</v>
      </c>
      <c r="AP40" s="193"/>
      <c r="AQ40" s="204"/>
      <c r="AR40" s="204"/>
      <c r="AS40" s="204"/>
      <c r="AT40" s="205"/>
      <c r="AU40"/>
    </row>
    <row r="41" spans="2:47" ht="15" customHeight="1" x14ac:dyDescent="0.25">
      <c r="B41" s="206"/>
      <c r="C41" s="185"/>
      <c r="D41" s="164"/>
      <c r="E41" s="174"/>
      <c r="F41" s="164"/>
      <c r="G41" s="174"/>
      <c r="H41" s="164"/>
      <c r="I41" s="174"/>
      <c r="J41" s="184"/>
      <c r="K41" s="186"/>
      <c r="L41" s="187" t="str">
        <f t="shared" si="11"/>
        <v/>
      </c>
      <c r="M41" s="187" t="str">
        <f t="shared" si="12"/>
        <v/>
      </c>
      <c r="N41" s="187" t="str">
        <f t="shared" si="1"/>
        <v>D</v>
      </c>
      <c r="O41" s="187" t="str">
        <f t="shared" si="13"/>
        <v>D</v>
      </c>
      <c r="P41" s="187">
        <f t="shared" si="14"/>
        <v>1</v>
      </c>
      <c r="Q41" s="187">
        <f>IFERROR(VLOOKUP(E41,Tabela_Deflator:E$43,5,FALSE),1)</f>
        <v>1</v>
      </c>
      <c r="R41" s="188" t="str">
        <f t="shared" si="15"/>
        <v/>
      </c>
      <c r="S41" s="237" t="str">
        <f t="shared" si="3"/>
        <v/>
      </c>
      <c r="T41" s="237" t="str">
        <f t="shared" si="20"/>
        <v/>
      </c>
      <c r="U41" s="189"/>
      <c r="V41" s="167"/>
      <c r="W41" s="165"/>
      <c r="X41" s="164"/>
      <c r="Y41" s="164"/>
      <c r="Z41" s="164"/>
      <c r="AA41" s="174"/>
      <c r="AB41" s="164"/>
      <c r="AC41" s="174"/>
      <c r="AD41" s="184"/>
      <c r="AE41" s="190" t="str">
        <f t="shared" si="16"/>
        <v/>
      </c>
      <c r="AF41" s="190" t="str">
        <f t="shared" si="17"/>
        <v/>
      </c>
      <c r="AG41" s="190" t="str">
        <f t="shared" si="6"/>
        <v>D</v>
      </c>
      <c r="AH41" s="190">
        <f>IFERROR(VLOOKUP(Y41,SISP_Deflatores_e_INMs!B$4:F$49,3,FALSE),1)</f>
        <v>1</v>
      </c>
      <c r="AI41" s="190">
        <f>IFERROR(VLOOKUP(Y41,SISP_Deflatores_e_INMs!B$4:G$49,5,FALSE),1)</f>
        <v>1</v>
      </c>
      <c r="AJ41" s="191" t="str">
        <f t="shared" si="18"/>
        <v/>
      </c>
      <c r="AK41" s="237" t="str">
        <f t="shared" si="7"/>
        <v/>
      </c>
      <c r="AL41" s="237" t="str">
        <f t="shared" si="19"/>
        <v/>
      </c>
      <c r="AM41" s="192" t="e">
        <f t="shared" si="8"/>
        <v>#VALUE!</v>
      </c>
      <c r="AN41" s="193" t="e">
        <f t="shared" si="9"/>
        <v>#VALUE!</v>
      </c>
      <c r="AO41" s="193" t="e">
        <f t="shared" si="10"/>
        <v>#VALUE!</v>
      </c>
      <c r="AP41" s="193"/>
      <c r="AQ41" s="204"/>
      <c r="AR41" s="204"/>
      <c r="AS41" s="204"/>
      <c r="AT41" s="205"/>
      <c r="AU41"/>
    </row>
    <row r="42" spans="2:47" ht="15" customHeight="1" x14ac:dyDescent="0.25">
      <c r="B42" s="206"/>
      <c r="C42" s="185"/>
      <c r="D42" s="164"/>
      <c r="E42" s="174"/>
      <c r="F42" s="164"/>
      <c r="G42" s="174"/>
      <c r="H42" s="164"/>
      <c r="I42" s="174"/>
      <c r="J42" s="184"/>
      <c r="K42" s="186"/>
      <c r="L42" s="187" t="str">
        <f t="shared" si="11"/>
        <v/>
      </c>
      <c r="M42" s="187" t="str">
        <f t="shared" si="12"/>
        <v/>
      </c>
      <c r="N42" s="187" t="str">
        <f t="shared" si="1"/>
        <v>D</v>
      </c>
      <c r="O42" s="187" t="str">
        <f t="shared" si="13"/>
        <v>D</v>
      </c>
      <c r="P42" s="187">
        <f t="shared" si="14"/>
        <v>1</v>
      </c>
      <c r="Q42" s="187">
        <f>IFERROR(VLOOKUP(E42,Tabela_Deflator:E$43,5,FALSE),1)</f>
        <v>1</v>
      </c>
      <c r="R42" s="188" t="str">
        <f t="shared" si="15"/>
        <v/>
      </c>
      <c r="S42" s="237" t="str">
        <f t="shared" si="3"/>
        <v/>
      </c>
      <c r="T42" s="237" t="str">
        <f t="shared" si="20"/>
        <v/>
      </c>
      <c r="U42" s="189"/>
      <c r="V42" s="167"/>
      <c r="W42" s="165"/>
      <c r="X42" s="164"/>
      <c r="Y42" s="164"/>
      <c r="Z42" s="164"/>
      <c r="AA42" s="174"/>
      <c r="AB42" s="164"/>
      <c r="AC42" s="174"/>
      <c r="AD42" s="184"/>
      <c r="AE42" s="190" t="str">
        <f t="shared" si="16"/>
        <v/>
      </c>
      <c r="AF42" s="190" t="str">
        <f t="shared" si="17"/>
        <v/>
      </c>
      <c r="AG42" s="190" t="str">
        <f t="shared" si="6"/>
        <v>D</v>
      </c>
      <c r="AH42" s="190">
        <f>IFERROR(VLOOKUP(Y42,SISP_Deflatores_e_INMs!B$4:F$49,3,FALSE),1)</f>
        <v>1</v>
      </c>
      <c r="AI42" s="190">
        <f>IFERROR(VLOOKUP(Y42,SISP_Deflatores_e_INMs!B$4:G$49,5,FALSE),1)</f>
        <v>1</v>
      </c>
      <c r="AJ42" s="191" t="str">
        <f t="shared" si="18"/>
        <v/>
      </c>
      <c r="AK42" s="237" t="str">
        <f t="shared" si="7"/>
        <v/>
      </c>
      <c r="AL42" s="237" t="str">
        <f t="shared" si="19"/>
        <v/>
      </c>
      <c r="AM42" s="192" t="e">
        <f t="shared" si="8"/>
        <v>#VALUE!</v>
      </c>
      <c r="AN42" s="193" t="e">
        <f t="shared" si="9"/>
        <v>#VALUE!</v>
      </c>
      <c r="AO42" s="193" t="e">
        <f t="shared" si="10"/>
        <v>#VALUE!</v>
      </c>
      <c r="AP42" s="193"/>
      <c r="AQ42" s="204"/>
      <c r="AR42" s="204"/>
      <c r="AS42" s="204"/>
      <c r="AT42" s="205"/>
      <c r="AU42"/>
    </row>
    <row r="43" spans="2:47" ht="15" customHeight="1" x14ac:dyDescent="0.25">
      <c r="B43" s="206"/>
      <c r="C43" s="185"/>
      <c r="D43" s="164"/>
      <c r="E43" s="174"/>
      <c r="F43" s="164"/>
      <c r="G43" s="174"/>
      <c r="H43" s="164"/>
      <c r="I43" s="174"/>
      <c r="J43" s="184"/>
      <c r="K43" s="186"/>
      <c r="L43" s="187" t="str">
        <f t="shared" si="11"/>
        <v/>
      </c>
      <c r="M43" s="187" t="str">
        <f t="shared" si="12"/>
        <v/>
      </c>
      <c r="N43" s="187" t="str">
        <f t="shared" si="1"/>
        <v>D</v>
      </c>
      <c r="O43" s="187" t="str">
        <f t="shared" si="13"/>
        <v>D</v>
      </c>
      <c r="P43" s="187">
        <f t="shared" si="14"/>
        <v>1</v>
      </c>
      <c r="Q43" s="187">
        <f>IFERROR(VLOOKUP(E43,Tabela_Deflator:E$43,5,FALSE),1)</f>
        <v>1</v>
      </c>
      <c r="R43" s="188" t="str">
        <f t="shared" si="15"/>
        <v/>
      </c>
      <c r="S43" s="237" t="str">
        <f t="shared" si="3"/>
        <v/>
      </c>
      <c r="T43" s="237" t="str">
        <f t="shared" si="20"/>
        <v/>
      </c>
      <c r="U43" s="189"/>
      <c r="V43" s="167"/>
      <c r="W43" s="165"/>
      <c r="X43" s="164"/>
      <c r="Y43" s="164"/>
      <c r="Z43" s="164"/>
      <c r="AA43" s="174"/>
      <c r="AB43" s="164"/>
      <c r="AC43" s="174"/>
      <c r="AD43" s="184"/>
      <c r="AE43" s="190" t="str">
        <f t="shared" si="16"/>
        <v/>
      </c>
      <c r="AF43" s="190" t="str">
        <f t="shared" si="17"/>
        <v/>
      </c>
      <c r="AG43" s="190" t="str">
        <f t="shared" si="6"/>
        <v>D</v>
      </c>
      <c r="AH43" s="190">
        <f>IFERROR(VLOOKUP(Y43,SISP_Deflatores_e_INMs!B$4:F$49,3,FALSE),1)</f>
        <v>1</v>
      </c>
      <c r="AI43" s="190">
        <f>IFERROR(VLOOKUP(Y43,SISP_Deflatores_e_INMs!B$4:G$49,5,FALSE),1)</f>
        <v>1</v>
      </c>
      <c r="AJ43" s="191" t="str">
        <f t="shared" si="18"/>
        <v/>
      </c>
      <c r="AK43" s="237" t="str">
        <f t="shared" si="7"/>
        <v/>
      </c>
      <c r="AL43" s="237" t="str">
        <f t="shared" si="19"/>
        <v/>
      </c>
      <c r="AM43" s="192" t="e">
        <f t="shared" si="8"/>
        <v>#VALUE!</v>
      </c>
      <c r="AN43" s="193" t="e">
        <f t="shared" si="9"/>
        <v>#VALUE!</v>
      </c>
      <c r="AO43" s="193" t="e">
        <f t="shared" si="10"/>
        <v>#VALUE!</v>
      </c>
      <c r="AP43" s="193"/>
      <c r="AQ43" s="204"/>
      <c r="AR43" s="204"/>
      <c r="AS43" s="204"/>
      <c r="AT43" s="205"/>
      <c r="AU43"/>
    </row>
    <row r="44" spans="2:47" ht="15" customHeight="1" x14ac:dyDescent="0.25">
      <c r="B44" s="206"/>
      <c r="C44" s="185"/>
      <c r="D44" s="164"/>
      <c r="E44" s="174"/>
      <c r="F44" s="164"/>
      <c r="G44" s="174"/>
      <c r="H44" s="164"/>
      <c r="I44" s="174"/>
      <c r="J44" s="184"/>
      <c r="K44" s="186"/>
      <c r="L44" s="187" t="str">
        <f t="shared" si="11"/>
        <v/>
      </c>
      <c r="M44" s="187" t="str">
        <f t="shared" si="12"/>
        <v/>
      </c>
      <c r="N44" s="187" t="str">
        <f t="shared" si="1"/>
        <v>D</v>
      </c>
      <c r="O44" s="187" t="str">
        <f t="shared" si="13"/>
        <v>D</v>
      </c>
      <c r="P44" s="187">
        <f t="shared" si="14"/>
        <v>1</v>
      </c>
      <c r="Q44" s="187">
        <f>IFERROR(VLOOKUP(E44,Tabela_Deflator:E$43,5,FALSE),1)</f>
        <v>1</v>
      </c>
      <c r="R44" s="188" t="str">
        <f t="shared" si="15"/>
        <v/>
      </c>
      <c r="S44" s="237" t="str">
        <f t="shared" si="3"/>
        <v/>
      </c>
      <c r="T44" s="237" t="str">
        <f t="shared" si="20"/>
        <v/>
      </c>
      <c r="U44" s="189"/>
      <c r="V44" s="167"/>
      <c r="W44" s="165"/>
      <c r="X44" s="164"/>
      <c r="Y44" s="164"/>
      <c r="Z44" s="164"/>
      <c r="AA44" s="174"/>
      <c r="AB44" s="164"/>
      <c r="AC44" s="174"/>
      <c r="AD44" s="184"/>
      <c r="AE44" s="190" t="str">
        <f t="shared" si="16"/>
        <v/>
      </c>
      <c r="AF44" s="190" t="str">
        <f t="shared" si="17"/>
        <v/>
      </c>
      <c r="AG44" s="190" t="str">
        <f t="shared" si="6"/>
        <v>D</v>
      </c>
      <c r="AH44" s="190">
        <f>IFERROR(VLOOKUP(Y44,SISP_Deflatores_e_INMs!B$4:F$49,3,FALSE),1)</f>
        <v>1</v>
      </c>
      <c r="AI44" s="190">
        <f>IFERROR(VLOOKUP(Y44,SISP_Deflatores_e_INMs!B$4:G$49,5,FALSE),1)</f>
        <v>1</v>
      </c>
      <c r="AJ44" s="191" t="str">
        <f t="shared" si="18"/>
        <v/>
      </c>
      <c r="AK44" s="237" t="str">
        <f t="shared" si="7"/>
        <v/>
      </c>
      <c r="AL44" s="237" t="str">
        <f t="shared" si="19"/>
        <v/>
      </c>
      <c r="AM44" s="192" t="e">
        <f t="shared" si="8"/>
        <v>#VALUE!</v>
      </c>
      <c r="AN44" s="193" t="e">
        <f t="shared" si="9"/>
        <v>#VALUE!</v>
      </c>
      <c r="AO44" s="193" t="e">
        <f t="shared" si="10"/>
        <v>#VALUE!</v>
      </c>
      <c r="AP44" s="193"/>
      <c r="AQ44" s="204"/>
      <c r="AR44" s="204"/>
      <c r="AS44" s="204"/>
      <c r="AT44" s="205"/>
      <c r="AU44"/>
    </row>
    <row r="45" spans="2:47" ht="15" customHeight="1" x14ac:dyDescent="0.25">
      <c r="B45" s="206"/>
      <c r="C45" s="185"/>
      <c r="D45" s="164"/>
      <c r="E45" s="174"/>
      <c r="F45" s="164"/>
      <c r="G45" s="174"/>
      <c r="H45" s="164"/>
      <c r="I45" s="174"/>
      <c r="J45" s="184"/>
      <c r="K45" s="186"/>
      <c r="L45" s="187" t="str">
        <f t="shared" si="11"/>
        <v/>
      </c>
      <c r="M45" s="187" t="str">
        <f t="shared" si="12"/>
        <v/>
      </c>
      <c r="N45" s="187" t="str">
        <f t="shared" si="1"/>
        <v>D</v>
      </c>
      <c r="O45" s="187" t="str">
        <f t="shared" si="13"/>
        <v>D</v>
      </c>
      <c r="P45" s="187">
        <f t="shared" si="14"/>
        <v>1</v>
      </c>
      <c r="Q45" s="187">
        <f>IFERROR(VLOOKUP(E45,Tabela_Deflator:E$43,5,FALSE),1)</f>
        <v>1</v>
      </c>
      <c r="R45" s="188" t="str">
        <f t="shared" si="15"/>
        <v/>
      </c>
      <c r="S45" s="237" t="str">
        <f t="shared" si="3"/>
        <v/>
      </c>
      <c r="T45" s="237" t="str">
        <f t="shared" si="20"/>
        <v/>
      </c>
      <c r="U45" s="189"/>
      <c r="V45" s="167"/>
      <c r="W45" s="165"/>
      <c r="X45" s="164"/>
      <c r="Y45" s="164"/>
      <c r="Z45" s="164"/>
      <c r="AA45" s="174"/>
      <c r="AB45" s="164"/>
      <c r="AC45" s="174"/>
      <c r="AD45" s="184"/>
      <c r="AE45" s="190" t="str">
        <f t="shared" si="16"/>
        <v/>
      </c>
      <c r="AF45" s="190" t="str">
        <f t="shared" si="17"/>
        <v/>
      </c>
      <c r="AG45" s="190" t="str">
        <f t="shared" si="6"/>
        <v>D</v>
      </c>
      <c r="AH45" s="190">
        <f>IFERROR(VLOOKUP(Y45,SISP_Deflatores_e_INMs!B$4:F$49,3,FALSE),1)</f>
        <v>1</v>
      </c>
      <c r="AI45" s="190">
        <f>IFERROR(VLOOKUP(Y45,SISP_Deflatores_e_INMs!B$4:G$49,5,FALSE),1)</f>
        <v>1</v>
      </c>
      <c r="AJ45" s="191" t="str">
        <f t="shared" si="18"/>
        <v/>
      </c>
      <c r="AK45" s="237" t="str">
        <f t="shared" si="7"/>
        <v/>
      </c>
      <c r="AL45" s="237" t="str">
        <f t="shared" si="19"/>
        <v/>
      </c>
      <c r="AM45" s="192" t="e">
        <f t="shared" si="8"/>
        <v>#VALUE!</v>
      </c>
      <c r="AN45" s="193" t="e">
        <f t="shared" si="9"/>
        <v>#VALUE!</v>
      </c>
      <c r="AO45" s="193" t="e">
        <f t="shared" si="10"/>
        <v>#VALUE!</v>
      </c>
      <c r="AP45" s="193"/>
      <c r="AQ45" s="204"/>
      <c r="AR45" s="204"/>
      <c r="AS45" s="204"/>
      <c r="AT45" s="205"/>
      <c r="AU45"/>
    </row>
    <row r="46" spans="2:47" ht="15" customHeight="1" x14ac:dyDescent="0.25">
      <c r="B46" s="206"/>
      <c r="C46" s="185"/>
      <c r="D46" s="164"/>
      <c r="E46" s="174"/>
      <c r="F46" s="164"/>
      <c r="G46" s="174"/>
      <c r="H46" s="164"/>
      <c r="I46" s="174"/>
      <c r="J46" s="184"/>
      <c r="K46" s="186"/>
      <c r="L46" s="187" t="str">
        <f t="shared" si="11"/>
        <v/>
      </c>
      <c r="M46" s="187" t="str">
        <f t="shared" si="12"/>
        <v/>
      </c>
      <c r="N46" s="187" t="str">
        <f t="shared" si="1"/>
        <v>D</v>
      </c>
      <c r="O46" s="187" t="str">
        <f t="shared" si="13"/>
        <v>D</v>
      </c>
      <c r="P46" s="187">
        <f t="shared" si="14"/>
        <v>1</v>
      </c>
      <c r="Q46" s="187">
        <f>IFERROR(VLOOKUP(E46,Tabela_Deflator:E$43,5,FALSE),1)</f>
        <v>1</v>
      </c>
      <c r="R46" s="188" t="str">
        <f t="shared" si="15"/>
        <v/>
      </c>
      <c r="S46" s="237" t="str">
        <f t="shared" si="3"/>
        <v/>
      </c>
      <c r="T46" s="237" t="str">
        <f t="shared" si="20"/>
        <v/>
      </c>
      <c r="U46" s="189"/>
      <c r="V46" s="167"/>
      <c r="W46" s="165"/>
      <c r="X46" s="164"/>
      <c r="Y46" s="164"/>
      <c r="Z46" s="164"/>
      <c r="AA46" s="174"/>
      <c r="AB46" s="164"/>
      <c r="AC46" s="174"/>
      <c r="AD46" s="184"/>
      <c r="AE46" s="190" t="str">
        <f t="shared" si="16"/>
        <v/>
      </c>
      <c r="AF46" s="190" t="str">
        <f t="shared" si="17"/>
        <v/>
      </c>
      <c r="AG46" s="190" t="str">
        <f t="shared" si="6"/>
        <v>D</v>
      </c>
      <c r="AH46" s="190">
        <f>IFERROR(VLOOKUP(Y46,SISP_Deflatores_e_INMs!B$4:F$49,3,FALSE),1)</f>
        <v>1</v>
      </c>
      <c r="AI46" s="190">
        <f>IFERROR(VLOOKUP(Y46,SISP_Deflatores_e_INMs!B$4:G$49,5,FALSE),1)</f>
        <v>1</v>
      </c>
      <c r="AJ46" s="191" t="str">
        <f t="shared" si="18"/>
        <v/>
      </c>
      <c r="AK46" s="237" t="str">
        <f t="shared" si="7"/>
        <v/>
      </c>
      <c r="AL46" s="237" t="str">
        <f t="shared" si="19"/>
        <v/>
      </c>
      <c r="AM46" s="192" t="e">
        <f t="shared" si="8"/>
        <v>#VALUE!</v>
      </c>
      <c r="AN46" s="193" t="e">
        <f t="shared" si="9"/>
        <v>#VALUE!</v>
      </c>
      <c r="AO46" s="193" t="e">
        <f t="shared" si="10"/>
        <v>#VALUE!</v>
      </c>
      <c r="AP46" s="193"/>
      <c r="AQ46" s="204"/>
      <c r="AR46" s="204"/>
      <c r="AS46" s="204"/>
      <c r="AT46" s="205"/>
      <c r="AU46"/>
    </row>
    <row r="47" spans="2:47" ht="15" customHeight="1" x14ac:dyDescent="0.25">
      <c r="B47" s="206"/>
      <c r="C47" s="185"/>
      <c r="D47" s="164"/>
      <c r="E47" s="174"/>
      <c r="F47" s="164"/>
      <c r="G47" s="174"/>
      <c r="H47" s="164"/>
      <c r="I47" s="174"/>
      <c r="J47" s="184"/>
      <c r="K47" s="186"/>
      <c r="L47" s="187" t="str">
        <f t="shared" si="11"/>
        <v/>
      </c>
      <c r="M47" s="187" t="str">
        <f t="shared" si="12"/>
        <v/>
      </c>
      <c r="N47" s="187" t="str">
        <f t="shared" si="1"/>
        <v>D</v>
      </c>
      <c r="O47" s="187" t="str">
        <f t="shared" si="13"/>
        <v>D</v>
      </c>
      <c r="P47" s="187">
        <f t="shared" si="14"/>
        <v>1</v>
      </c>
      <c r="Q47" s="187">
        <f>IFERROR(VLOOKUP(E47,Tabela_Deflator:E$43,5,FALSE),1)</f>
        <v>1</v>
      </c>
      <c r="R47" s="188" t="str">
        <f t="shared" si="15"/>
        <v/>
      </c>
      <c r="S47" s="237" t="str">
        <f t="shared" si="3"/>
        <v/>
      </c>
      <c r="T47" s="237" t="str">
        <f t="shared" si="20"/>
        <v/>
      </c>
      <c r="U47" s="189"/>
      <c r="V47" s="167"/>
      <c r="W47" s="165"/>
      <c r="X47" s="164"/>
      <c r="Y47" s="164"/>
      <c r="Z47" s="164"/>
      <c r="AA47" s="174"/>
      <c r="AB47" s="164"/>
      <c r="AC47" s="174"/>
      <c r="AD47" s="184"/>
      <c r="AE47" s="190" t="str">
        <f t="shared" si="16"/>
        <v/>
      </c>
      <c r="AF47" s="190" t="str">
        <f t="shared" si="17"/>
        <v/>
      </c>
      <c r="AG47" s="190" t="str">
        <f t="shared" si="6"/>
        <v>D</v>
      </c>
      <c r="AH47" s="190">
        <f>IFERROR(VLOOKUP(Y47,SISP_Deflatores_e_INMs!B$4:F$49,3,FALSE),1)</f>
        <v>1</v>
      </c>
      <c r="AI47" s="190">
        <f>IFERROR(VLOOKUP(Y47,SISP_Deflatores_e_INMs!B$4:G$49,5,FALSE),1)</f>
        <v>1</v>
      </c>
      <c r="AJ47" s="191" t="str">
        <f t="shared" si="18"/>
        <v/>
      </c>
      <c r="AK47" s="237" t="str">
        <f t="shared" si="7"/>
        <v/>
      </c>
      <c r="AL47" s="237" t="str">
        <f t="shared" si="19"/>
        <v/>
      </c>
      <c r="AM47" s="192" t="e">
        <f t="shared" si="8"/>
        <v>#VALUE!</v>
      </c>
      <c r="AN47" s="193" t="e">
        <f t="shared" si="9"/>
        <v>#VALUE!</v>
      </c>
      <c r="AO47" s="193" t="e">
        <f t="shared" si="10"/>
        <v>#VALUE!</v>
      </c>
      <c r="AP47" s="193"/>
      <c r="AQ47" s="204"/>
      <c r="AR47" s="204"/>
      <c r="AS47" s="204"/>
      <c r="AT47" s="205"/>
      <c r="AU47"/>
    </row>
    <row r="48" spans="2:47" ht="15" customHeight="1" x14ac:dyDescent="0.25">
      <c r="B48" s="206"/>
      <c r="C48" s="185"/>
      <c r="D48" s="164"/>
      <c r="E48" s="174"/>
      <c r="F48" s="164"/>
      <c r="G48" s="174"/>
      <c r="H48" s="164"/>
      <c r="I48" s="174"/>
      <c r="J48" s="184"/>
      <c r="K48" s="186"/>
      <c r="L48" s="187" t="str">
        <f t="shared" si="11"/>
        <v/>
      </c>
      <c r="M48" s="187" t="str">
        <f t="shared" si="12"/>
        <v/>
      </c>
      <c r="N48" s="187" t="str">
        <f t="shared" si="1"/>
        <v>D</v>
      </c>
      <c r="O48" s="187" t="str">
        <f t="shared" si="13"/>
        <v>D</v>
      </c>
      <c r="P48" s="187">
        <f t="shared" si="14"/>
        <v>1</v>
      </c>
      <c r="Q48" s="187">
        <f>IFERROR(VLOOKUP(E48,Tabela_Deflator:E$43,5,FALSE),1)</f>
        <v>1</v>
      </c>
      <c r="R48" s="188" t="str">
        <f t="shared" si="15"/>
        <v/>
      </c>
      <c r="S48" s="237" t="str">
        <f t="shared" si="3"/>
        <v/>
      </c>
      <c r="T48" s="237" t="str">
        <f t="shared" si="20"/>
        <v/>
      </c>
      <c r="U48" s="189"/>
      <c r="V48" s="167"/>
      <c r="W48" s="165"/>
      <c r="X48" s="164"/>
      <c r="Y48" s="164"/>
      <c r="Z48" s="164"/>
      <c r="AA48" s="174"/>
      <c r="AB48" s="164"/>
      <c r="AC48" s="174"/>
      <c r="AD48" s="184"/>
      <c r="AE48" s="190" t="str">
        <f t="shared" si="16"/>
        <v/>
      </c>
      <c r="AF48" s="190" t="str">
        <f t="shared" si="17"/>
        <v/>
      </c>
      <c r="AG48" s="190" t="str">
        <f t="shared" si="6"/>
        <v>D</v>
      </c>
      <c r="AH48" s="190">
        <f>IFERROR(VLOOKUP(Y48,SISP_Deflatores_e_INMs!B$4:F$49,3,FALSE),1)</f>
        <v>1</v>
      </c>
      <c r="AI48" s="190">
        <f>IFERROR(VLOOKUP(Y48,SISP_Deflatores_e_INMs!B$4:G$49,5,FALSE),1)</f>
        <v>1</v>
      </c>
      <c r="AJ48" s="191" t="str">
        <f t="shared" si="18"/>
        <v/>
      </c>
      <c r="AK48" s="237" t="str">
        <f t="shared" si="7"/>
        <v/>
      </c>
      <c r="AL48" s="237" t="str">
        <f t="shared" si="19"/>
        <v/>
      </c>
      <c r="AM48" s="192" t="e">
        <f t="shared" si="8"/>
        <v>#VALUE!</v>
      </c>
      <c r="AN48" s="193" t="e">
        <f t="shared" si="9"/>
        <v>#VALUE!</v>
      </c>
      <c r="AO48" s="193" t="e">
        <f t="shared" si="10"/>
        <v>#VALUE!</v>
      </c>
      <c r="AP48" s="193"/>
      <c r="AQ48" s="204"/>
      <c r="AR48" s="204"/>
      <c r="AS48" s="204"/>
      <c r="AT48" s="205"/>
      <c r="AU48"/>
    </row>
    <row r="49" spans="2:47" ht="15" customHeight="1" x14ac:dyDescent="0.25">
      <c r="B49" s="206"/>
      <c r="C49" s="185"/>
      <c r="D49" s="164"/>
      <c r="E49" s="174"/>
      <c r="F49" s="164"/>
      <c r="G49" s="174"/>
      <c r="H49" s="164"/>
      <c r="I49" s="174"/>
      <c r="J49" s="184"/>
      <c r="K49" s="186"/>
      <c r="L49" s="187" t="str">
        <f t="shared" si="11"/>
        <v/>
      </c>
      <c r="M49" s="187" t="str">
        <f t="shared" si="12"/>
        <v/>
      </c>
      <c r="N49" s="187" t="str">
        <f t="shared" si="1"/>
        <v>D</v>
      </c>
      <c r="O49" s="187" t="str">
        <f t="shared" si="13"/>
        <v>D</v>
      </c>
      <c r="P49" s="187">
        <f t="shared" si="14"/>
        <v>1</v>
      </c>
      <c r="Q49" s="187">
        <f>IFERROR(VLOOKUP(E49,Tabela_Deflator:E$43,5,FALSE),1)</f>
        <v>1</v>
      </c>
      <c r="R49" s="188" t="str">
        <f t="shared" si="15"/>
        <v/>
      </c>
      <c r="S49" s="237" t="str">
        <f t="shared" si="3"/>
        <v/>
      </c>
      <c r="T49" s="237" t="str">
        <f t="shared" si="20"/>
        <v/>
      </c>
      <c r="U49" s="189"/>
      <c r="V49" s="167"/>
      <c r="W49" s="165"/>
      <c r="X49" s="164"/>
      <c r="Y49" s="164"/>
      <c r="Z49" s="164"/>
      <c r="AA49" s="174"/>
      <c r="AB49" s="164"/>
      <c r="AC49" s="174"/>
      <c r="AD49" s="184"/>
      <c r="AE49" s="190" t="str">
        <f t="shared" si="16"/>
        <v/>
      </c>
      <c r="AF49" s="190" t="str">
        <f t="shared" si="17"/>
        <v/>
      </c>
      <c r="AG49" s="190" t="str">
        <f t="shared" si="6"/>
        <v>D</v>
      </c>
      <c r="AH49" s="190">
        <f>IFERROR(VLOOKUP(Y49,SISP_Deflatores_e_INMs!B$4:F$49,3,FALSE),1)</f>
        <v>1</v>
      </c>
      <c r="AI49" s="190">
        <f>IFERROR(VLOOKUP(Y49,SISP_Deflatores_e_INMs!B$4:G$49,5,FALSE),1)</f>
        <v>1</v>
      </c>
      <c r="AJ49" s="191" t="str">
        <f t="shared" si="18"/>
        <v/>
      </c>
      <c r="AK49" s="237" t="str">
        <f t="shared" si="7"/>
        <v/>
      </c>
      <c r="AL49" s="237" t="str">
        <f t="shared" si="19"/>
        <v/>
      </c>
      <c r="AM49" s="192" t="e">
        <f t="shared" si="8"/>
        <v>#VALUE!</v>
      </c>
      <c r="AN49" s="193" t="e">
        <f t="shared" si="9"/>
        <v>#VALUE!</v>
      </c>
      <c r="AO49" s="193" t="e">
        <f t="shared" si="10"/>
        <v>#VALUE!</v>
      </c>
      <c r="AP49" s="193"/>
      <c r="AQ49" s="204"/>
      <c r="AR49" s="204"/>
      <c r="AS49" s="204"/>
      <c r="AT49" s="205"/>
      <c r="AU49"/>
    </row>
    <row r="50" spans="2:47" ht="15" customHeight="1" x14ac:dyDescent="0.25">
      <c r="B50" s="206"/>
      <c r="C50" s="185"/>
      <c r="D50" s="164"/>
      <c r="E50" s="174"/>
      <c r="F50" s="164"/>
      <c r="G50" s="174"/>
      <c r="H50" s="164"/>
      <c r="I50" s="174"/>
      <c r="J50" s="184"/>
      <c r="K50" s="186"/>
      <c r="L50" s="187" t="str">
        <f t="shared" si="11"/>
        <v/>
      </c>
      <c r="M50" s="187" t="str">
        <f t="shared" si="12"/>
        <v/>
      </c>
      <c r="N50" s="187" t="str">
        <f t="shared" si="1"/>
        <v>D</v>
      </c>
      <c r="O50" s="187" t="str">
        <f t="shared" si="13"/>
        <v>D</v>
      </c>
      <c r="P50" s="187">
        <f t="shared" si="14"/>
        <v>1</v>
      </c>
      <c r="Q50" s="187">
        <f>IFERROR(VLOOKUP(E50,Tabela_Deflator:E$43,5,FALSE),1)</f>
        <v>1</v>
      </c>
      <c r="R50" s="188" t="str">
        <f t="shared" si="15"/>
        <v/>
      </c>
      <c r="S50" s="237" t="str">
        <f t="shared" si="3"/>
        <v/>
      </c>
      <c r="T50" s="237" t="str">
        <f t="shared" si="20"/>
        <v/>
      </c>
      <c r="U50" s="189"/>
      <c r="V50" s="167"/>
      <c r="W50" s="165"/>
      <c r="X50" s="164"/>
      <c r="Y50" s="164"/>
      <c r="Z50" s="164"/>
      <c r="AA50" s="174"/>
      <c r="AB50" s="164"/>
      <c r="AC50" s="174"/>
      <c r="AD50" s="184"/>
      <c r="AE50" s="190" t="str">
        <f t="shared" si="16"/>
        <v/>
      </c>
      <c r="AF50" s="190" t="str">
        <f t="shared" si="17"/>
        <v/>
      </c>
      <c r="AG50" s="190" t="str">
        <f t="shared" si="6"/>
        <v>D</v>
      </c>
      <c r="AH50" s="190">
        <f>IFERROR(VLOOKUP(Y50,SISP_Deflatores_e_INMs!B$4:F$49,3,FALSE),1)</f>
        <v>1</v>
      </c>
      <c r="AI50" s="190">
        <f>IFERROR(VLOOKUP(Y50,SISP_Deflatores_e_INMs!B$4:G$49,5,FALSE),1)</f>
        <v>1</v>
      </c>
      <c r="AJ50" s="191" t="str">
        <f t="shared" si="18"/>
        <v/>
      </c>
      <c r="AK50" s="237" t="str">
        <f t="shared" si="7"/>
        <v/>
      </c>
      <c r="AL50" s="237" t="str">
        <f t="shared" si="19"/>
        <v/>
      </c>
      <c r="AM50" s="192" t="e">
        <f t="shared" si="8"/>
        <v>#VALUE!</v>
      </c>
      <c r="AN50" s="193" t="e">
        <f t="shared" si="9"/>
        <v>#VALUE!</v>
      </c>
      <c r="AO50" s="193" t="e">
        <f t="shared" si="10"/>
        <v>#VALUE!</v>
      </c>
      <c r="AP50" s="193"/>
      <c r="AQ50" s="204"/>
      <c r="AR50" s="204"/>
      <c r="AS50" s="204"/>
      <c r="AT50" s="205"/>
      <c r="AU50"/>
    </row>
    <row r="51" spans="2:47" ht="15" customHeight="1" x14ac:dyDescent="0.25">
      <c r="B51" s="206"/>
      <c r="C51" s="185"/>
      <c r="D51" s="164"/>
      <c r="E51" s="174"/>
      <c r="F51" s="164"/>
      <c r="G51" s="174"/>
      <c r="H51" s="164"/>
      <c r="I51" s="174"/>
      <c r="J51" s="184"/>
      <c r="K51" s="186"/>
      <c r="L51" s="187" t="str">
        <f t="shared" si="11"/>
        <v/>
      </c>
      <c r="M51" s="187" t="str">
        <f t="shared" si="12"/>
        <v/>
      </c>
      <c r="N51" s="187" t="str">
        <f t="shared" si="1"/>
        <v>D</v>
      </c>
      <c r="O51" s="187" t="str">
        <f t="shared" si="13"/>
        <v>D</v>
      </c>
      <c r="P51" s="187">
        <f t="shared" si="14"/>
        <v>1</v>
      </c>
      <c r="Q51" s="187">
        <f>IFERROR(VLOOKUP(E51,Tabela_Deflator:E$43,5,FALSE),1)</f>
        <v>1</v>
      </c>
      <c r="R51" s="188" t="str">
        <f t="shared" si="15"/>
        <v/>
      </c>
      <c r="S51" s="237" t="str">
        <f t="shared" si="3"/>
        <v/>
      </c>
      <c r="T51" s="237" t="str">
        <f t="shared" si="20"/>
        <v/>
      </c>
      <c r="U51" s="189"/>
      <c r="V51" s="167"/>
      <c r="W51" s="165"/>
      <c r="X51" s="164"/>
      <c r="Y51" s="164"/>
      <c r="Z51" s="164"/>
      <c r="AA51" s="174"/>
      <c r="AB51" s="164"/>
      <c r="AC51" s="174"/>
      <c r="AD51" s="184"/>
      <c r="AE51" s="190" t="str">
        <f t="shared" si="16"/>
        <v/>
      </c>
      <c r="AF51" s="190" t="str">
        <f t="shared" si="17"/>
        <v/>
      </c>
      <c r="AG51" s="190" t="str">
        <f t="shared" si="6"/>
        <v>D</v>
      </c>
      <c r="AH51" s="190">
        <f>IFERROR(VLOOKUP(Y51,SISP_Deflatores_e_INMs!B$4:F$49,3,FALSE),1)</f>
        <v>1</v>
      </c>
      <c r="AI51" s="190">
        <f>IFERROR(VLOOKUP(Y51,SISP_Deflatores_e_INMs!B$4:G$49,5,FALSE),1)</f>
        <v>1</v>
      </c>
      <c r="AJ51" s="191" t="str">
        <f t="shared" si="18"/>
        <v/>
      </c>
      <c r="AK51" s="237" t="str">
        <f t="shared" si="7"/>
        <v/>
      </c>
      <c r="AL51" s="237" t="str">
        <f t="shared" si="19"/>
        <v/>
      </c>
      <c r="AM51" s="192" t="e">
        <f t="shared" si="8"/>
        <v>#VALUE!</v>
      </c>
      <c r="AN51" s="193" t="e">
        <f t="shared" si="9"/>
        <v>#VALUE!</v>
      </c>
      <c r="AO51" s="193" t="e">
        <f t="shared" si="10"/>
        <v>#VALUE!</v>
      </c>
      <c r="AP51" s="193"/>
      <c r="AQ51" s="204"/>
      <c r="AR51" s="204"/>
      <c r="AS51" s="204"/>
      <c r="AT51" s="205"/>
      <c r="AU51"/>
    </row>
    <row r="52" spans="2:47" ht="15" customHeight="1" x14ac:dyDescent="0.25">
      <c r="B52" s="206"/>
      <c r="C52" s="185"/>
      <c r="D52" s="164"/>
      <c r="E52" s="174"/>
      <c r="F52" s="164"/>
      <c r="G52" s="174"/>
      <c r="H52" s="164"/>
      <c r="I52" s="174"/>
      <c r="J52" s="184"/>
      <c r="K52" s="186"/>
      <c r="L52" s="187" t="str">
        <f t="shared" si="11"/>
        <v/>
      </c>
      <c r="M52" s="187" t="str">
        <f t="shared" si="12"/>
        <v/>
      </c>
      <c r="N52" s="187" t="str">
        <f t="shared" si="1"/>
        <v>D</v>
      </c>
      <c r="O52" s="187" t="str">
        <f t="shared" si="13"/>
        <v>D</v>
      </c>
      <c r="P52" s="187">
        <f t="shared" si="14"/>
        <v>1</v>
      </c>
      <c r="Q52" s="187">
        <f>IFERROR(VLOOKUP(E52,Tabela_Deflator:E$43,5,FALSE),1)</f>
        <v>1</v>
      </c>
      <c r="R52" s="188" t="str">
        <f t="shared" si="15"/>
        <v/>
      </c>
      <c r="S52" s="237" t="str">
        <f t="shared" si="3"/>
        <v/>
      </c>
      <c r="T52" s="237" t="str">
        <f t="shared" si="20"/>
        <v/>
      </c>
      <c r="U52" s="189"/>
      <c r="V52" s="167"/>
      <c r="W52" s="165"/>
      <c r="X52" s="164"/>
      <c r="Y52" s="164"/>
      <c r="Z52" s="164"/>
      <c r="AA52" s="174"/>
      <c r="AB52" s="164"/>
      <c r="AC52" s="174"/>
      <c r="AD52" s="184"/>
      <c r="AE52" s="190" t="str">
        <f t="shared" si="16"/>
        <v/>
      </c>
      <c r="AF52" s="190" t="str">
        <f t="shared" si="17"/>
        <v/>
      </c>
      <c r="AG52" s="190" t="str">
        <f t="shared" si="6"/>
        <v>D</v>
      </c>
      <c r="AH52" s="190">
        <f>IFERROR(VLOOKUP(Y52,SISP_Deflatores_e_INMs!B$4:F$49,3,FALSE),1)</f>
        <v>1</v>
      </c>
      <c r="AI52" s="190">
        <f>IFERROR(VLOOKUP(Y52,SISP_Deflatores_e_INMs!B$4:G$49,5,FALSE),1)</f>
        <v>1</v>
      </c>
      <c r="AJ52" s="191" t="str">
        <f t="shared" si="18"/>
        <v/>
      </c>
      <c r="AK52" s="237" t="str">
        <f t="shared" si="7"/>
        <v/>
      </c>
      <c r="AL52" s="237" t="str">
        <f t="shared" si="19"/>
        <v/>
      </c>
      <c r="AM52" s="192" t="e">
        <f t="shared" si="8"/>
        <v>#VALUE!</v>
      </c>
      <c r="AN52" s="193" t="e">
        <f t="shared" si="9"/>
        <v>#VALUE!</v>
      </c>
      <c r="AO52" s="193" t="e">
        <f t="shared" si="10"/>
        <v>#VALUE!</v>
      </c>
      <c r="AP52" s="193"/>
      <c r="AQ52" s="204"/>
      <c r="AR52" s="204"/>
      <c r="AS52" s="204"/>
      <c r="AT52" s="205"/>
      <c r="AU52"/>
    </row>
    <row r="53" spans="2:47" ht="15" customHeight="1" x14ac:dyDescent="0.25">
      <c r="B53" s="206"/>
      <c r="C53" s="185"/>
      <c r="D53" s="164"/>
      <c r="E53" s="174"/>
      <c r="F53" s="164"/>
      <c r="G53" s="174"/>
      <c r="H53" s="164"/>
      <c r="I53" s="174"/>
      <c r="J53" s="184"/>
      <c r="K53" s="186"/>
      <c r="L53" s="187" t="str">
        <f t="shared" si="11"/>
        <v/>
      </c>
      <c r="M53" s="187" t="str">
        <f t="shared" si="12"/>
        <v/>
      </c>
      <c r="N53" s="187" t="str">
        <f t="shared" si="1"/>
        <v>D</v>
      </c>
      <c r="O53" s="187" t="str">
        <f t="shared" si="13"/>
        <v>D</v>
      </c>
      <c r="P53" s="187">
        <f t="shared" si="14"/>
        <v>1</v>
      </c>
      <c r="Q53" s="187">
        <f>IFERROR(VLOOKUP(E53,Tabela_Deflator:E$43,5,FALSE),1)</f>
        <v>1</v>
      </c>
      <c r="R53" s="188" t="str">
        <f t="shared" si="15"/>
        <v/>
      </c>
      <c r="S53" s="237" t="str">
        <f t="shared" si="3"/>
        <v/>
      </c>
      <c r="T53" s="237" t="str">
        <f t="shared" si="20"/>
        <v/>
      </c>
      <c r="U53" s="189"/>
      <c r="V53" s="167"/>
      <c r="W53" s="165"/>
      <c r="X53" s="164"/>
      <c r="Y53" s="164"/>
      <c r="Z53" s="164"/>
      <c r="AA53" s="174"/>
      <c r="AB53" s="164"/>
      <c r="AC53" s="174"/>
      <c r="AD53" s="184"/>
      <c r="AE53" s="190" t="str">
        <f t="shared" si="16"/>
        <v/>
      </c>
      <c r="AF53" s="190" t="str">
        <f t="shared" si="17"/>
        <v/>
      </c>
      <c r="AG53" s="190" t="str">
        <f t="shared" si="6"/>
        <v>D</v>
      </c>
      <c r="AH53" s="190">
        <f>IFERROR(VLOOKUP(Y53,SISP_Deflatores_e_INMs!B$4:F$49,3,FALSE),1)</f>
        <v>1</v>
      </c>
      <c r="AI53" s="190">
        <f>IFERROR(VLOOKUP(Y53,SISP_Deflatores_e_INMs!B$4:G$49,5,FALSE),1)</f>
        <v>1</v>
      </c>
      <c r="AJ53" s="191" t="str">
        <f t="shared" si="18"/>
        <v/>
      </c>
      <c r="AK53" s="237" t="str">
        <f t="shared" si="7"/>
        <v/>
      </c>
      <c r="AL53" s="237" t="str">
        <f t="shared" si="19"/>
        <v/>
      </c>
      <c r="AM53" s="192" t="e">
        <f t="shared" si="8"/>
        <v>#VALUE!</v>
      </c>
      <c r="AN53" s="193" t="e">
        <f t="shared" si="9"/>
        <v>#VALUE!</v>
      </c>
      <c r="AO53" s="193" t="e">
        <f t="shared" si="10"/>
        <v>#VALUE!</v>
      </c>
      <c r="AP53" s="193"/>
      <c r="AQ53" s="204"/>
      <c r="AR53" s="204"/>
      <c r="AS53" s="204"/>
      <c r="AT53" s="205"/>
      <c r="AU53"/>
    </row>
    <row r="54" spans="2:47" ht="15" customHeight="1" x14ac:dyDescent="0.25">
      <c r="B54" s="206"/>
      <c r="C54" s="185"/>
      <c r="D54" s="164"/>
      <c r="E54" s="174"/>
      <c r="F54" s="164"/>
      <c r="G54" s="174"/>
      <c r="H54" s="164"/>
      <c r="I54" s="174"/>
      <c r="J54" s="184"/>
      <c r="K54" s="186"/>
      <c r="L54" s="187" t="str">
        <f t="shared" si="11"/>
        <v/>
      </c>
      <c r="M54" s="187" t="str">
        <f t="shared" si="12"/>
        <v/>
      </c>
      <c r="N54" s="187" t="str">
        <f t="shared" si="1"/>
        <v>D</v>
      </c>
      <c r="O54" s="187" t="str">
        <f t="shared" si="13"/>
        <v>D</v>
      </c>
      <c r="P54" s="187">
        <f t="shared" si="14"/>
        <v>1</v>
      </c>
      <c r="Q54" s="187">
        <f>IFERROR(VLOOKUP(E54,Tabela_Deflator:E$43,5,FALSE),1)</f>
        <v>1</v>
      </c>
      <c r="R54" s="188" t="str">
        <f t="shared" si="15"/>
        <v/>
      </c>
      <c r="S54" s="237" t="str">
        <f t="shared" si="3"/>
        <v/>
      </c>
      <c r="T54" s="237" t="str">
        <f t="shared" si="20"/>
        <v/>
      </c>
      <c r="U54" s="189"/>
      <c r="V54" s="167"/>
      <c r="W54" s="165"/>
      <c r="X54" s="164"/>
      <c r="Y54" s="164"/>
      <c r="Z54" s="164"/>
      <c r="AA54" s="174"/>
      <c r="AB54" s="164"/>
      <c r="AC54" s="174"/>
      <c r="AD54" s="184"/>
      <c r="AE54" s="190" t="str">
        <f t="shared" si="16"/>
        <v/>
      </c>
      <c r="AF54" s="190" t="str">
        <f t="shared" si="17"/>
        <v/>
      </c>
      <c r="AG54" s="190" t="str">
        <f t="shared" si="6"/>
        <v>D</v>
      </c>
      <c r="AH54" s="190">
        <f>IFERROR(VLOOKUP(Y54,SISP_Deflatores_e_INMs!B$4:F$49,3,FALSE),1)</f>
        <v>1</v>
      </c>
      <c r="AI54" s="190">
        <f>IFERROR(VLOOKUP(Y54,SISP_Deflatores_e_INMs!B$4:G$49,5,FALSE),1)</f>
        <v>1</v>
      </c>
      <c r="AJ54" s="191" t="str">
        <f t="shared" si="18"/>
        <v/>
      </c>
      <c r="AK54" s="237" t="str">
        <f t="shared" si="7"/>
        <v/>
      </c>
      <c r="AL54" s="237" t="str">
        <f t="shared" si="19"/>
        <v/>
      </c>
      <c r="AM54" s="192" t="e">
        <f t="shared" si="8"/>
        <v>#VALUE!</v>
      </c>
      <c r="AN54" s="193" t="e">
        <f t="shared" si="9"/>
        <v>#VALUE!</v>
      </c>
      <c r="AO54" s="193" t="e">
        <f t="shared" si="10"/>
        <v>#VALUE!</v>
      </c>
      <c r="AP54" s="193"/>
      <c r="AQ54" s="204"/>
      <c r="AR54" s="204"/>
      <c r="AS54" s="204"/>
      <c r="AT54" s="205"/>
      <c r="AU54"/>
    </row>
    <row r="55" spans="2:47" ht="15" customHeight="1" x14ac:dyDescent="0.25">
      <c r="B55" s="206"/>
      <c r="C55" s="185"/>
      <c r="D55" s="164"/>
      <c r="E55" s="174"/>
      <c r="F55" s="164"/>
      <c r="G55" s="174"/>
      <c r="H55" s="164"/>
      <c r="I55" s="174"/>
      <c r="J55" s="184"/>
      <c r="K55" s="186"/>
      <c r="L55" s="187" t="str">
        <f t="shared" si="11"/>
        <v/>
      </c>
      <c r="M55" s="187" t="str">
        <f t="shared" si="12"/>
        <v/>
      </c>
      <c r="N55" s="187" t="str">
        <f t="shared" si="1"/>
        <v>D</v>
      </c>
      <c r="O55" s="187" t="str">
        <f t="shared" si="13"/>
        <v>D</v>
      </c>
      <c r="P55" s="187">
        <f t="shared" si="14"/>
        <v>1</v>
      </c>
      <c r="Q55" s="187">
        <f>IFERROR(VLOOKUP(E55,Tabela_Deflator:E$43,5,FALSE),1)</f>
        <v>1</v>
      </c>
      <c r="R55" s="188" t="str">
        <f t="shared" si="15"/>
        <v/>
      </c>
      <c r="S55" s="237" t="str">
        <f t="shared" si="3"/>
        <v/>
      </c>
      <c r="T55" s="237" t="str">
        <f t="shared" si="20"/>
        <v/>
      </c>
      <c r="U55" s="189"/>
      <c r="V55" s="167"/>
      <c r="W55" s="165"/>
      <c r="X55" s="164"/>
      <c r="Y55" s="164"/>
      <c r="Z55" s="164"/>
      <c r="AA55" s="174"/>
      <c r="AB55" s="164"/>
      <c r="AC55" s="174"/>
      <c r="AD55" s="184"/>
      <c r="AE55" s="190" t="str">
        <f t="shared" si="16"/>
        <v/>
      </c>
      <c r="AF55" s="190" t="str">
        <f t="shared" si="17"/>
        <v/>
      </c>
      <c r="AG55" s="190" t="str">
        <f t="shared" si="6"/>
        <v>D</v>
      </c>
      <c r="AH55" s="190">
        <f>IFERROR(VLOOKUP(Y55,SISP_Deflatores_e_INMs!B$4:F$49,3,FALSE),1)</f>
        <v>1</v>
      </c>
      <c r="AI55" s="190">
        <f>IFERROR(VLOOKUP(Y55,SISP_Deflatores_e_INMs!B$4:G$49,5,FALSE),1)</f>
        <v>1</v>
      </c>
      <c r="AJ55" s="191" t="str">
        <f t="shared" si="18"/>
        <v/>
      </c>
      <c r="AK55" s="237" t="str">
        <f t="shared" si="7"/>
        <v/>
      </c>
      <c r="AL55" s="237" t="str">
        <f t="shared" si="19"/>
        <v/>
      </c>
      <c r="AM55" s="192" t="e">
        <f t="shared" si="8"/>
        <v>#VALUE!</v>
      </c>
      <c r="AN55" s="193" t="e">
        <f t="shared" si="9"/>
        <v>#VALUE!</v>
      </c>
      <c r="AO55" s="193" t="e">
        <f t="shared" si="10"/>
        <v>#VALUE!</v>
      </c>
      <c r="AP55" s="193"/>
      <c r="AQ55" s="204"/>
      <c r="AR55" s="204"/>
      <c r="AS55" s="204"/>
      <c r="AT55" s="205"/>
      <c r="AU55"/>
    </row>
    <row r="56" spans="2:47" ht="15" customHeight="1" x14ac:dyDescent="0.25">
      <c r="B56" s="206"/>
      <c r="C56" s="185"/>
      <c r="D56" s="164"/>
      <c r="E56" s="174"/>
      <c r="F56" s="164"/>
      <c r="G56" s="174"/>
      <c r="H56" s="164"/>
      <c r="I56" s="174"/>
      <c r="J56" s="184"/>
      <c r="K56" s="186"/>
      <c r="L56" s="187" t="str">
        <f t="shared" si="11"/>
        <v/>
      </c>
      <c r="M56" s="187" t="str">
        <f t="shared" si="12"/>
        <v/>
      </c>
      <c r="N56" s="187" t="str">
        <f t="shared" si="1"/>
        <v>D</v>
      </c>
      <c r="O56" s="187" t="str">
        <f t="shared" si="13"/>
        <v>D</v>
      </c>
      <c r="P56" s="187">
        <f t="shared" si="14"/>
        <v>1</v>
      </c>
      <c r="Q56" s="187">
        <f>IFERROR(VLOOKUP(E56,Tabela_Deflator:E$43,5,FALSE),1)</f>
        <v>1</v>
      </c>
      <c r="R56" s="188" t="str">
        <f t="shared" si="15"/>
        <v/>
      </c>
      <c r="S56" s="237" t="str">
        <f t="shared" si="3"/>
        <v/>
      </c>
      <c r="T56" s="237" t="str">
        <f t="shared" si="20"/>
        <v/>
      </c>
      <c r="U56" s="189"/>
      <c r="V56" s="167"/>
      <c r="W56" s="165"/>
      <c r="X56" s="164"/>
      <c r="Y56" s="164"/>
      <c r="Z56" s="164"/>
      <c r="AA56" s="174"/>
      <c r="AB56" s="164"/>
      <c r="AC56" s="174"/>
      <c r="AD56" s="184"/>
      <c r="AE56" s="190" t="str">
        <f t="shared" si="16"/>
        <v/>
      </c>
      <c r="AF56" s="190" t="str">
        <f t="shared" si="17"/>
        <v/>
      </c>
      <c r="AG56" s="190" t="str">
        <f t="shared" si="6"/>
        <v>D</v>
      </c>
      <c r="AH56" s="190">
        <f>IFERROR(VLOOKUP(Y56,SISP_Deflatores_e_INMs!B$4:F$49,3,FALSE),1)</f>
        <v>1</v>
      </c>
      <c r="AI56" s="190">
        <f>IFERROR(VLOOKUP(Y56,SISP_Deflatores_e_INMs!B$4:G$49,5,FALSE),1)</f>
        <v>1</v>
      </c>
      <c r="AJ56" s="191" t="str">
        <f t="shared" si="18"/>
        <v/>
      </c>
      <c r="AK56" s="237" t="str">
        <f t="shared" si="7"/>
        <v/>
      </c>
      <c r="AL56" s="237" t="str">
        <f t="shared" si="19"/>
        <v/>
      </c>
      <c r="AM56" s="192" t="e">
        <f t="shared" si="8"/>
        <v>#VALUE!</v>
      </c>
      <c r="AN56" s="193" t="e">
        <f t="shared" si="9"/>
        <v>#VALUE!</v>
      </c>
      <c r="AO56" s="193" t="e">
        <f t="shared" si="10"/>
        <v>#VALUE!</v>
      </c>
      <c r="AP56" s="193"/>
      <c r="AQ56" s="204"/>
      <c r="AR56" s="204"/>
      <c r="AS56" s="204"/>
      <c r="AT56" s="205"/>
      <c r="AU56"/>
    </row>
    <row r="57" spans="2:47" ht="15" customHeight="1" x14ac:dyDescent="0.25">
      <c r="B57" s="206"/>
      <c r="C57" s="185"/>
      <c r="D57" s="164"/>
      <c r="E57" s="174"/>
      <c r="F57" s="164"/>
      <c r="G57" s="174"/>
      <c r="H57" s="164"/>
      <c r="I57" s="174"/>
      <c r="J57" s="184"/>
      <c r="K57" s="186"/>
      <c r="L57" s="187" t="str">
        <f t="shared" si="11"/>
        <v/>
      </c>
      <c r="M57" s="187" t="str">
        <f t="shared" si="12"/>
        <v/>
      </c>
      <c r="N57" s="187" t="str">
        <f t="shared" si="1"/>
        <v>D</v>
      </c>
      <c r="O57" s="187" t="str">
        <f t="shared" si="13"/>
        <v>D</v>
      </c>
      <c r="P57" s="187">
        <f t="shared" si="14"/>
        <v>1</v>
      </c>
      <c r="Q57" s="187">
        <f>IFERROR(VLOOKUP(E57,Tabela_Deflator:E$43,5,FALSE),1)</f>
        <v>1</v>
      </c>
      <c r="R57" s="188" t="str">
        <f t="shared" si="15"/>
        <v/>
      </c>
      <c r="S57" s="237" t="str">
        <f t="shared" si="3"/>
        <v/>
      </c>
      <c r="T57" s="237" t="str">
        <f t="shared" si="20"/>
        <v/>
      </c>
      <c r="U57" s="189"/>
      <c r="V57" s="167"/>
      <c r="W57" s="165"/>
      <c r="X57" s="164"/>
      <c r="Y57" s="164"/>
      <c r="Z57" s="164"/>
      <c r="AA57" s="174"/>
      <c r="AB57" s="164"/>
      <c r="AC57" s="174"/>
      <c r="AD57" s="184"/>
      <c r="AE57" s="190" t="str">
        <f t="shared" si="16"/>
        <v/>
      </c>
      <c r="AF57" s="190" t="str">
        <f t="shared" si="17"/>
        <v/>
      </c>
      <c r="AG57" s="190" t="str">
        <f t="shared" si="6"/>
        <v>D</v>
      </c>
      <c r="AH57" s="190">
        <f>IFERROR(VLOOKUP(Y57,SISP_Deflatores_e_INMs!B$4:F$49,3,FALSE),1)</f>
        <v>1</v>
      </c>
      <c r="AI57" s="190">
        <f>IFERROR(VLOOKUP(Y57,SISP_Deflatores_e_INMs!B$4:G$49,5,FALSE),1)</f>
        <v>1</v>
      </c>
      <c r="AJ57" s="191" t="str">
        <f t="shared" si="18"/>
        <v/>
      </c>
      <c r="AK57" s="237" t="str">
        <f t="shared" si="7"/>
        <v/>
      </c>
      <c r="AL57" s="237" t="str">
        <f t="shared" si="19"/>
        <v/>
      </c>
      <c r="AM57" s="192" t="e">
        <f t="shared" si="8"/>
        <v>#VALUE!</v>
      </c>
      <c r="AN57" s="193" t="e">
        <f t="shared" si="9"/>
        <v>#VALUE!</v>
      </c>
      <c r="AO57" s="193" t="e">
        <f t="shared" si="10"/>
        <v>#VALUE!</v>
      </c>
      <c r="AP57" s="193"/>
      <c r="AQ57" s="204"/>
      <c r="AR57" s="204"/>
      <c r="AS57" s="204"/>
      <c r="AT57" s="205"/>
      <c r="AU57"/>
    </row>
    <row r="58" spans="2:47" ht="15" customHeight="1" x14ac:dyDescent="0.25">
      <c r="B58" s="206"/>
      <c r="C58" s="185"/>
      <c r="D58" s="164"/>
      <c r="E58" s="174"/>
      <c r="F58" s="164"/>
      <c r="G58" s="174"/>
      <c r="H58" s="164"/>
      <c r="I58" s="174"/>
      <c r="J58" s="184"/>
      <c r="K58" s="186"/>
      <c r="L58" s="187" t="str">
        <f t="shared" si="11"/>
        <v/>
      </c>
      <c r="M58" s="187" t="str">
        <f t="shared" si="12"/>
        <v/>
      </c>
      <c r="N58" s="187" t="str">
        <f t="shared" si="1"/>
        <v>D</v>
      </c>
      <c r="O58" s="187" t="str">
        <f t="shared" si="13"/>
        <v>D</v>
      </c>
      <c r="P58" s="187">
        <f t="shared" si="14"/>
        <v>1</v>
      </c>
      <c r="Q58" s="187">
        <f>IFERROR(VLOOKUP(E58,Tabela_Deflator:E$43,5,FALSE),1)</f>
        <v>1</v>
      </c>
      <c r="R58" s="188" t="str">
        <f t="shared" si="15"/>
        <v/>
      </c>
      <c r="S58" s="237" t="str">
        <f t="shared" si="3"/>
        <v/>
      </c>
      <c r="T58" s="237" t="str">
        <f t="shared" si="20"/>
        <v/>
      </c>
      <c r="U58" s="189"/>
      <c r="V58" s="167"/>
      <c r="W58" s="165"/>
      <c r="X58" s="164"/>
      <c r="Y58" s="164"/>
      <c r="Z58" s="164"/>
      <c r="AA58" s="174"/>
      <c r="AB58" s="164"/>
      <c r="AC58" s="174"/>
      <c r="AD58" s="184"/>
      <c r="AE58" s="190" t="str">
        <f t="shared" si="16"/>
        <v/>
      </c>
      <c r="AF58" s="190" t="str">
        <f t="shared" si="17"/>
        <v/>
      </c>
      <c r="AG58" s="190" t="str">
        <f t="shared" si="6"/>
        <v>D</v>
      </c>
      <c r="AH58" s="190">
        <f>IFERROR(VLOOKUP(Y58,SISP_Deflatores_e_INMs!B$4:F$49,3,FALSE),1)</f>
        <v>1</v>
      </c>
      <c r="AI58" s="190">
        <f>IFERROR(VLOOKUP(Y58,SISP_Deflatores_e_INMs!B$4:G$49,5,FALSE),1)</f>
        <v>1</v>
      </c>
      <c r="AJ58" s="191" t="str">
        <f t="shared" si="18"/>
        <v/>
      </c>
      <c r="AK58" s="237" t="str">
        <f t="shared" si="7"/>
        <v/>
      </c>
      <c r="AL58" s="237" t="str">
        <f t="shared" si="19"/>
        <v/>
      </c>
      <c r="AM58" s="192" t="e">
        <f t="shared" si="8"/>
        <v>#VALUE!</v>
      </c>
      <c r="AN58" s="193" t="e">
        <f t="shared" si="9"/>
        <v>#VALUE!</v>
      </c>
      <c r="AO58" s="193" t="e">
        <f t="shared" si="10"/>
        <v>#VALUE!</v>
      </c>
      <c r="AP58" s="193"/>
      <c r="AQ58" s="204"/>
      <c r="AR58" s="204"/>
      <c r="AS58" s="204"/>
      <c r="AT58" s="205"/>
      <c r="AU58"/>
    </row>
    <row r="59" spans="2:47" ht="15" customHeight="1" x14ac:dyDescent="0.25">
      <c r="B59" s="206"/>
      <c r="C59" s="185"/>
      <c r="D59" s="164"/>
      <c r="E59" s="174"/>
      <c r="F59" s="164"/>
      <c r="G59" s="174"/>
      <c r="H59" s="164"/>
      <c r="I59" s="174"/>
      <c r="J59" s="184"/>
      <c r="K59" s="186"/>
      <c r="L59" s="187" t="str">
        <f t="shared" si="11"/>
        <v/>
      </c>
      <c r="M59" s="187" t="str">
        <f t="shared" si="12"/>
        <v/>
      </c>
      <c r="N59" s="187" t="str">
        <f t="shared" si="1"/>
        <v>D</v>
      </c>
      <c r="O59" s="187" t="str">
        <f t="shared" si="13"/>
        <v>D</v>
      </c>
      <c r="P59" s="187">
        <f t="shared" si="14"/>
        <v>1</v>
      </c>
      <c r="Q59" s="187">
        <f>IFERROR(VLOOKUP(E59,Tabela_Deflator:E$43,5,FALSE),1)</f>
        <v>1</v>
      </c>
      <c r="R59" s="188" t="str">
        <f t="shared" si="15"/>
        <v/>
      </c>
      <c r="S59" s="237" t="str">
        <f t="shared" si="3"/>
        <v/>
      </c>
      <c r="T59" s="237" t="str">
        <f t="shared" si="20"/>
        <v/>
      </c>
      <c r="U59" s="189"/>
      <c r="V59" s="167"/>
      <c r="W59" s="165"/>
      <c r="X59" s="164"/>
      <c r="Y59" s="164"/>
      <c r="Z59" s="164"/>
      <c r="AA59" s="174"/>
      <c r="AB59" s="164"/>
      <c r="AC59" s="174"/>
      <c r="AD59" s="184"/>
      <c r="AE59" s="190" t="str">
        <f t="shared" si="16"/>
        <v/>
      </c>
      <c r="AF59" s="190" t="str">
        <f t="shared" si="17"/>
        <v/>
      </c>
      <c r="AG59" s="190" t="str">
        <f t="shared" si="6"/>
        <v>D</v>
      </c>
      <c r="AH59" s="190">
        <f>IFERROR(VLOOKUP(Y59,SISP_Deflatores_e_INMs!B$4:F$49,3,FALSE),1)</f>
        <v>1</v>
      </c>
      <c r="AI59" s="190">
        <f>IFERROR(VLOOKUP(Y59,SISP_Deflatores_e_INMs!B$4:G$49,5,FALSE),1)</f>
        <v>1</v>
      </c>
      <c r="AJ59" s="191" t="str">
        <f t="shared" si="18"/>
        <v/>
      </c>
      <c r="AK59" s="237" t="str">
        <f t="shared" si="7"/>
        <v/>
      </c>
      <c r="AL59" s="237" t="str">
        <f t="shared" si="19"/>
        <v/>
      </c>
      <c r="AM59" s="192" t="e">
        <f t="shared" si="8"/>
        <v>#VALUE!</v>
      </c>
      <c r="AN59" s="193" t="e">
        <f t="shared" si="9"/>
        <v>#VALUE!</v>
      </c>
      <c r="AO59" s="193" t="e">
        <f t="shared" si="10"/>
        <v>#VALUE!</v>
      </c>
      <c r="AP59" s="193"/>
      <c r="AQ59" s="204"/>
      <c r="AR59" s="204"/>
      <c r="AS59" s="204"/>
      <c r="AT59" s="205"/>
      <c r="AU59"/>
    </row>
    <row r="60" spans="2:47" ht="15" customHeight="1" x14ac:dyDescent="0.25">
      <c r="B60" s="206"/>
      <c r="C60" s="185"/>
      <c r="D60" s="164"/>
      <c r="E60" s="174"/>
      <c r="F60" s="164"/>
      <c r="G60" s="174"/>
      <c r="H60" s="164"/>
      <c r="I60" s="174"/>
      <c r="J60" s="184"/>
      <c r="K60" s="186"/>
      <c r="L60" s="187" t="str">
        <f t="shared" si="11"/>
        <v/>
      </c>
      <c r="M60" s="187" t="str">
        <f t="shared" si="12"/>
        <v/>
      </c>
      <c r="N60" s="187" t="str">
        <f t="shared" si="1"/>
        <v>D</v>
      </c>
      <c r="O60" s="187" t="str">
        <f t="shared" si="13"/>
        <v>D</v>
      </c>
      <c r="P60" s="187">
        <f t="shared" si="14"/>
        <v>1</v>
      </c>
      <c r="Q60" s="187">
        <f>IFERROR(VLOOKUP(E60,Tabela_Deflator:E$43,5,FALSE),1)</f>
        <v>1</v>
      </c>
      <c r="R60" s="188" t="str">
        <f t="shared" si="15"/>
        <v/>
      </c>
      <c r="S60" s="237" t="str">
        <f t="shared" si="3"/>
        <v/>
      </c>
      <c r="T60" s="237" t="str">
        <f t="shared" si="20"/>
        <v/>
      </c>
      <c r="U60" s="189"/>
      <c r="V60" s="167"/>
      <c r="W60" s="165"/>
      <c r="X60" s="164"/>
      <c r="Y60" s="164"/>
      <c r="Z60" s="164"/>
      <c r="AA60" s="174"/>
      <c r="AB60" s="164"/>
      <c r="AC60" s="174"/>
      <c r="AD60" s="184"/>
      <c r="AE60" s="190" t="str">
        <f t="shared" si="16"/>
        <v/>
      </c>
      <c r="AF60" s="190" t="str">
        <f t="shared" si="17"/>
        <v/>
      </c>
      <c r="AG60" s="190" t="str">
        <f t="shared" si="6"/>
        <v>D</v>
      </c>
      <c r="AH60" s="190">
        <f>IFERROR(VLOOKUP(Y60,SISP_Deflatores_e_INMs!B$4:F$49,3,FALSE),1)</f>
        <v>1</v>
      </c>
      <c r="AI60" s="190">
        <f>IFERROR(VLOOKUP(Y60,SISP_Deflatores_e_INMs!B$4:G$49,5,FALSE),1)</f>
        <v>1</v>
      </c>
      <c r="AJ60" s="191" t="str">
        <f t="shared" si="18"/>
        <v/>
      </c>
      <c r="AK60" s="237" t="str">
        <f t="shared" si="7"/>
        <v/>
      </c>
      <c r="AL60" s="237" t="str">
        <f t="shared" si="19"/>
        <v/>
      </c>
      <c r="AM60" s="192" t="e">
        <f t="shared" si="8"/>
        <v>#VALUE!</v>
      </c>
      <c r="AN60" s="193" t="e">
        <f t="shared" si="9"/>
        <v>#VALUE!</v>
      </c>
      <c r="AO60" s="193" t="e">
        <f t="shared" si="10"/>
        <v>#VALUE!</v>
      </c>
      <c r="AP60" s="193"/>
      <c r="AQ60" s="204"/>
      <c r="AR60" s="204"/>
      <c r="AS60" s="204"/>
      <c r="AT60" s="205"/>
      <c r="AU60"/>
    </row>
    <row r="61" spans="2:47" ht="15" customHeight="1" x14ac:dyDescent="0.25">
      <c r="B61" s="206"/>
      <c r="C61" s="185"/>
      <c r="D61" s="164"/>
      <c r="E61" s="174"/>
      <c r="F61" s="164"/>
      <c r="G61" s="174"/>
      <c r="H61" s="164"/>
      <c r="I61" s="174"/>
      <c r="J61" s="184"/>
      <c r="K61" s="186"/>
      <c r="L61" s="187" t="str">
        <f t="shared" si="11"/>
        <v/>
      </c>
      <c r="M61" s="187" t="str">
        <f t="shared" si="12"/>
        <v/>
      </c>
      <c r="N61" s="187" t="str">
        <f t="shared" si="1"/>
        <v>D</v>
      </c>
      <c r="O61" s="187" t="str">
        <f t="shared" si="13"/>
        <v>D</v>
      </c>
      <c r="P61" s="187">
        <f t="shared" si="14"/>
        <v>1</v>
      </c>
      <c r="Q61" s="187">
        <f>IFERROR(VLOOKUP(E61,Tabela_Deflator:E$43,5,FALSE),1)</f>
        <v>1</v>
      </c>
      <c r="R61" s="188" t="str">
        <f t="shared" si="15"/>
        <v/>
      </c>
      <c r="S61" s="237" t="str">
        <f t="shared" si="3"/>
        <v/>
      </c>
      <c r="T61" s="237" t="str">
        <f t="shared" si="20"/>
        <v/>
      </c>
      <c r="U61" s="189"/>
      <c r="V61" s="167"/>
      <c r="W61" s="165"/>
      <c r="X61" s="164"/>
      <c r="Y61" s="164"/>
      <c r="Z61" s="164"/>
      <c r="AA61" s="174"/>
      <c r="AB61" s="164"/>
      <c r="AC61" s="174"/>
      <c r="AD61" s="184"/>
      <c r="AE61" s="190" t="str">
        <f t="shared" si="16"/>
        <v/>
      </c>
      <c r="AF61" s="190" t="str">
        <f t="shared" si="17"/>
        <v/>
      </c>
      <c r="AG61" s="190" t="str">
        <f t="shared" si="6"/>
        <v>D</v>
      </c>
      <c r="AH61" s="190">
        <f>IFERROR(VLOOKUP(Y61,SISP_Deflatores_e_INMs!B$4:F$49,3,FALSE),1)</f>
        <v>1</v>
      </c>
      <c r="AI61" s="190">
        <f>IFERROR(VLOOKUP(Y61,SISP_Deflatores_e_INMs!B$4:G$49,5,FALSE),1)</f>
        <v>1</v>
      </c>
      <c r="AJ61" s="191" t="str">
        <f t="shared" si="18"/>
        <v/>
      </c>
      <c r="AK61" s="237" t="str">
        <f t="shared" si="7"/>
        <v/>
      </c>
      <c r="AL61" s="237" t="str">
        <f t="shared" si="19"/>
        <v/>
      </c>
      <c r="AM61" s="192" t="e">
        <f t="shared" si="8"/>
        <v>#VALUE!</v>
      </c>
      <c r="AN61" s="193" t="e">
        <f t="shared" si="9"/>
        <v>#VALUE!</v>
      </c>
      <c r="AO61" s="193" t="e">
        <f t="shared" si="10"/>
        <v>#VALUE!</v>
      </c>
      <c r="AP61" s="193"/>
      <c r="AQ61" s="204"/>
      <c r="AR61" s="204"/>
      <c r="AS61" s="204"/>
      <c r="AT61" s="205"/>
      <c r="AU61"/>
    </row>
    <row r="62" spans="2:47" ht="15" customHeight="1" x14ac:dyDescent="0.25">
      <c r="B62" s="206"/>
      <c r="C62" s="185"/>
      <c r="D62" s="164"/>
      <c r="E62" s="174"/>
      <c r="F62" s="164"/>
      <c r="G62" s="174"/>
      <c r="H62" s="164"/>
      <c r="I62" s="174"/>
      <c r="J62" s="184"/>
      <c r="K62" s="186"/>
      <c r="L62" s="187" t="str">
        <f t="shared" si="11"/>
        <v/>
      </c>
      <c r="M62" s="187" t="str">
        <f t="shared" si="12"/>
        <v/>
      </c>
      <c r="N62" s="187" t="str">
        <f t="shared" si="1"/>
        <v>D</v>
      </c>
      <c r="O62" s="187" t="str">
        <f t="shared" si="13"/>
        <v>D</v>
      </c>
      <c r="P62" s="187">
        <f t="shared" si="14"/>
        <v>1</v>
      </c>
      <c r="Q62" s="187">
        <f>IFERROR(VLOOKUP(E62,Tabela_Deflator:E$43,5,FALSE),1)</f>
        <v>1</v>
      </c>
      <c r="R62" s="188" t="str">
        <f t="shared" si="15"/>
        <v/>
      </c>
      <c r="S62" s="237" t="str">
        <f t="shared" si="3"/>
        <v/>
      </c>
      <c r="T62" s="237" t="str">
        <f t="shared" si="20"/>
        <v/>
      </c>
      <c r="U62" s="189"/>
      <c r="V62" s="167"/>
      <c r="W62" s="165"/>
      <c r="X62" s="164"/>
      <c r="Y62" s="164"/>
      <c r="Z62" s="164"/>
      <c r="AA62" s="174"/>
      <c r="AB62" s="164"/>
      <c r="AC62" s="174"/>
      <c r="AD62" s="184"/>
      <c r="AE62" s="190" t="str">
        <f t="shared" si="16"/>
        <v/>
      </c>
      <c r="AF62" s="190" t="str">
        <f t="shared" si="17"/>
        <v/>
      </c>
      <c r="AG62" s="190" t="str">
        <f t="shared" si="6"/>
        <v>D</v>
      </c>
      <c r="AH62" s="190">
        <f>IFERROR(VLOOKUP(Y62,SISP_Deflatores_e_INMs!B$4:F$49,3,FALSE),1)</f>
        <v>1</v>
      </c>
      <c r="AI62" s="190">
        <f>IFERROR(VLOOKUP(Y62,SISP_Deflatores_e_INMs!B$4:G$49,5,FALSE),1)</f>
        <v>1</v>
      </c>
      <c r="AJ62" s="191" t="str">
        <f t="shared" si="18"/>
        <v/>
      </c>
      <c r="AK62" s="237" t="str">
        <f t="shared" si="7"/>
        <v/>
      </c>
      <c r="AL62" s="237" t="str">
        <f t="shared" si="19"/>
        <v/>
      </c>
      <c r="AM62" s="192" t="e">
        <f t="shared" si="8"/>
        <v>#VALUE!</v>
      </c>
      <c r="AN62" s="193" t="e">
        <f t="shared" si="9"/>
        <v>#VALUE!</v>
      </c>
      <c r="AO62" s="193" t="e">
        <f t="shared" si="10"/>
        <v>#VALUE!</v>
      </c>
      <c r="AP62" s="193"/>
      <c r="AQ62" s="204"/>
      <c r="AR62" s="204"/>
      <c r="AS62" s="204"/>
      <c r="AT62" s="205"/>
      <c r="AU62"/>
    </row>
    <row r="63" spans="2:47" ht="15" customHeight="1" x14ac:dyDescent="0.25">
      <c r="B63" s="206"/>
      <c r="C63" s="185"/>
      <c r="D63" s="164"/>
      <c r="E63" s="174"/>
      <c r="F63" s="164"/>
      <c r="G63" s="174"/>
      <c r="H63" s="164"/>
      <c r="I63" s="174"/>
      <c r="J63" s="184"/>
      <c r="K63" s="186"/>
      <c r="L63" s="187" t="str">
        <f t="shared" si="11"/>
        <v/>
      </c>
      <c r="M63" s="187" t="str">
        <f t="shared" si="12"/>
        <v/>
      </c>
      <c r="N63" s="187" t="str">
        <f t="shared" si="1"/>
        <v>D</v>
      </c>
      <c r="O63" s="187" t="str">
        <f t="shared" si="13"/>
        <v>D</v>
      </c>
      <c r="P63" s="187">
        <f t="shared" si="14"/>
        <v>1</v>
      </c>
      <c r="Q63" s="187">
        <f>IFERROR(VLOOKUP(E63,Tabela_Deflator:E$43,5,FALSE),1)</f>
        <v>1</v>
      </c>
      <c r="R63" s="188" t="str">
        <f t="shared" si="15"/>
        <v/>
      </c>
      <c r="S63" s="237" t="str">
        <f t="shared" si="3"/>
        <v/>
      </c>
      <c r="T63" s="237" t="str">
        <f t="shared" si="20"/>
        <v/>
      </c>
      <c r="U63" s="189"/>
      <c r="V63" s="167"/>
      <c r="W63" s="165"/>
      <c r="X63" s="164"/>
      <c r="Y63" s="164"/>
      <c r="Z63" s="164"/>
      <c r="AA63" s="174"/>
      <c r="AB63" s="164"/>
      <c r="AC63" s="174"/>
      <c r="AD63" s="184"/>
      <c r="AE63" s="190" t="str">
        <f t="shared" si="16"/>
        <v/>
      </c>
      <c r="AF63" s="190" t="str">
        <f t="shared" si="17"/>
        <v/>
      </c>
      <c r="AG63" s="190" t="str">
        <f t="shared" si="6"/>
        <v>D</v>
      </c>
      <c r="AH63" s="190">
        <f>IFERROR(VLOOKUP(Y63,SISP_Deflatores_e_INMs!B$4:F$49,3,FALSE),1)</f>
        <v>1</v>
      </c>
      <c r="AI63" s="190">
        <f>IFERROR(VLOOKUP(Y63,SISP_Deflatores_e_INMs!B$4:G$49,5,FALSE),1)</f>
        <v>1</v>
      </c>
      <c r="AJ63" s="191" t="str">
        <f t="shared" si="18"/>
        <v/>
      </c>
      <c r="AK63" s="237" t="str">
        <f t="shared" si="7"/>
        <v/>
      </c>
      <c r="AL63" s="237" t="str">
        <f t="shared" si="19"/>
        <v/>
      </c>
      <c r="AM63" s="192" t="e">
        <f t="shared" si="8"/>
        <v>#VALUE!</v>
      </c>
      <c r="AN63" s="193" t="e">
        <f t="shared" si="9"/>
        <v>#VALUE!</v>
      </c>
      <c r="AO63" s="193" t="e">
        <f t="shared" si="10"/>
        <v>#VALUE!</v>
      </c>
      <c r="AP63" s="193"/>
      <c r="AQ63" s="204"/>
      <c r="AR63" s="204"/>
      <c r="AS63" s="204"/>
      <c r="AT63" s="205"/>
      <c r="AU63"/>
    </row>
    <row r="64" spans="2:47" ht="15" customHeight="1" x14ac:dyDescent="0.25">
      <c r="B64" s="206"/>
      <c r="C64" s="185"/>
      <c r="D64" s="164"/>
      <c r="E64" s="174"/>
      <c r="F64" s="164"/>
      <c r="G64" s="174"/>
      <c r="H64" s="164"/>
      <c r="I64" s="174"/>
      <c r="J64" s="184"/>
      <c r="K64" s="186"/>
      <c r="L64" s="187" t="str">
        <f t="shared" si="11"/>
        <v/>
      </c>
      <c r="M64" s="187" t="str">
        <f t="shared" si="12"/>
        <v/>
      </c>
      <c r="N64" s="187" t="str">
        <f t="shared" si="1"/>
        <v>D</v>
      </c>
      <c r="O64" s="187" t="str">
        <f t="shared" si="13"/>
        <v>D</v>
      </c>
      <c r="P64" s="187">
        <f t="shared" si="14"/>
        <v>1</v>
      </c>
      <c r="Q64" s="187">
        <f>IFERROR(VLOOKUP(E64,Tabela_Deflator:E$43,5,FALSE),1)</f>
        <v>1</v>
      </c>
      <c r="R64" s="188" t="str">
        <f t="shared" si="15"/>
        <v/>
      </c>
      <c r="S64" s="237" t="str">
        <f t="shared" si="3"/>
        <v/>
      </c>
      <c r="T64" s="237" t="str">
        <f t="shared" si="20"/>
        <v/>
      </c>
      <c r="U64" s="189"/>
      <c r="V64" s="167"/>
      <c r="W64" s="165"/>
      <c r="X64" s="164"/>
      <c r="Y64" s="164"/>
      <c r="Z64" s="164"/>
      <c r="AA64" s="174"/>
      <c r="AB64" s="164"/>
      <c r="AC64" s="174"/>
      <c r="AD64" s="184"/>
      <c r="AE64" s="190" t="str">
        <f t="shared" si="16"/>
        <v/>
      </c>
      <c r="AF64" s="190" t="str">
        <f t="shared" si="17"/>
        <v/>
      </c>
      <c r="AG64" s="190" t="str">
        <f t="shared" si="6"/>
        <v>D</v>
      </c>
      <c r="AH64" s="190">
        <f>IFERROR(VLOOKUP(Y64,SISP_Deflatores_e_INMs!B$4:F$49,3,FALSE),1)</f>
        <v>1</v>
      </c>
      <c r="AI64" s="190">
        <f>IFERROR(VLOOKUP(Y64,SISP_Deflatores_e_INMs!B$4:G$49,5,FALSE),1)</f>
        <v>1</v>
      </c>
      <c r="AJ64" s="191" t="str">
        <f t="shared" si="18"/>
        <v/>
      </c>
      <c r="AK64" s="237" t="str">
        <f t="shared" si="7"/>
        <v/>
      </c>
      <c r="AL64" s="237" t="str">
        <f t="shared" si="19"/>
        <v/>
      </c>
      <c r="AM64" s="192" t="e">
        <f t="shared" si="8"/>
        <v>#VALUE!</v>
      </c>
      <c r="AN64" s="193" t="e">
        <f t="shared" si="9"/>
        <v>#VALUE!</v>
      </c>
      <c r="AO64" s="193" t="e">
        <f t="shared" si="10"/>
        <v>#VALUE!</v>
      </c>
      <c r="AP64" s="193"/>
      <c r="AQ64" s="204"/>
      <c r="AR64" s="204"/>
      <c r="AS64" s="204"/>
      <c r="AT64" s="205"/>
      <c r="AU64"/>
    </row>
    <row r="65" spans="2:47" ht="15" customHeight="1" x14ac:dyDescent="0.25">
      <c r="B65" s="206"/>
      <c r="C65" s="185"/>
      <c r="D65" s="164"/>
      <c r="E65" s="174"/>
      <c r="F65" s="164"/>
      <c r="G65" s="174"/>
      <c r="H65" s="164"/>
      <c r="I65" s="174"/>
      <c r="J65" s="184"/>
      <c r="K65" s="186"/>
      <c r="L65" s="187" t="str">
        <f t="shared" si="11"/>
        <v/>
      </c>
      <c r="M65" s="187" t="str">
        <f t="shared" si="12"/>
        <v/>
      </c>
      <c r="N65" s="187" t="str">
        <f t="shared" si="1"/>
        <v>D</v>
      </c>
      <c r="O65" s="187" t="str">
        <f t="shared" si="13"/>
        <v>D</v>
      </c>
      <c r="P65" s="187">
        <f t="shared" si="14"/>
        <v>1</v>
      </c>
      <c r="Q65" s="187">
        <f>IFERROR(VLOOKUP(E65,Tabela_Deflator:E$43,5,FALSE),1)</f>
        <v>1</v>
      </c>
      <c r="R65" s="188" t="str">
        <f t="shared" si="15"/>
        <v/>
      </c>
      <c r="S65" s="237" t="str">
        <f t="shared" si="3"/>
        <v/>
      </c>
      <c r="T65" s="237" t="str">
        <f t="shared" si="20"/>
        <v/>
      </c>
      <c r="U65" s="189"/>
      <c r="V65" s="167"/>
      <c r="W65" s="165"/>
      <c r="X65" s="164"/>
      <c r="Y65" s="164"/>
      <c r="Z65" s="164"/>
      <c r="AA65" s="174"/>
      <c r="AB65" s="164"/>
      <c r="AC65" s="174"/>
      <c r="AD65" s="184"/>
      <c r="AE65" s="190" t="str">
        <f t="shared" si="16"/>
        <v/>
      </c>
      <c r="AF65" s="190" t="str">
        <f t="shared" si="17"/>
        <v/>
      </c>
      <c r="AG65" s="190" t="str">
        <f t="shared" si="6"/>
        <v>D</v>
      </c>
      <c r="AH65" s="190">
        <f>IFERROR(VLOOKUP(Y65,SISP_Deflatores_e_INMs!B$4:F$49,3,FALSE),1)</f>
        <v>1</v>
      </c>
      <c r="AI65" s="190">
        <f>IFERROR(VLOOKUP(Y65,SISP_Deflatores_e_INMs!B$4:G$49,5,FALSE),1)</f>
        <v>1</v>
      </c>
      <c r="AJ65" s="191" t="str">
        <f t="shared" si="18"/>
        <v/>
      </c>
      <c r="AK65" s="237" t="str">
        <f t="shared" si="7"/>
        <v/>
      </c>
      <c r="AL65" s="237" t="str">
        <f t="shared" si="19"/>
        <v/>
      </c>
      <c r="AM65" s="192" t="e">
        <f t="shared" si="8"/>
        <v>#VALUE!</v>
      </c>
      <c r="AN65" s="193" t="e">
        <f t="shared" si="9"/>
        <v>#VALUE!</v>
      </c>
      <c r="AO65" s="193" t="e">
        <f t="shared" si="10"/>
        <v>#VALUE!</v>
      </c>
      <c r="AP65" s="193"/>
      <c r="AQ65" s="204"/>
      <c r="AR65" s="204"/>
      <c r="AS65" s="204"/>
      <c r="AT65" s="205"/>
      <c r="AU65"/>
    </row>
    <row r="66" spans="2:47" ht="15" customHeight="1" x14ac:dyDescent="0.25">
      <c r="B66" s="206"/>
      <c r="C66" s="185"/>
      <c r="D66" s="164"/>
      <c r="E66" s="174"/>
      <c r="F66" s="164"/>
      <c r="G66" s="174"/>
      <c r="H66" s="164"/>
      <c r="I66" s="174"/>
      <c r="J66" s="184"/>
      <c r="K66" s="186"/>
      <c r="L66" s="187" t="str">
        <f t="shared" si="11"/>
        <v/>
      </c>
      <c r="M66" s="187" t="str">
        <f t="shared" si="12"/>
        <v/>
      </c>
      <c r="N66" s="187" t="str">
        <f t="shared" si="1"/>
        <v>D</v>
      </c>
      <c r="O66" s="187" t="str">
        <f t="shared" si="13"/>
        <v>D</v>
      </c>
      <c r="P66" s="187">
        <f t="shared" si="14"/>
        <v>1</v>
      </c>
      <c r="Q66" s="187">
        <f>IFERROR(VLOOKUP(E66,Tabela_Deflator:E$43,5,FALSE),1)</f>
        <v>1</v>
      </c>
      <c r="R66" s="188" t="str">
        <f t="shared" si="15"/>
        <v/>
      </c>
      <c r="S66" s="237" t="str">
        <f t="shared" si="3"/>
        <v/>
      </c>
      <c r="T66" s="237" t="str">
        <f t="shared" si="20"/>
        <v/>
      </c>
      <c r="U66" s="189"/>
      <c r="V66" s="167"/>
      <c r="W66" s="165"/>
      <c r="X66" s="164"/>
      <c r="Y66" s="164"/>
      <c r="Z66" s="164"/>
      <c r="AA66" s="174"/>
      <c r="AB66" s="164"/>
      <c r="AC66" s="174"/>
      <c r="AD66" s="184"/>
      <c r="AE66" s="190" t="str">
        <f t="shared" si="16"/>
        <v/>
      </c>
      <c r="AF66" s="190" t="str">
        <f t="shared" si="17"/>
        <v/>
      </c>
      <c r="AG66" s="190" t="str">
        <f t="shared" si="6"/>
        <v>D</v>
      </c>
      <c r="AH66" s="190">
        <f>IFERROR(VLOOKUP(Y66,SISP_Deflatores_e_INMs!B$4:F$49,3,FALSE),1)</f>
        <v>1</v>
      </c>
      <c r="AI66" s="190">
        <f>IFERROR(VLOOKUP(Y66,SISP_Deflatores_e_INMs!B$4:G$49,5,FALSE),1)</f>
        <v>1</v>
      </c>
      <c r="AJ66" s="191" t="str">
        <f t="shared" si="18"/>
        <v/>
      </c>
      <c r="AK66" s="237" t="str">
        <f t="shared" si="7"/>
        <v/>
      </c>
      <c r="AL66" s="237" t="str">
        <f t="shared" si="19"/>
        <v/>
      </c>
      <c r="AM66" s="192" t="e">
        <f t="shared" si="8"/>
        <v>#VALUE!</v>
      </c>
      <c r="AN66" s="193" t="e">
        <f t="shared" si="9"/>
        <v>#VALUE!</v>
      </c>
      <c r="AO66" s="193" t="e">
        <f t="shared" si="10"/>
        <v>#VALUE!</v>
      </c>
      <c r="AP66" s="193"/>
      <c r="AQ66" s="204"/>
      <c r="AR66" s="204"/>
      <c r="AS66" s="204"/>
      <c r="AT66" s="205"/>
      <c r="AU66"/>
    </row>
    <row r="67" spans="2:47" ht="15" customHeight="1" x14ac:dyDescent="0.25">
      <c r="B67" s="206"/>
      <c r="C67" s="185"/>
      <c r="D67" s="164"/>
      <c r="E67" s="174"/>
      <c r="F67" s="164"/>
      <c r="G67" s="174"/>
      <c r="H67" s="164"/>
      <c r="I67" s="174"/>
      <c r="J67" s="184"/>
      <c r="K67" s="186"/>
      <c r="L67" s="187" t="str">
        <f t="shared" si="11"/>
        <v/>
      </c>
      <c r="M67" s="187" t="str">
        <f t="shared" si="12"/>
        <v/>
      </c>
      <c r="N67" s="187" t="str">
        <f t="shared" si="1"/>
        <v>D</v>
      </c>
      <c r="O67" s="187" t="str">
        <f t="shared" si="13"/>
        <v>D</v>
      </c>
      <c r="P67" s="187">
        <f t="shared" si="14"/>
        <v>1</v>
      </c>
      <c r="Q67" s="187">
        <f>IFERROR(VLOOKUP(E67,Tabela_Deflator:E$43,5,FALSE),1)</f>
        <v>1</v>
      </c>
      <c r="R67" s="188" t="str">
        <f t="shared" si="15"/>
        <v/>
      </c>
      <c r="S67" s="237" t="str">
        <f t="shared" si="3"/>
        <v/>
      </c>
      <c r="T67" s="237" t="str">
        <f t="shared" si="20"/>
        <v/>
      </c>
      <c r="U67" s="189"/>
      <c r="V67" s="167"/>
      <c r="W67" s="165"/>
      <c r="X67" s="164"/>
      <c r="Y67" s="164"/>
      <c r="Z67" s="164"/>
      <c r="AA67" s="174"/>
      <c r="AB67" s="164"/>
      <c r="AC67" s="174"/>
      <c r="AD67" s="184"/>
      <c r="AE67" s="190" t="str">
        <f t="shared" si="16"/>
        <v/>
      </c>
      <c r="AF67" s="190" t="str">
        <f t="shared" si="17"/>
        <v/>
      </c>
      <c r="AG67" s="190" t="str">
        <f t="shared" si="6"/>
        <v>D</v>
      </c>
      <c r="AH67" s="190">
        <f>IFERROR(VLOOKUP(Y67,SISP_Deflatores_e_INMs!B$4:F$49,3,FALSE),1)</f>
        <v>1</v>
      </c>
      <c r="AI67" s="190">
        <f>IFERROR(VLOOKUP(Y67,SISP_Deflatores_e_INMs!B$4:G$49,5,FALSE),1)</f>
        <v>1</v>
      </c>
      <c r="AJ67" s="191" t="str">
        <f t="shared" si="18"/>
        <v/>
      </c>
      <c r="AK67" s="237" t="str">
        <f t="shared" si="7"/>
        <v/>
      </c>
      <c r="AL67" s="237" t="str">
        <f t="shared" si="19"/>
        <v/>
      </c>
      <c r="AM67" s="192" t="e">
        <f t="shared" si="8"/>
        <v>#VALUE!</v>
      </c>
      <c r="AN67" s="193" t="e">
        <f t="shared" si="9"/>
        <v>#VALUE!</v>
      </c>
      <c r="AO67" s="193" t="e">
        <f t="shared" si="10"/>
        <v>#VALUE!</v>
      </c>
      <c r="AP67" s="193"/>
      <c r="AQ67" s="204"/>
      <c r="AR67" s="204"/>
      <c r="AS67" s="204"/>
      <c r="AT67" s="205"/>
      <c r="AU67"/>
    </row>
    <row r="68" spans="2:47" ht="15" customHeight="1" x14ac:dyDescent="0.25">
      <c r="B68" s="206"/>
      <c r="C68" s="185"/>
      <c r="D68" s="164"/>
      <c r="E68" s="174"/>
      <c r="F68" s="164"/>
      <c r="G68" s="174"/>
      <c r="H68" s="164"/>
      <c r="I68" s="174"/>
      <c r="J68" s="184"/>
      <c r="K68" s="186"/>
      <c r="L68" s="187" t="str">
        <f t="shared" si="11"/>
        <v/>
      </c>
      <c r="M68" s="187" t="str">
        <f t="shared" si="12"/>
        <v/>
      </c>
      <c r="N68" s="187" t="str">
        <f t="shared" ref="N68:N131" si="21">IF(Tipo_de_contagem="Contagem Detalhada","D",IF(Tipo_de_contagem="Contagem Estimada","E","S"))</f>
        <v>D</v>
      </c>
      <c r="O68" s="187" t="str">
        <f t="shared" si="13"/>
        <v>D</v>
      </c>
      <c r="P68" s="187">
        <f t="shared" si="14"/>
        <v>1</v>
      </c>
      <c r="Q68" s="187">
        <f>IFERROR(VLOOKUP(E68,Tabela_Deflator:E$43,5,FALSE),1)</f>
        <v>1</v>
      </c>
      <c r="R68" s="188" t="str">
        <f t="shared" si="15"/>
        <v/>
      </c>
      <c r="S68" s="237" t="str">
        <f t="shared" ref="S68:S131" si="22">IF(D68="N/A","",IF(D68="","",IFERROR(IF(D68="INM",P68*J68,VLOOKUP(O68,Tabela_Pontuação,2,FALSE)),0)))</f>
        <v/>
      </c>
      <c r="T68" s="237" t="str">
        <f t="shared" si="20"/>
        <v/>
      </c>
      <c r="U68" s="189"/>
      <c r="V68" s="167"/>
      <c r="W68" s="165"/>
      <c r="X68" s="164"/>
      <c r="Y68" s="164"/>
      <c r="Z68" s="164"/>
      <c r="AA68" s="174"/>
      <c r="AB68" s="164"/>
      <c r="AC68" s="174"/>
      <c r="AD68" s="184"/>
      <c r="AE68" s="190" t="str">
        <f t="shared" si="16"/>
        <v/>
      </c>
      <c r="AF68" s="190" t="str">
        <f t="shared" si="17"/>
        <v/>
      </c>
      <c r="AG68" s="190" t="str">
        <f t="shared" ref="AG68:AG131" si="23">IF(N68="S",X68,CONCATENATE(X68,AE68,N68))</f>
        <v>D</v>
      </c>
      <c r="AH68" s="190">
        <f>IFERROR(VLOOKUP(Y68,SISP_Deflatores_e_INMs!B$4:F$49,3,FALSE),1)</f>
        <v>1</v>
      </c>
      <c r="AI68" s="190">
        <f>IFERROR(VLOOKUP(Y68,SISP_Deflatores_e_INMs!B$4:G$49,5,FALSE),1)</f>
        <v>1</v>
      </c>
      <c r="AJ68" s="191" t="str">
        <f t="shared" si="18"/>
        <v/>
      </c>
      <c r="AK68" s="237" t="str">
        <f t="shared" ref="AK68:AK131" si="24">IFERROR(IF(X68="INM",AH68*AD68,VLOOKUP(AG68,Tabela_Pontuação,2,FALSE)),"")</f>
        <v/>
      </c>
      <c r="AL68" s="237" t="str">
        <f t="shared" si="19"/>
        <v/>
      </c>
      <c r="AM68" s="192" t="e">
        <f t="shared" ref="AM68:AM131" si="25">IF(S68&lt;=0,0,AK68-S68)</f>
        <v>#VALUE!</v>
      </c>
      <c r="AN68" s="193" t="e">
        <f t="shared" ref="AN68:AN131" si="26">AM68/S68</f>
        <v>#VALUE!</v>
      </c>
      <c r="AO68" s="193" t="e">
        <f t="shared" ref="AO68:AO131" si="27">IF(T68&lt;=0,0,AL68-T68)</f>
        <v>#VALUE!</v>
      </c>
      <c r="AP68" s="193"/>
      <c r="AQ68" s="204"/>
      <c r="AR68" s="204"/>
      <c r="AS68" s="204"/>
      <c r="AT68" s="205"/>
      <c r="AU68"/>
    </row>
    <row r="69" spans="2:47" ht="15" customHeight="1" x14ac:dyDescent="0.25">
      <c r="B69" s="206"/>
      <c r="C69" s="185"/>
      <c r="D69" s="164"/>
      <c r="E69" s="174"/>
      <c r="F69" s="164"/>
      <c r="G69" s="174"/>
      <c r="H69" s="164"/>
      <c r="I69" s="174"/>
      <c r="J69" s="184"/>
      <c r="K69" s="186"/>
      <c r="L69" s="187" t="str">
        <f t="shared" ref="L69:L132" si="28">IF(OR(ISBLANK(F69),ISBLANK(H69)),IF(OR(D69="ALI",D69="AIE"),"L",IF(ISBLANK(D69),"","A")),IF(D69="EE",IF(H69&gt;=3,IF(F69&gt;=5,"H","A"),IF(H69&gt;=2,IF(F69&gt;=16,"H",IF(F69&lt;=4,"L","A")),IF(F69&lt;=15,"L","A"))),IF(OR(D69="SE",D69="CE"),IF(H69&gt;=4,IF(F69&gt;=6,"H","A"),IF(H69&gt;=2,IF(F69&gt;=20,"H",IF(F69&lt;=5,"L","A")),IF(F69&lt;=19,"L","A"))),IF(OR(D69="ALI",D69="AIE"),IF(H69&gt;=6,IF(F69&gt;=20,"H","A"),IF(H69&gt;=2,IF(F69&gt;=51,"H",IF(F69&lt;=19,"L","A")),IF(F69&lt;=50,"L","A")))))))</f>
        <v/>
      </c>
      <c r="M69" s="187" t="str">
        <f t="shared" ref="M69:M132" si="29">CONCATENATE(D69,L69)</f>
        <v/>
      </c>
      <c r="N69" s="187" t="str">
        <f t="shared" si="21"/>
        <v>D</v>
      </c>
      <c r="O69" s="187" t="str">
        <f t="shared" ref="O69:O132" si="30">IF(N69="S",D69,CONCATENATE(D69,L69,N69))</f>
        <v>D</v>
      </c>
      <c r="P69" s="187">
        <f t="shared" ref="P69:P132" si="31">IFERROR(VLOOKUP(E69,Tabela_Deflator,3,FALSE),1)</f>
        <v>1</v>
      </c>
      <c r="Q69" s="187">
        <f>IFERROR(VLOOKUP(E69,Tabela_Deflator:E$43,5,FALSE),1)</f>
        <v>1</v>
      </c>
      <c r="R69" s="188" t="str">
        <f t="shared" ref="R69:R132" si="32">IF(OR(D69="INM",D69="N/A"),"",IF(L69="L","Baixa",IF(L69="A","Média",IF(L69="","","Alta"))))</f>
        <v/>
      </c>
      <c r="S69" s="237" t="str">
        <f t="shared" si="22"/>
        <v/>
      </c>
      <c r="T69" s="237" t="str">
        <f t="shared" si="20"/>
        <v/>
      </c>
      <c r="U69" s="189"/>
      <c r="V69" s="167"/>
      <c r="W69" s="165"/>
      <c r="X69" s="164"/>
      <c r="Y69" s="164"/>
      <c r="Z69" s="164"/>
      <c r="AA69" s="174"/>
      <c r="AB69" s="164"/>
      <c r="AC69" s="174"/>
      <c r="AD69" s="184"/>
      <c r="AE69" s="190" t="str">
        <f t="shared" ref="AE69:AE132" si="33">IF(OR(ISBLANK(Z69),ISBLANK(AB69)),IF(OR(X69="ALI",X69="AIE"),"L",IF(ISBLANK(X69),"","A")),IF(X69="EE",IF(AB69&gt;=3,IF(Z69&gt;=5,"H","A"),IF(AB69&gt;=2,IF(Z69&gt;=16,"H",IF(Z69&lt;=4,"L","A")),IF(Z69&lt;=15,"L","A"))),IF(OR(X69="SE",X69="CE"),IF(AB69&gt;=4,IF(Z69&gt;=6,"H","A"),IF(AB69&gt;=2,IF(Z69&gt;=20,"H",IF(Z69&lt;=5,"L","A")),IF(Z69&lt;=19,"L","A"))),IF(OR(X69="ALI",X69="AIE"),IF(AB69&gt;=6,IF(Z69&gt;=20,"H","A"),IF(AB69&gt;=2,IF(Z69&gt;=51,"H",IF(Z69&lt;=19,"L","A")),IF(Z69&lt;=50,"L","A")))))))</f>
        <v/>
      </c>
      <c r="AF69" s="190" t="str">
        <f t="shared" ref="AF69:AF132" si="34">CONCATENATE(X69,AE69)</f>
        <v/>
      </c>
      <c r="AG69" s="190" t="str">
        <f t="shared" si="23"/>
        <v>D</v>
      </c>
      <c r="AH69" s="190">
        <f>IFERROR(VLOOKUP(Y69,SISP_Deflatores_e_INMs!B$4:F$49,3,FALSE),1)</f>
        <v>1</v>
      </c>
      <c r="AI69" s="190">
        <f>IFERROR(VLOOKUP(Y69,SISP_Deflatores_e_INMs!B$4:G$49,5,FALSE),1)</f>
        <v>1</v>
      </c>
      <c r="AJ69" s="191" t="str">
        <f t="shared" ref="AJ69:AJ132" si="35">IF(OR(X69="INM",X69="N/A"),"",IF(AE69="L","Baixa",IF(AE69="A","Média",IF(AE69="","","Alta"))))</f>
        <v/>
      </c>
      <c r="AK69" s="237" t="str">
        <f t="shared" si="24"/>
        <v/>
      </c>
      <c r="AL69" s="237" t="str">
        <f t="shared" ref="AL69:AL132" si="36">IFERROR(IF(OR(ISBLANK(V69),V69="NOK"),"",IF(X69="INM",(1*AH69)*AD69,AK69*AH69)),"")</f>
        <v/>
      </c>
      <c r="AM69" s="192" t="e">
        <f t="shared" si="25"/>
        <v>#VALUE!</v>
      </c>
      <c r="AN69" s="193" t="e">
        <f t="shared" si="26"/>
        <v>#VALUE!</v>
      </c>
      <c r="AO69" s="193" t="e">
        <f t="shared" si="27"/>
        <v>#VALUE!</v>
      </c>
      <c r="AP69" s="193"/>
      <c r="AQ69" s="204"/>
      <c r="AR69" s="204"/>
      <c r="AS69" s="204"/>
      <c r="AT69" s="205"/>
      <c r="AU69"/>
    </row>
    <row r="70" spans="2:47" ht="15" customHeight="1" x14ac:dyDescent="0.25">
      <c r="B70" s="206"/>
      <c r="C70" s="185"/>
      <c r="D70" s="164"/>
      <c r="E70" s="174"/>
      <c r="F70" s="164"/>
      <c r="G70" s="174"/>
      <c r="H70" s="164"/>
      <c r="I70" s="174"/>
      <c r="J70" s="184"/>
      <c r="K70" s="186"/>
      <c r="L70" s="187" t="str">
        <f t="shared" si="28"/>
        <v/>
      </c>
      <c r="M70" s="187" t="str">
        <f t="shared" si="29"/>
        <v/>
      </c>
      <c r="N70" s="187" t="str">
        <f t="shared" si="21"/>
        <v>D</v>
      </c>
      <c r="O70" s="187" t="str">
        <f t="shared" si="30"/>
        <v>D</v>
      </c>
      <c r="P70" s="187">
        <f t="shared" si="31"/>
        <v>1</v>
      </c>
      <c r="Q70" s="187">
        <f>IFERROR(VLOOKUP(E70,Tabela_Deflator:E$43,5,FALSE),1)</f>
        <v>1</v>
      </c>
      <c r="R70" s="188" t="str">
        <f t="shared" si="32"/>
        <v/>
      </c>
      <c r="S70" s="237" t="str">
        <f t="shared" si="22"/>
        <v/>
      </c>
      <c r="T70" s="237" t="str">
        <f t="shared" ref="T70:T133" si="37" xml:space="preserve"> IF(D70="N/A","",IF(D70="","",IF(D70="INM",(1*P70)*J70,S70*P70)))</f>
        <v/>
      </c>
      <c r="U70" s="189"/>
      <c r="V70" s="167"/>
      <c r="W70" s="165"/>
      <c r="X70" s="164"/>
      <c r="Y70" s="164"/>
      <c r="Z70" s="164"/>
      <c r="AA70" s="174"/>
      <c r="AB70" s="164"/>
      <c r="AC70" s="174"/>
      <c r="AD70" s="184"/>
      <c r="AE70" s="190" t="str">
        <f t="shared" si="33"/>
        <v/>
      </c>
      <c r="AF70" s="190" t="str">
        <f t="shared" si="34"/>
        <v/>
      </c>
      <c r="AG70" s="190" t="str">
        <f t="shared" si="23"/>
        <v>D</v>
      </c>
      <c r="AH70" s="190">
        <f>IFERROR(VLOOKUP(Y70,SISP_Deflatores_e_INMs!B$4:F$49,3,FALSE),1)</f>
        <v>1</v>
      </c>
      <c r="AI70" s="190">
        <f>IFERROR(VLOOKUP(Y70,SISP_Deflatores_e_INMs!B$4:G$49,5,FALSE),1)</f>
        <v>1</v>
      </c>
      <c r="AJ70" s="191" t="str">
        <f t="shared" si="35"/>
        <v/>
      </c>
      <c r="AK70" s="237" t="str">
        <f t="shared" si="24"/>
        <v/>
      </c>
      <c r="AL70" s="237" t="str">
        <f t="shared" si="36"/>
        <v/>
      </c>
      <c r="AM70" s="192" t="e">
        <f t="shared" si="25"/>
        <v>#VALUE!</v>
      </c>
      <c r="AN70" s="193" t="e">
        <f t="shared" si="26"/>
        <v>#VALUE!</v>
      </c>
      <c r="AO70" s="193" t="e">
        <f t="shared" si="27"/>
        <v>#VALUE!</v>
      </c>
      <c r="AP70" s="193"/>
      <c r="AQ70" s="204"/>
      <c r="AR70" s="204"/>
      <c r="AS70" s="204"/>
      <c r="AT70" s="205"/>
      <c r="AU70"/>
    </row>
    <row r="71" spans="2:47" ht="15" customHeight="1" x14ac:dyDescent="0.25">
      <c r="B71" s="206"/>
      <c r="C71" s="185"/>
      <c r="D71" s="164"/>
      <c r="E71" s="174"/>
      <c r="F71" s="164"/>
      <c r="G71" s="174"/>
      <c r="H71" s="164"/>
      <c r="I71" s="174"/>
      <c r="J71" s="184"/>
      <c r="K71" s="186"/>
      <c r="L71" s="187" t="str">
        <f t="shared" si="28"/>
        <v/>
      </c>
      <c r="M71" s="187" t="str">
        <f t="shared" si="29"/>
        <v/>
      </c>
      <c r="N71" s="187" t="str">
        <f t="shared" si="21"/>
        <v>D</v>
      </c>
      <c r="O71" s="187" t="str">
        <f t="shared" si="30"/>
        <v>D</v>
      </c>
      <c r="P71" s="187">
        <f t="shared" si="31"/>
        <v>1</v>
      </c>
      <c r="Q71" s="187">
        <f>IFERROR(VLOOKUP(E71,Tabela_Deflator:E$43,5,FALSE),1)</f>
        <v>1</v>
      </c>
      <c r="R71" s="188" t="str">
        <f t="shared" si="32"/>
        <v/>
      </c>
      <c r="S71" s="237" t="str">
        <f t="shared" si="22"/>
        <v/>
      </c>
      <c r="T71" s="237" t="str">
        <f t="shared" si="37"/>
        <v/>
      </c>
      <c r="U71" s="189"/>
      <c r="V71" s="167"/>
      <c r="W71" s="165"/>
      <c r="X71" s="164"/>
      <c r="Y71" s="164"/>
      <c r="Z71" s="164"/>
      <c r="AA71" s="174"/>
      <c r="AB71" s="164"/>
      <c r="AC71" s="174"/>
      <c r="AD71" s="184"/>
      <c r="AE71" s="190" t="str">
        <f t="shared" si="33"/>
        <v/>
      </c>
      <c r="AF71" s="190" t="str">
        <f t="shared" si="34"/>
        <v/>
      </c>
      <c r="AG71" s="190" t="str">
        <f t="shared" si="23"/>
        <v>D</v>
      </c>
      <c r="AH71" s="190">
        <f>IFERROR(VLOOKUP(Y71,SISP_Deflatores_e_INMs!B$4:F$49,3,FALSE),1)</f>
        <v>1</v>
      </c>
      <c r="AI71" s="190">
        <f>IFERROR(VLOOKUP(Y71,SISP_Deflatores_e_INMs!B$4:G$49,5,FALSE),1)</f>
        <v>1</v>
      </c>
      <c r="AJ71" s="191" t="str">
        <f t="shared" si="35"/>
        <v/>
      </c>
      <c r="AK71" s="237" t="str">
        <f t="shared" si="24"/>
        <v/>
      </c>
      <c r="AL71" s="237" t="str">
        <f t="shared" si="36"/>
        <v/>
      </c>
      <c r="AM71" s="192" t="e">
        <f t="shared" si="25"/>
        <v>#VALUE!</v>
      </c>
      <c r="AN71" s="193" t="e">
        <f t="shared" si="26"/>
        <v>#VALUE!</v>
      </c>
      <c r="AO71" s="193" t="e">
        <f t="shared" si="27"/>
        <v>#VALUE!</v>
      </c>
      <c r="AP71" s="193"/>
      <c r="AQ71" s="204"/>
      <c r="AR71" s="204"/>
      <c r="AS71" s="204"/>
      <c r="AT71" s="205"/>
      <c r="AU71"/>
    </row>
    <row r="72" spans="2:47" ht="15" customHeight="1" x14ac:dyDescent="0.25">
      <c r="B72" s="206"/>
      <c r="C72" s="185"/>
      <c r="D72" s="164"/>
      <c r="E72" s="174"/>
      <c r="F72" s="164"/>
      <c r="G72" s="174"/>
      <c r="H72" s="164"/>
      <c r="I72" s="174"/>
      <c r="J72" s="184"/>
      <c r="K72" s="186"/>
      <c r="L72" s="187" t="str">
        <f t="shared" si="28"/>
        <v/>
      </c>
      <c r="M72" s="187" t="str">
        <f t="shared" si="29"/>
        <v/>
      </c>
      <c r="N72" s="187" t="str">
        <f t="shared" si="21"/>
        <v>D</v>
      </c>
      <c r="O72" s="187" t="str">
        <f t="shared" si="30"/>
        <v>D</v>
      </c>
      <c r="P72" s="187">
        <f t="shared" si="31"/>
        <v>1</v>
      </c>
      <c r="Q72" s="187">
        <f>IFERROR(VLOOKUP(E72,Tabela_Deflator:E$43,5,FALSE),1)</f>
        <v>1</v>
      </c>
      <c r="R72" s="188" t="str">
        <f t="shared" si="32"/>
        <v/>
      </c>
      <c r="S72" s="237" t="str">
        <f t="shared" si="22"/>
        <v/>
      </c>
      <c r="T72" s="237" t="str">
        <f t="shared" si="37"/>
        <v/>
      </c>
      <c r="U72" s="189"/>
      <c r="V72" s="167"/>
      <c r="W72" s="165"/>
      <c r="X72" s="164"/>
      <c r="Y72" s="164"/>
      <c r="Z72" s="164"/>
      <c r="AA72" s="174"/>
      <c r="AB72" s="164"/>
      <c r="AC72" s="174"/>
      <c r="AD72" s="184"/>
      <c r="AE72" s="190" t="str">
        <f t="shared" si="33"/>
        <v/>
      </c>
      <c r="AF72" s="190" t="str">
        <f t="shared" si="34"/>
        <v/>
      </c>
      <c r="AG72" s="190" t="str">
        <f t="shared" si="23"/>
        <v>D</v>
      </c>
      <c r="AH72" s="190">
        <f>IFERROR(VLOOKUP(Y72,SISP_Deflatores_e_INMs!B$4:F$49,3,FALSE),1)</f>
        <v>1</v>
      </c>
      <c r="AI72" s="190">
        <f>IFERROR(VLOOKUP(Y72,SISP_Deflatores_e_INMs!B$4:G$49,5,FALSE),1)</f>
        <v>1</v>
      </c>
      <c r="AJ72" s="191" t="str">
        <f t="shared" si="35"/>
        <v/>
      </c>
      <c r="AK72" s="237" t="str">
        <f t="shared" si="24"/>
        <v/>
      </c>
      <c r="AL72" s="237" t="str">
        <f t="shared" si="36"/>
        <v/>
      </c>
      <c r="AM72" s="192" t="e">
        <f t="shared" si="25"/>
        <v>#VALUE!</v>
      </c>
      <c r="AN72" s="193" t="e">
        <f t="shared" si="26"/>
        <v>#VALUE!</v>
      </c>
      <c r="AO72" s="193" t="e">
        <f t="shared" si="27"/>
        <v>#VALUE!</v>
      </c>
      <c r="AP72" s="193"/>
      <c r="AQ72" s="204"/>
      <c r="AR72" s="204"/>
      <c r="AS72" s="204"/>
      <c r="AT72" s="205"/>
      <c r="AU72"/>
    </row>
    <row r="73" spans="2:47" ht="15" customHeight="1" x14ac:dyDescent="0.25">
      <c r="B73" s="206"/>
      <c r="C73" s="185"/>
      <c r="D73" s="164"/>
      <c r="E73" s="174"/>
      <c r="F73" s="164"/>
      <c r="G73" s="174"/>
      <c r="H73" s="164"/>
      <c r="I73" s="174"/>
      <c r="J73" s="184"/>
      <c r="K73" s="186"/>
      <c r="L73" s="187" t="str">
        <f t="shared" si="28"/>
        <v/>
      </c>
      <c r="M73" s="187" t="str">
        <f t="shared" si="29"/>
        <v/>
      </c>
      <c r="N73" s="187" t="str">
        <f t="shared" si="21"/>
        <v>D</v>
      </c>
      <c r="O73" s="187" t="str">
        <f t="shared" si="30"/>
        <v>D</v>
      </c>
      <c r="P73" s="187">
        <f t="shared" si="31"/>
        <v>1</v>
      </c>
      <c r="Q73" s="187">
        <f>IFERROR(VLOOKUP(E73,Tabela_Deflator:E$43,5,FALSE),1)</f>
        <v>1</v>
      </c>
      <c r="R73" s="188" t="str">
        <f t="shared" si="32"/>
        <v/>
      </c>
      <c r="S73" s="237" t="str">
        <f t="shared" si="22"/>
        <v/>
      </c>
      <c r="T73" s="237" t="str">
        <f t="shared" si="37"/>
        <v/>
      </c>
      <c r="U73" s="189"/>
      <c r="V73" s="167"/>
      <c r="W73" s="165"/>
      <c r="X73" s="164"/>
      <c r="Y73" s="164"/>
      <c r="Z73" s="164"/>
      <c r="AA73" s="174"/>
      <c r="AB73" s="164"/>
      <c r="AC73" s="174"/>
      <c r="AD73" s="184"/>
      <c r="AE73" s="190" t="str">
        <f t="shared" si="33"/>
        <v/>
      </c>
      <c r="AF73" s="190" t="str">
        <f t="shared" si="34"/>
        <v/>
      </c>
      <c r="AG73" s="190" t="str">
        <f t="shared" si="23"/>
        <v>D</v>
      </c>
      <c r="AH73" s="190">
        <f>IFERROR(VLOOKUP(Y73,SISP_Deflatores_e_INMs!B$4:F$49,3,FALSE),1)</f>
        <v>1</v>
      </c>
      <c r="AI73" s="190">
        <f>IFERROR(VLOOKUP(Y73,SISP_Deflatores_e_INMs!B$4:G$49,5,FALSE),1)</f>
        <v>1</v>
      </c>
      <c r="AJ73" s="191" t="str">
        <f t="shared" si="35"/>
        <v/>
      </c>
      <c r="AK73" s="237" t="str">
        <f t="shared" si="24"/>
        <v/>
      </c>
      <c r="AL73" s="237" t="str">
        <f t="shared" si="36"/>
        <v/>
      </c>
      <c r="AM73" s="192" t="e">
        <f t="shared" si="25"/>
        <v>#VALUE!</v>
      </c>
      <c r="AN73" s="193" t="e">
        <f t="shared" si="26"/>
        <v>#VALUE!</v>
      </c>
      <c r="AO73" s="193" t="e">
        <f t="shared" si="27"/>
        <v>#VALUE!</v>
      </c>
      <c r="AP73" s="193"/>
      <c r="AQ73" s="204"/>
      <c r="AR73" s="204"/>
      <c r="AS73" s="204"/>
      <c r="AT73" s="205"/>
      <c r="AU73"/>
    </row>
    <row r="74" spans="2:47" ht="15" customHeight="1" x14ac:dyDescent="0.25">
      <c r="B74" s="206"/>
      <c r="C74" s="185"/>
      <c r="D74" s="164"/>
      <c r="E74" s="174"/>
      <c r="F74" s="164"/>
      <c r="G74" s="174"/>
      <c r="H74" s="164"/>
      <c r="I74" s="174"/>
      <c r="J74" s="184"/>
      <c r="K74" s="186"/>
      <c r="L74" s="187" t="str">
        <f t="shared" si="28"/>
        <v/>
      </c>
      <c r="M74" s="187" t="str">
        <f t="shared" si="29"/>
        <v/>
      </c>
      <c r="N74" s="187" t="str">
        <f t="shared" si="21"/>
        <v>D</v>
      </c>
      <c r="O74" s="187" t="str">
        <f t="shared" si="30"/>
        <v>D</v>
      </c>
      <c r="P74" s="187">
        <f t="shared" si="31"/>
        <v>1</v>
      </c>
      <c r="Q74" s="187">
        <f>IFERROR(VLOOKUP(E74,Tabela_Deflator:E$43,5,FALSE),1)</f>
        <v>1</v>
      </c>
      <c r="R74" s="188" t="str">
        <f t="shared" si="32"/>
        <v/>
      </c>
      <c r="S74" s="237" t="str">
        <f t="shared" si="22"/>
        <v/>
      </c>
      <c r="T74" s="237" t="str">
        <f t="shared" si="37"/>
        <v/>
      </c>
      <c r="U74" s="189"/>
      <c r="V74" s="167"/>
      <c r="W74" s="165"/>
      <c r="X74" s="164"/>
      <c r="Y74" s="164"/>
      <c r="Z74" s="164"/>
      <c r="AA74" s="174"/>
      <c r="AB74" s="164"/>
      <c r="AC74" s="174"/>
      <c r="AD74" s="184"/>
      <c r="AE74" s="190" t="str">
        <f t="shared" si="33"/>
        <v/>
      </c>
      <c r="AF74" s="190" t="str">
        <f t="shared" si="34"/>
        <v/>
      </c>
      <c r="AG74" s="190" t="str">
        <f t="shared" si="23"/>
        <v>D</v>
      </c>
      <c r="AH74" s="190">
        <f>IFERROR(VLOOKUP(Y74,SISP_Deflatores_e_INMs!B$4:F$49,3,FALSE),1)</f>
        <v>1</v>
      </c>
      <c r="AI74" s="190">
        <f>IFERROR(VLOOKUP(Y74,SISP_Deflatores_e_INMs!B$4:G$49,5,FALSE),1)</f>
        <v>1</v>
      </c>
      <c r="AJ74" s="191" t="str">
        <f t="shared" si="35"/>
        <v/>
      </c>
      <c r="AK74" s="237" t="str">
        <f t="shared" si="24"/>
        <v/>
      </c>
      <c r="AL74" s="237" t="str">
        <f t="shared" si="36"/>
        <v/>
      </c>
      <c r="AM74" s="192" t="e">
        <f t="shared" si="25"/>
        <v>#VALUE!</v>
      </c>
      <c r="AN74" s="193" t="e">
        <f t="shared" si="26"/>
        <v>#VALUE!</v>
      </c>
      <c r="AO74" s="193" t="e">
        <f t="shared" si="27"/>
        <v>#VALUE!</v>
      </c>
      <c r="AP74" s="193"/>
      <c r="AQ74" s="204"/>
      <c r="AR74" s="204"/>
      <c r="AS74" s="204"/>
      <c r="AT74" s="205"/>
      <c r="AU74"/>
    </row>
    <row r="75" spans="2:47" ht="15" customHeight="1" x14ac:dyDescent="0.25">
      <c r="B75" s="206"/>
      <c r="C75" s="185"/>
      <c r="D75" s="164"/>
      <c r="E75" s="174"/>
      <c r="F75" s="164"/>
      <c r="G75" s="174"/>
      <c r="H75" s="164"/>
      <c r="I75" s="174"/>
      <c r="J75" s="184"/>
      <c r="K75" s="186"/>
      <c r="L75" s="187" t="str">
        <f t="shared" si="28"/>
        <v/>
      </c>
      <c r="M75" s="187" t="str">
        <f t="shared" si="29"/>
        <v/>
      </c>
      <c r="N75" s="187" t="str">
        <f t="shared" si="21"/>
        <v>D</v>
      </c>
      <c r="O75" s="187" t="str">
        <f t="shared" si="30"/>
        <v>D</v>
      </c>
      <c r="P75" s="187">
        <f t="shared" si="31"/>
        <v>1</v>
      </c>
      <c r="Q75" s="187">
        <f>IFERROR(VLOOKUP(E75,Tabela_Deflator:E$43,5,FALSE),1)</f>
        <v>1</v>
      </c>
      <c r="R75" s="188" t="str">
        <f t="shared" si="32"/>
        <v/>
      </c>
      <c r="S75" s="237" t="str">
        <f t="shared" si="22"/>
        <v/>
      </c>
      <c r="T75" s="237" t="str">
        <f t="shared" si="37"/>
        <v/>
      </c>
      <c r="U75" s="189"/>
      <c r="V75" s="167"/>
      <c r="W75" s="165"/>
      <c r="X75" s="164"/>
      <c r="Y75" s="164"/>
      <c r="Z75" s="164"/>
      <c r="AA75" s="174"/>
      <c r="AB75" s="164"/>
      <c r="AC75" s="174"/>
      <c r="AD75" s="184"/>
      <c r="AE75" s="190" t="str">
        <f t="shared" si="33"/>
        <v/>
      </c>
      <c r="AF75" s="190" t="str">
        <f t="shared" si="34"/>
        <v/>
      </c>
      <c r="AG75" s="190" t="str">
        <f t="shared" si="23"/>
        <v>D</v>
      </c>
      <c r="AH75" s="190">
        <f>IFERROR(VLOOKUP(Y75,SISP_Deflatores_e_INMs!B$4:F$49,3,FALSE),1)</f>
        <v>1</v>
      </c>
      <c r="AI75" s="190">
        <f>IFERROR(VLOOKUP(Y75,SISP_Deflatores_e_INMs!B$4:G$49,5,FALSE),1)</f>
        <v>1</v>
      </c>
      <c r="AJ75" s="191" t="str">
        <f t="shared" si="35"/>
        <v/>
      </c>
      <c r="AK75" s="237" t="str">
        <f t="shared" si="24"/>
        <v/>
      </c>
      <c r="AL75" s="237" t="str">
        <f t="shared" si="36"/>
        <v/>
      </c>
      <c r="AM75" s="192" t="e">
        <f t="shared" si="25"/>
        <v>#VALUE!</v>
      </c>
      <c r="AN75" s="193" t="e">
        <f t="shared" si="26"/>
        <v>#VALUE!</v>
      </c>
      <c r="AO75" s="193" t="e">
        <f t="shared" si="27"/>
        <v>#VALUE!</v>
      </c>
      <c r="AP75" s="193"/>
      <c r="AQ75" s="204"/>
      <c r="AR75" s="204"/>
      <c r="AS75" s="204"/>
      <c r="AT75" s="205"/>
      <c r="AU75"/>
    </row>
    <row r="76" spans="2:47" ht="15" customHeight="1" x14ac:dyDescent="0.25">
      <c r="B76" s="206"/>
      <c r="C76" s="185"/>
      <c r="D76" s="164"/>
      <c r="E76" s="174"/>
      <c r="F76" s="164"/>
      <c r="G76" s="174"/>
      <c r="H76" s="164"/>
      <c r="I76" s="174"/>
      <c r="J76" s="184"/>
      <c r="K76" s="186"/>
      <c r="L76" s="187" t="str">
        <f t="shared" si="28"/>
        <v/>
      </c>
      <c r="M76" s="187" t="str">
        <f t="shared" si="29"/>
        <v/>
      </c>
      <c r="N76" s="187" t="str">
        <f t="shared" si="21"/>
        <v>D</v>
      </c>
      <c r="O76" s="187" t="str">
        <f t="shared" si="30"/>
        <v>D</v>
      </c>
      <c r="P76" s="187">
        <f t="shared" si="31"/>
        <v>1</v>
      </c>
      <c r="Q76" s="187">
        <f>IFERROR(VLOOKUP(E76,Tabela_Deflator:E$43,5,FALSE),1)</f>
        <v>1</v>
      </c>
      <c r="R76" s="188" t="str">
        <f t="shared" si="32"/>
        <v/>
      </c>
      <c r="S76" s="237" t="str">
        <f t="shared" si="22"/>
        <v/>
      </c>
      <c r="T76" s="237" t="str">
        <f t="shared" si="37"/>
        <v/>
      </c>
      <c r="U76" s="189"/>
      <c r="V76" s="167"/>
      <c r="W76" s="165"/>
      <c r="X76" s="164"/>
      <c r="Y76" s="164"/>
      <c r="Z76" s="164"/>
      <c r="AA76" s="174"/>
      <c r="AB76" s="164"/>
      <c r="AC76" s="174"/>
      <c r="AD76" s="184"/>
      <c r="AE76" s="190" t="str">
        <f t="shared" si="33"/>
        <v/>
      </c>
      <c r="AF76" s="190" t="str">
        <f t="shared" si="34"/>
        <v/>
      </c>
      <c r="AG76" s="190" t="str">
        <f t="shared" si="23"/>
        <v>D</v>
      </c>
      <c r="AH76" s="190">
        <f>IFERROR(VLOOKUP(Y76,SISP_Deflatores_e_INMs!B$4:F$49,3,FALSE),1)</f>
        <v>1</v>
      </c>
      <c r="AI76" s="190">
        <f>IFERROR(VLOOKUP(Y76,SISP_Deflatores_e_INMs!B$4:G$49,5,FALSE),1)</f>
        <v>1</v>
      </c>
      <c r="AJ76" s="191" t="str">
        <f t="shared" si="35"/>
        <v/>
      </c>
      <c r="AK76" s="237" t="str">
        <f t="shared" si="24"/>
        <v/>
      </c>
      <c r="AL76" s="237" t="str">
        <f t="shared" si="36"/>
        <v/>
      </c>
      <c r="AM76" s="192" t="e">
        <f t="shared" si="25"/>
        <v>#VALUE!</v>
      </c>
      <c r="AN76" s="193" t="e">
        <f t="shared" si="26"/>
        <v>#VALUE!</v>
      </c>
      <c r="AO76" s="193" t="e">
        <f t="shared" si="27"/>
        <v>#VALUE!</v>
      </c>
      <c r="AP76" s="193"/>
      <c r="AQ76" s="204"/>
      <c r="AR76" s="204"/>
      <c r="AS76" s="204"/>
      <c r="AT76" s="205"/>
      <c r="AU76"/>
    </row>
    <row r="77" spans="2:47" ht="15" customHeight="1" x14ac:dyDescent="0.25">
      <c r="B77" s="206"/>
      <c r="C77" s="185"/>
      <c r="D77" s="164"/>
      <c r="E77" s="174"/>
      <c r="F77" s="164"/>
      <c r="G77" s="174"/>
      <c r="H77" s="164"/>
      <c r="I77" s="174"/>
      <c r="J77" s="184"/>
      <c r="K77" s="186"/>
      <c r="L77" s="187" t="str">
        <f t="shared" si="28"/>
        <v/>
      </c>
      <c r="M77" s="187" t="str">
        <f t="shared" si="29"/>
        <v/>
      </c>
      <c r="N77" s="187" t="str">
        <f t="shared" si="21"/>
        <v>D</v>
      </c>
      <c r="O77" s="187" t="str">
        <f t="shared" si="30"/>
        <v>D</v>
      </c>
      <c r="P77" s="187">
        <f t="shared" si="31"/>
        <v>1</v>
      </c>
      <c r="Q77" s="187">
        <f>IFERROR(VLOOKUP(E77,Tabela_Deflator:E$43,5,FALSE),1)</f>
        <v>1</v>
      </c>
      <c r="R77" s="188" t="str">
        <f t="shared" si="32"/>
        <v/>
      </c>
      <c r="S77" s="237" t="str">
        <f t="shared" si="22"/>
        <v/>
      </c>
      <c r="T77" s="237" t="str">
        <f t="shared" si="37"/>
        <v/>
      </c>
      <c r="U77" s="189"/>
      <c r="V77" s="167"/>
      <c r="W77" s="165"/>
      <c r="X77" s="164"/>
      <c r="Y77" s="164"/>
      <c r="Z77" s="164"/>
      <c r="AA77" s="174"/>
      <c r="AB77" s="164"/>
      <c r="AC77" s="174"/>
      <c r="AD77" s="184"/>
      <c r="AE77" s="190" t="str">
        <f t="shared" si="33"/>
        <v/>
      </c>
      <c r="AF77" s="190" t="str">
        <f t="shared" si="34"/>
        <v/>
      </c>
      <c r="AG77" s="190" t="str">
        <f t="shared" si="23"/>
        <v>D</v>
      </c>
      <c r="AH77" s="190">
        <f>IFERROR(VLOOKUP(Y77,SISP_Deflatores_e_INMs!B$4:F$49,3,FALSE),1)</f>
        <v>1</v>
      </c>
      <c r="AI77" s="190">
        <f>IFERROR(VLOOKUP(Y77,SISP_Deflatores_e_INMs!B$4:G$49,5,FALSE),1)</f>
        <v>1</v>
      </c>
      <c r="AJ77" s="191" t="str">
        <f t="shared" si="35"/>
        <v/>
      </c>
      <c r="AK77" s="237" t="str">
        <f t="shared" si="24"/>
        <v/>
      </c>
      <c r="AL77" s="237" t="str">
        <f t="shared" si="36"/>
        <v/>
      </c>
      <c r="AM77" s="192" t="e">
        <f t="shared" si="25"/>
        <v>#VALUE!</v>
      </c>
      <c r="AN77" s="193" t="e">
        <f t="shared" si="26"/>
        <v>#VALUE!</v>
      </c>
      <c r="AO77" s="193" t="e">
        <f t="shared" si="27"/>
        <v>#VALUE!</v>
      </c>
      <c r="AP77" s="193"/>
      <c r="AQ77" s="204"/>
      <c r="AR77" s="204"/>
      <c r="AS77" s="204"/>
      <c r="AT77" s="205"/>
      <c r="AU77"/>
    </row>
    <row r="78" spans="2:47" ht="15" customHeight="1" x14ac:dyDescent="0.25">
      <c r="B78" s="206"/>
      <c r="C78" s="185"/>
      <c r="D78" s="164"/>
      <c r="E78" s="174"/>
      <c r="F78" s="164"/>
      <c r="G78" s="174"/>
      <c r="H78" s="164"/>
      <c r="I78" s="174"/>
      <c r="J78" s="184"/>
      <c r="K78" s="186"/>
      <c r="L78" s="187" t="str">
        <f t="shared" si="28"/>
        <v/>
      </c>
      <c r="M78" s="187" t="str">
        <f t="shared" si="29"/>
        <v/>
      </c>
      <c r="N78" s="187" t="str">
        <f t="shared" si="21"/>
        <v>D</v>
      </c>
      <c r="O78" s="187" t="str">
        <f t="shared" si="30"/>
        <v>D</v>
      </c>
      <c r="P78" s="187">
        <f t="shared" si="31"/>
        <v>1</v>
      </c>
      <c r="Q78" s="187">
        <f>IFERROR(VLOOKUP(E78,Tabela_Deflator:E$43,5,FALSE),1)</f>
        <v>1</v>
      </c>
      <c r="R78" s="188" t="str">
        <f t="shared" si="32"/>
        <v/>
      </c>
      <c r="S78" s="237" t="str">
        <f t="shared" si="22"/>
        <v/>
      </c>
      <c r="T78" s="237" t="str">
        <f t="shared" si="37"/>
        <v/>
      </c>
      <c r="U78" s="189"/>
      <c r="V78" s="167"/>
      <c r="W78" s="165"/>
      <c r="X78" s="164"/>
      <c r="Y78" s="164"/>
      <c r="Z78" s="164"/>
      <c r="AA78" s="174"/>
      <c r="AB78" s="164"/>
      <c r="AC78" s="174"/>
      <c r="AD78" s="184"/>
      <c r="AE78" s="190" t="str">
        <f t="shared" si="33"/>
        <v/>
      </c>
      <c r="AF78" s="190" t="str">
        <f t="shared" si="34"/>
        <v/>
      </c>
      <c r="AG78" s="190" t="str">
        <f t="shared" si="23"/>
        <v>D</v>
      </c>
      <c r="AH78" s="190">
        <f>IFERROR(VLOOKUP(Y78,SISP_Deflatores_e_INMs!B$4:F$49,3,FALSE),1)</f>
        <v>1</v>
      </c>
      <c r="AI78" s="190">
        <f>IFERROR(VLOOKUP(Y78,SISP_Deflatores_e_INMs!B$4:G$49,5,FALSE),1)</f>
        <v>1</v>
      </c>
      <c r="AJ78" s="191" t="str">
        <f t="shared" si="35"/>
        <v/>
      </c>
      <c r="AK78" s="237" t="str">
        <f t="shared" si="24"/>
        <v/>
      </c>
      <c r="AL78" s="237" t="str">
        <f t="shared" si="36"/>
        <v/>
      </c>
      <c r="AM78" s="192" t="e">
        <f t="shared" si="25"/>
        <v>#VALUE!</v>
      </c>
      <c r="AN78" s="193" t="e">
        <f t="shared" si="26"/>
        <v>#VALUE!</v>
      </c>
      <c r="AO78" s="193" t="e">
        <f t="shared" si="27"/>
        <v>#VALUE!</v>
      </c>
      <c r="AP78" s="193"/>
      <c r="AQ78" s="204"/>
      <c r="AR78" s="204"/>
      <c r="AS78" s="204"/>
      <c r="AT78" s="205"/>
      <c r="AU78"/>
    </row>
    <row r="79" spans="2:47" ht="15" customHeight="1" x14ac:dyDescent="0.25">
      <c r="B79" s="206"/>
      <c r="C79" s="185"/>
      <c r="D79" s="164"/>
      <c r="E79" s="174"/>
      <c r="F79" s="164"/>
      <c r="G79" s="174"/>
      <c r="H79" s="164"/>
      <c r="I79" s="174"/>
      <c r="J79" s="184"/>
      <c r="K79" s="186"/>
      <c r="L79" s="187" t="str">
        <f t="shared" si="28"/>
        <v/>
      </c>
      <c r="M79" s="187" t="str">
        <f t="shared" si="29"/>
        <v/>
      </c>
      <c r="N79" s="187" t="str">
        <f t="shared" si="21"/>
        <v>D</v>
      </c>
      <c r="O79" s="187" t="str">
        <f t="shared" si="30"/>
        <v>D</v>
      </c>
      <c r="P79" s="187">
        <f t="shared" si="31"/>
        <v>1</v>
      </c>
      <c r="Q79" s="187">
        <f>IFERROR(VLOOKUP(E79,Tabela_Deflator:E$43,5,FALSE),1)</f>
        <v>1</v>
      </c>
      <c r="R79" s="188" t="str">
        <f t="shared" si="32"/>
        <v/>
      </c>
      <c r="S79" s="237" t="str">
        <f t="shared" si="22"/>
        <v/>
      </c>
      <c r="T79" s="237" t="str">
        <f t="shared" si="37"/>
        <v/>
      </c>
      <c r="U79" s="189"/>
      <c r="V79" s="167"/>
      <c r="W79" s="165"/>
      <c r="X79" s="164"/>
      <c r="Y79" s="164"/>
      <c r="Z79" s="164"/>
      <c r="AA79" s="174"/>
      <c r="AB79" s="164"/>
      <c r="AC79" s="174"/>
      <c r="AD79" s="184"/>
      <c r="AE79" s="190" t="str">
        <f t="shared" si="33"/>
        <v/>
      </c>
      <c r="AF79" s="190" t="str">
        <f t="shared" si="34"/>
        <v/>
      </c>
      <c r="AG79" s="190" t="str">
        <f t="shared" si="23"/>
        <v>D</v>
      </c>
      <c r="AH79" s="190">
        <f>IFERROR(VLOOKUP(Y79,SISP_Deflatores_e_INMs!B$4:F$49,3,FALSE),1)</f>
        <v>1</v>
      </c>
      <c r="AI79" s="190">
        <f>IFERROR(VLOOKUP(Y79,SISP_Deflatores_e_INMs!B$4:G$49,5,FALSE),1)</f>
        <v>1</v>
      </c>
      <c r="AJ79" s="191" t="str">
        <f t="shared" si="35"/>
        <v/>
      </c>
      <c r="AK79" s="237" t="str">
        <f t="shared" si="24"/>
        <v/>
      </c>
      <c r="AL79" s="237" t="str">
        <f t="shared" si="36"/>
        <v/>
      </c>
      <c r="AM79" s="192" t="e">
        <f t="shared" si="25"/>
        <v>#VALUE!</v>
      </c>
      <c r="AN79" s="193" t="e">
        <f t="shared" si="26"/>
        <v>#VALUE!</v>
      </c>
      <c r="AO79" s="193" t="e">
        <f t="shared" si="27"/>
        <v>#VALUE!</v>
      </c>
      <c r="AP79" s="193"/>
      <c r="AQ79" s="204"/>
      <c r="AR79" s="204"/>
      <c r="AS79" s="204"/>
      <c r="AT79" s="205"/>
      <c r="AU79"/>
    </row>
    <row r="80" spans="2:47" ht="15" customHeight="1" x14ac:dyDescent="0.25">
      <c r="B80" s="206"/>
      <c r="C80" s="185"/>
      <c r="D80" s="164"/>
      <c r="E80" s="174"/>
      <c r="F80" s="164"/>
      <c r="G80" s="174"/>
      <c r="H80" s="164"/>
      <c r="I80" s="174"/>
      <c r="J80" s="184"/>
      <c r="K80" s="186"/>
      <c r="L80" s="187" t="str">
        <f t="shared" si="28"/>
        <v/>
      </c>
      <c r="M80" s="187" t="str">
        <f t="shared" si="29"/>
        <v/>
      </c>
      <c r="N80" s="187" t="str">
        <f t="shared" si="21"/>
        <v>D</v>
      </c>
      <c r="O80" s="187" t="str">
        <f t="shared" si="30"/>
        <v>D</v>
      </c>
      <c r="P80" s="187">
        <f t="shared" si="31"/>
        <v>1</v>
      </c>
      <c r="Q80" s="187">
        <f>IFERROR(VLOOKUP(E80,Tabela_Deflator:E$43,5,FALSE),1)</f>
        <v>1</v>
      </c>
      <c r="R80" s="188" t="str">
        <f t="shared" si="32"/>
        <v/>
      </c>
      <c r="S80" s="237" t="str">
        <f t="shared" si="22"/>
        <v/>
      </c>
      <c r="T80" s="237" t="str">
        <f t="shared" si="37"/>
        <v/>
      </c>
      <c r="U80" s="189"/>
      <c r="V80" s="167"/>
      <c r="W80" s="165"/>
      <c r="X80" s="164"/>
      <c r="Y80" s="164"/>
      <c r="Z80" s="164"/>
      <c r="AA80" s="174"/>
      <c r="AB80" s="164"/>
      <c r="AC80" s="174"/>
      <c r="AD80" s="184"/>
      <c r="AE80" s="190" t="str">
        <f t="shared" si="33"/>
        <v/>
      </c>
      <c r="AF80" s="190" t="str">
        <f t="shared" si="34"/>
        <v/>
      </c>
      <c r="AG80" s="190" t="str">
        <f t="shared" si="23"/>
        <v>D</v>
      </c>
      <c r="AH80" s="190">
        <f>IFERROR(VLOOKUP(Y80,SISP_Deflatores_e_INMs!B$4:F$49,3,FALSE),1)</f>
        <v>1</v>
      </c>
      <c r="AI80" s="190">
        <f>IFERROR(VLOOKUP(Y80,SISP_Deflatores_e_INMs!B$4:G$49,5,FALSE),1)</f>
        <v>1</v>
      </c>
      <c r="AJ80" s="191" t="str">
        <f t="shared" si="35"/>
        <v/>
      </c>
      <c r="AK80" s="237" t="str">
        <f t="shared" si="24"/>
        <v/>
      </c>
      <c r="AL80" s="237" t="str">
        <f t="shared" si="36"/>
        <v/>
      </c>
      <c r="AM80" s="192" t="e">
        <f t="shared" si="25"/>
        <v>#VALUE!</v>
      </c>
      <c r="AN80" s="193" t="e">
        <f t="shared" si="26"/>
        <v>#VALUE!</v>
      </c>
      <c r="AO80" s="193" t="e">
        <f t="shared" si="27"/>
        <v>#VALUE!</v>
      </c>
      <c r="AP80" s="193"/>
      <c r="AQ80" s="204"/>
      <c r="AR80" s="204"/>
      <c r="AS80" s="204"/>
      <c r="AT80" s="205"/>
      <c r="AU80"/>
    </row>
    <row r="81" spans="2:47" ht="15" customHeight="1" x14ac:dyDescent="0.25">
      <c r="B81" s="206"/>
      <c r="C81" s="185"/>
      <c r="D81" s="164"/>
      <c r="E81" s="174"/>
      <c r="F81" s="164"/>
      <c r="G81" s="174"/>
      <c r="H81" s="164"/>
      <c r="I81" s="174"/>
      <c r="J81" s="184"/>
      <c r="K81" s="186"/>
      <c r="L81" s="187" t="str">
        <f t="shared" si="28"/>
        <v/>
      </c>
      <c r="M81" s="187" t="str">
        <f t="shared" si="29"/>
        <v/>
      </c>
      <c r="N81" s="187" t="str">
        <f t="shared" si="21"/>
        <v>D</v>
      </c>
      <c r="O81" s="187" t="str">
        <f t="shared" si="30"/>
        <v>D</v>
      </c>
      <c r="P81" s="187">
        <f t="shared" si="31"/>
        <v>1</v>
      </c>
      <c r="Q81" s="187">
        <f>IFERROR(VLOOKUP(E81,Tabela_Deflator:E$43,5,FALSE),1)</f>
        <v>1</v>
      </c>
      <c r="R81" s="188" t="str">
        <f t="shared" si="32"/>
        <v/>
      </c>
      <c r="S81" s="237" t="str">
        <f t="shared" si="22"/>
        <v/>
      </c>
      <c r="T81" s="237" t="str">
        <f t="shared" si="37"/>
        <v/>
      </c>
      <c r="U81" s="189"/>
      <c r="V81" s="167"/>
      <c r="W81" s="165"/>
      <c r="X81" s="164"/>
      <c r="Y81" s="164"/>
      <c r="Z81" s="164"/>
      <c r="AA81" s="174"/>
      <c r="AB81" s="164"/>
      <c r="AC81" s="174"/>
      <c r="AD81" s="184"/>
      <c r="AE81" s="190" t="str">
        <f t="shared" si="33"/>
        <v/>
      </c>
      <c r="AF81" s="190" t="str">
        <f t="shared" si="34"/>
        <v/>
      </c>
      <c r="AG81" s="190" t="str">
        <f t="shared" si="23"/>
        <v>D</v>
      </c>
      <c r="AH81" s="190">
        <f>IFERROR(VLOOKUP(Y81,SISP_Deflatores_e_INMs!B$4:F$49,3,FALSE),1)</f>
        <v>1</v>
      </c>
      <c r="AI81" s="190">
        <f>IFERROR(VLOOKUP(Y81,SISP_Deflatores_e_INMs!B$4:G$49,5,FALSE),1)</f>
        <v>1</v>
      </c>
      <c r="AJ81" s="191" t="str">
        <f t="shared" si="35"/>
        <v/>
      </c>
      <c r="AK81" s="237" t="str">
        <f t="shared" si="24"/>
        <v/>
      </c>
      <c r="AL81" s="237" t="str">
        <f t="shared" si="36"/>
        <v/>
      </c>
      <c r="AM81" s="192" t="e">
        <f t="shared" si="25"/>
        <v>#VALUE!</v>
      </c>
      <c r="AN81" s="193" t="e">
        <f t="shared" si="26"/>
        <v>#VALUE!</v>
      </c>
      <c r="AO81" s="193" t="e">
        <f t="shared" si="27"/>
        <v>#VALUE!</v>
      </c>
      <c r="AP81" s="193"/>
      <c r="AQ81" s="204"/>
      <c r="AR81" s="204"/>
      <c r="AS81" s="204"/>
      <c r="AT81" s="205"/>
      <c r="AU81"/>
    </row>
    <row r="82" spans="2:47" ht="15" customHeight="1" x14ac:dyDescent="0.25">
      <c r="B82" s="206"/>
      <c r="C82" s="185"/>
      <c r="D82" s="164"/>
      <c r="E82" s="174"/>
      <c r="F82" s="164"/>
      <c r="G82" s="174"/>
      <c r="H82" s="164"/>
      <c r="I82" s="174"/>
      <c r="J82" s="184"/>
      <c r="K82" s="186"/>
      <c r="L82" s="187" t="str">
        <f t="shared" si="28"/>
        <v/>
      </c>
      <c r="M82" s="187" t="str">
        <f t="shared" si="29"/>
        <v/>
      </c>
      <c r="N82" s="187" t="str">
        <f t="shared" si="21"/>
        <v>D</v>
      </c>
      <c r="O82" s="187" t="str">
        <f t="shared" si="30"/>
        <v>D</v>
      </c>
      <c r="P82" s="187">
        <f t="shared" si="31"/>
        <v>1</v>
      </c>
      <c r="Q82" s="187">
        <f>IFERROR(VLOOKUP(E82,Tabela_Deflator:E$43,5,FALSE),1)</f>
        <v>1</v>
      </c>
      <c r="R82" s="188" t="str">
        <f t="shared" si="32"/>
        <v/>
      </c>
      <c r="S82" s="237" t="str">
        <f t="shared" si="22"/>
        <v/>
      </c>
      <c r="T82" s="237" t="str">
        <f t="shared" si="37"/>
        <v/>
      </c>
      <c r="U82" s="189"/>
      <c r="V82" s="167"/>
      <c r="W82" s="165"/>
      <c r="X82" s="164"/>
      <c r="Y82" s="164"/>
      <c r="Z82" s="164"/>
      <c r="AA82" s="174"/>
      <c r="AB82" s="164"/>
      <c r="AC82" s="174"/>
      <c r="AD82" s="184"/>
      <c r="AE82" s="190" t="str">
        <f t="shared" si="33"/>
        <v/>
      </c>
      <c r="AF82" s="190" t="str">
        <f t="shared" si="34"/>
        <v/>
      </c>
      <c r="AG82" s="190" t="str">
        <f t="shared" si="23"/>
        <v>D</v>
      </c>
      <c r="AH82" s="190">
        <f>IFERROR(VLOOKUP(Y82,SISP_Deflatores_e_INMs!B$4:F$49,3,FALSE),1)</f>
        <v>1</v>
      </c>
      <c r="AI82" s="190">
        <f>IFERROR(VLOOKUP(Y82,SISP_Deflatores_e_INMs!B$4:G$49,5,FALSE),1)</f>
        <v>1</v>
      </c>
      <c r="AJ82" s="191" t="str">
        <f t="shared" si="35"/>
        <v/>
      </c>
      <c r="AK82" s="237" t="str">
        <f t="shared" si="24"/>
        <v/>
      </c>
      <c r="AL82" s="237" t="str">
        <f t="shared" si="36"/>
        <v/>
      </c>
      <c r="AM82" s="192" t="e">
        <f t="shared" si="25"/>
        <v>#VALUE!</v>
      </c>
      <c r="AN82" s="193" t="e">
        <f t="shared" si="26"/>
        <v>#VALUE!</v>
      </c>
      <c r="AO82" s="193" t="e">
        <f t="shared" si="27"/>
        <v>#VALUE!</v>
      </c>
      <c r="AP82" s="193"/>
      <c r="AQ82" s="204"/>
      <c r="AR82" s="204"/>
      <c r="AS82" s="204"/>
      <c r="AT82" s="205"/>
      <c r="AU82"/>
    </row>
    <row r="83" spans="2:47" ht="15" customHeight="1" x14ac:dyDescent="0.25">
      <c r="B83" s="206"/>
      <c r="C83" s="185"/>
      <c r="D83" s="164"/>
      <c r="E83" s="174"/>
      <c r="F83" s="164"/>
      <c r="G83" s="174"/>
      <c r="H83" s="164"/>
      <c r="I83" s="174"/>
      <c r="J83" s="184"/>
      <c r="K83" s="186"/>
      <c r="L83" s="187" t="str">
        <f t="shared" si="28"/>
        <v/>
      </c>
      <c r="M83" s="187" t="str">
        <f t="shared" si="29"/>
        <v/>
      </c>
      <c r="N83" s="187" t="str">
        <f t="shared" si="21"/>
        <v>D</v>
      </c>
      <c r="O83" s="187" t="str">
        <f t="shared" si="30"/>
        <v>D</v>
      </c>
      <c r="P83" s="187">
        <f t="shared" si="31"/>
        <v>1</v>
      </c>
      <c r="Q83" s="187">
        <f>IFERROR(VLOOKUP(E83,Tabela_Deflator:E$43,5,FALSE),1)</f>
        <v>1</v>
      </c>
      <c r="R83" s="188" t="str">
        <f t="shared" si="32"/>
        <v/>
      </c>
      <c r="S83" s="237" t="str">
        <f t="shared" si="22"/>
        <v/>
      </c>
      <c r="T83" s="237" t="str">
        <f t="shared" si="37"/>
        <v/>
      </c>
      <c r="U83" s="189"/>
      <c r="V83" s="167"/>
      <c r="W83" s="165"/>
      <c r="X83" s="164"/>
      <c r="Y83" s="164"/>
      <c r="Z83" s="164"/>
      <c r="AA83" s="174"/>
      <c r="AB83" s="164"/>
      <c r="AC83" s="174"/>
      <c r="AD83" s="184"/>
      <c r="AE83" s="190" t="str">
        <f t="shared" si="33"/>
        <v/>
      </c>
      <c r="AF83" s="190" t="str">
        <f t="shared" si="34"/>
        <v/>
      </c>
      <c r="AG83" s="190" t="str">
        <f t="shared" si="23"/>
        <v>D</v>
      </c>
      <c r="AH83" s="190">
        <f>IFERROR(VLOOKUP(Y83,SISP_Deflatores_e_INMs!B$4:F$49,3,FALSE),1)</f>
        <v>1</v>
      </c>
      <c r="AI83" s="190">
        <f>IFERROR(VLOOKUP(Y83,SISP_Deflatores_e_INMs!B$4:G$49,5,FALSE),1)</f>
        <v>1</v>
      </c>
      <c r="AJ83" s="191" t="str">
        <f t="shared" si="35"/>
        <v/>
      </c>
      <c r="AK83" s="237" t="str">
        <f t="shared" si="24"/>
        <v/>
      </c>
      <c r="AL83" s="237" t="str">
        <f t="shared" si="36"/>
        <v/>
      </c>
      <c r="AM83" s="192" t="e">
        <f t="shared" si="25"/>
        <v>#VALUE!</v>
      </c>
      <c r="AN83" s="193" t="e">
        <f t="shared" si="26"/>
        <v>#VALUE!</v>
      </c>
      <c r="AO83" s="193" t="e">
        <f t="shared" si="27"/>
        <v>#VALUE!</v>
      </c>
      <c r="AP83" s="193"/>
      <c r="AQ83" s="204"/>
      <c r="AR83" s="204"/>
      <c r="AS83" s="204"/>
      <c r="AT83" s="205"/>
      <c r="AU83"/>
    </row>
    <row r="84" spans="2:47" ht="15" customHeight="1" x14ac:dyDescent="0.25">
      <c r="B84" s="206"/>
      <c r="C84" s="185"/>
      <c r="D84" s="164"/>
      <c r="E84" s="174"/>
      <c r="F84" s="164"/>
      <c r="G84" s="174"/>
      <c r="H84" s="164"/>
      <c r="I84" s="174"/>
      <c r="J84" s="184"/>
      <c r="K84" s="186"/>
      <c r="L84" s="187" t="str">
        <f t="shared" si="28"/>
        <v/>
      </c>
      <c r="M84" s="187" t="str">
        <f t="shared" si="29"/>
        <v/>
      </c>
      <c r="N84" s="187" t="str">
        <f t="shared" si="21"/>
        <v>D</v>
      </c>
      <c r="O84" s="187" t="str">
        <f t="shared" si="30"/>
        <v>D</v>
      </c>
      <c r="P84" s="187">
        <f t="shared" si="31"/>
        <v>1</v>
      </c>
      <c r="Q84" s="187">
        <f>IFERROR(VLOOKUP(E84,Tabela_Deflator:E$43,5,FALSE),1)</f>
        <v>1</v>
      </c>
      <c r="R84" s="188" t="str">
        <f t="shared" si="32"/>
        <v/>
      </c>
      <c r="S84" s="237" t="str">
        <f t="shared" si="22"/>
        <v/>
      </c>
      <c r="T84" s="237" t="str">
        <f t="shared" si="37"/>
        <v/>
      </c>
      <c r="U84" s="189"/>
      <c r="V84" s="167"/>
      <c r="W84" s="165"/>
      <c r="X84" s="164"/>
      <c r="Y84" s="164"/>
      <c r="Z84" s="164"/>
      <c r="AA84" s="174"/>
      <c r="AB84" s="164"/>
      <c r="AC84" s="174"/>
      <c r="AD84" s="184"/>
      <c r="AE84" s="190" t="str">
        <f t="shared" si="33"/>
        <v/>
      </c>
      <c r="AF84" s="190" t="str">
        <f t="shared" si="34"/>
        <v/>
      </c>
      <c r="AG84" s="190" t="str">
        <f t="shared" si="23"/>
        <v>D</v>
      </c>
      <c r="AH84" s="190">
        <f>IFERROR(VLOOKUP(Y84,SISP_Deflatores_e_INMs!B$4:F$49,3,FALSE),1)</f>
        <v>1</v>
      </c>
      <c r="AI84" s="190">
        <f>IFERROR(VLOOKUP(Y84,SISP_Deflatores_e_INMs!B$4:G$49,5,FALSE),1)</f>
        <v>1</v>
      </c>
      <c r="AJ84" s="191" t="str">
        <f t="shared" si="35"/>
        <v/>
      </c>
      <c r="AK84" s="237" t="str">
        <f t="shared" si="24"/>
        <v/>
      </c>
      <c r="AL84" s="237" t="str">
        <f t="shared" si="36"/>
        <v/>
      </c>
      <c r="AM84" s="192" t="e">
        <f t="shared" si="25"/>
        <v>#VALUE!</v>
      </c>
      <c r="AN84" s="193" t="e">
        <f t="shared" si="26"/>
        <v>#VALUE!</v>
      </c>
      <c r="AO84" s="193" t="e">
        <f t="shared" si="27"/>
        <v>#VALUE!</v>
      </c>
      <c r="AP84" s="193"/>
      <c r="AQ84" s="204"/>
      <c r="AR84" s="204"/>
      <c r="AS84" s="204"/>
      <c r="AT84" s="205"/>
      <c r="AU84"/>
    </row>
    <row r="85" spans="2:47" ht="15" customHeight="1" x14ac:dyDescent="0.25">
      <c r="B85" s="206"/>
      <c r="C85" s="185"/>
      <c r="D85" s="164"/>
      <c r="E85" s="174"/>
      <c r="F85" s="164"/>
      <c r="G85" s="174"/>
      <c r="H85" s="164"/>
      <c r="I85" s="174"/>
      <c r="J85" s="184"/>
      <c r="K85" s="186"/>
      <c r="L85" s="187" t="str">
        <f t="shared" si="28"/>
        <v/>
      </c>
      <c r="M85" s="187" t="str">
        <f t="shared" si="29"/>
        <v/>
      </c>
      <c r="N85" s="187" t="str">
        <f t="shared" si="21"/>
        <v>D</v>
      </c>
      <c r="O85" s="187" t="str">
        <f t="shared" si="30"/>
        <v>D</v>
      </c>
      <c r="P85" s="187">
        <f t="shared" si="31"/>
        <v>1</v>
      </c>
      <c r="Q85" s="187">
        <f>IFERROR(VLOOKUP(E85,Tabela_Deflator:E$43,5,FALSE),1)</f>
        <v>1</v>
      </c>
      <c r="R85" s="188" t="str">
        <f t="shared" si="32"/>
        <v/>
      </c>
      <c r="S85" s="237" t="str">
        <f t="shared" si="22"/>
        <v/>
      </c>
      <c r="T85" s="237" t="str">
        <f t="shared" si="37"/>
        <v/>
      </c>
      <c r="U85" s="189"/>
      <c r="V85" s="167"/>
      <c r="W85" s="165"/>
      <c r="X85" s="164"/>
      <c r="Y85" s="164"/>
      <c r="Z85" s="164"/>
      <c r="AA85" s="174"/>
      <c r="AB85" s="164"/>
      <c r="AC85" s="174"/>
      <c r="AD85" s="184"/>
      <c r="AE85" s="190" t="str">
        <f t="shared" si="33"/>
        <v/>
      </c>
      <c r="AF85" s="190" t="str">
        <f t="shared" si="34"/>
        <v/>
      </c>
      <c r="AG85" s="190" t="str">
        <f t="shared" si="23"/>
        <v>D</v>
      </c>
      <c r="AH85" s="190">
        <f>IFERROR(VLOOKUP(Y85,SISP_Deflatores_e_INMs!B$4:F$49,3,FALSE),1)</f>
        <v>1</v>
      </c>
      <c r="AI85" s="190">
        <f>IFERROR(VLOOKUP(Y85,SISP_Deflatores_e_INMs!B$4:G$49,5,FALSE),1)</f>
        <v>1</v>
      </c>
      <c r="AJ85" s="191" t="str">
        <f t="shared" si="35"/>
        <v/>
      </c>
      <c r="AK85" s="237" t="str">
        <f t="shared" si="24"/>
        <v/>
      </c>
      <c r="AL85" s="237" t="str">
        <f t="shared" si="36"/>
        <v/>
      </c>
      <c r="AM85" s="192" t="e">
        <f t="shared" si="25"/>
        <v>#VALUE!</v>
      </c>
      <c r="AN85" s="193" t="e">
        <f t="shared" si="26"/>
        <v>#VALUE!</v>
      </c>
      <c r="AO85" s="193" t="e">
        <f t="shared" si="27"/>
        <v>#VALUE!</v>
      </c>
      <c r="AP85" s="193"/>
      <c r="AQ85" s="204"/>
      <c r="AR85" s="204"/>
      <c r="AS85" s="204"/>
      <c r="AT85" s="205"/>
      <c r="AU85"/>
    </row>
    <row r="86" spans="2:47" ht="15" customHeight="1" x14ac:dyDescent="0.25">
      <c r="B86" s="206"/>
      <c r="C86" s="185"/>
      <c r="D86" s="164"/>
      <c r="E86" s="174"/>
      <c r="F86" s="164"/>
      <c r="G86" s="174"/>
      <c r="H86" s="164"/>
      <c r="I86" s="174"/>
      <c r="J86" s="184"/>
      <c r="K86" s="186"/>
      <c r="L86" s="187" t="str">
        <f t="shared" si="28"/>
        <v/>
      </c>
      <c r="M86" s="187" t="str">
        <f t="shared" si="29"/>
        <v/>
      </c>
      <c r="N86" s="187" t="str">
        <f t="shared" si="21"/>
        <v>D</v>
      </c>
      <c r="O86" s="187" t="str">
        <f t="shared" si="30"/>
        <v>D</v>
      </c>
      <c r="P86" s="187">
        <f t="shared" si="31"/>
        <v>1</v>
      </c>
      <c r="Q86" s="187">
        <f>IFERROR(VLOOKUP(E86,Tabela_Deflator:E$43,5,FALSE),1)</f>
        <v>1</v>
      </c>
      <c r="R86" s="188" t="str">
        <f t="shared" si="32"/>
        <v/>
      </c>
      <c r="S86" s="237" t="str">
        <f t="shared" si="22"/>
        <v/>
      </c>
      <c r="T86" s="237" t="str">
        <f t="shared" si="37"/>
        <v/>
      </c>
      <c r="U86" s="189"/>
      <c r="V86" s="167"/>
      <c r="W86" s="165"/>
      <c r="X86" s="164"/>
      <c r="Y86" s="164"/>
      <c r="Z86" s="164"/>
      <c r="AA86" s="174"/>
      <c r="AB86" s="164"/>
      <c r="AC86" s="174"/>
      <c r="AD86" s="184"/>
      <c r="AE86" s="190" t="str">
        <f t="shared" si="33"/>
        <v/>
      </c>
      <c r="AF86" s="190" t="str">
        <f t="shared" si="34"/>
        <v/>
      </c>
      <c r="AG86" s="190" t="str">
        <f t="shared" si="23"/>
        <v>D</v>
      </c>
      <c r="AH86" s="190">
        <f>IFERROR(VLOOKUP(Y86,SISP_Deflatores_e_INMs!B$4:F$49,3,FALSE),1)</f>
        <v>1</v>
      </c>
      <c r="AI86" s="190">
        <f>IFERROR(VLOOKUP(Y86,SISP_Deflatores_e_INMs!B$4:G$49,5,FALSE),1)</f>
        <v>1</v>
      </c>
      <c r="AJ86" s="191" t="str">
        <f t="shared" si="35"/>
        <v/>
      </c>
      <c r="AK86" s="237" t="str">
        <f t="shared" si="24"/>
        <v/>
      </c>
      <c r="AL86" s="237" t="str">
        <f t="shared" si="36"/>
        <v/>
      </c>
      <c r="AM86" s="192" t="e">
        <f t="shared" si="25"/>
        <v>#VALUE!</v>
      </c>
      <c r="AN86" s="193" t="e">
        <f t="shared" si="26"/>
        <v>#VALUE!</v>
      </c>
      <c r="AO86" s="193" t="e">
        <f t="shared" si="27"/>
        <v>#VALUE!</v>
      </c>
      <c r="AP86" s="193"/>
      <c r="AQ86" s="204"/>
      <c r="AR86" s="204"/>
      <c r="AS86" s="204"/>
      <c r="AT86" s="205"/>
      <c r="AU86"/>
    </row>
    <row r="87" spans="2:47" ht="15" customHeight="1" x14ac:dyDescent="0.25">
      <c r="B87" s="206"/>
      <c r="C87" s="185"/>
      <c r="D87" s="164"/>
      <c r="E87" s="174"/>
      <c r="F87" s="164"/>
      <c r="G87" s="174"/>
      <c r="H87" s="164"/>
      <c r="I87" s="174"/>
      <c r="J87" s="184"/>
      <c r="K87" s="186"/>
      <c r="L87" s="187" t="str">
        <f t="shared" si="28"/>
        <v/>
      </c>
      <c r="M87" s="187" t="str">
        <f t="shared" si="29"/>
        <v/>
      </c>
      <c r="N87" s="187" t="str">
        <f t="shared" si="21"/>
        <v>D</v>
      </c>
      <c r="O87" s="187" t="str">
        <f t="shared" si="30"/>
        <v>D</v>
      </c>
      <c r="P87" s="187">
        <f t="shared" si="31"/>
        <v>1</v>
      </c>
      <c r="Q87" s="187">
        <f>IFERROR(VLOOKUP(E87,Tabela_Deflator:E$43,5,FALSE),1)</f>
        <v>1</v>
      </c>
      <c r="R87" s="188" t="str">
        <f t="shared" si="32"/>
        <v/>
      </c>
      <c r="S87" s="237" t="str">
        <f t="shared" si="22"/>
        <v/>
      </c>
      <c r="T87" s="237" t="str">
        <f t="shared" si="37"/>
        <v/>
      </c>
      <c r="U87" s="189"/>
      <c r="V87" s="167"/>
      <c r="W87" s="165"/>
      <c r="X87" s="164"/>
      <c r="Y87" s="164"/>
      <c r="Z87" s="164"/>
      <c r="AA87" s="174"/>
      <c r="AB87" s="164"/>
      <c r="AC87" s="174"/>
      <c r="AD87" s="184"/>
      <c r="AE87" s="190" t="str">
        <f t="shared" si="33"/>
        <v/>
      </c>
      <c r="AF87" s="190" t="str">
        <f t="shared" si="34"/>
        <v/>
      </c>
      <c r="AG87" s="190" t="str">
        <f t="shared" si="23"/>
        <v>D</v>
      </c>
      <c r="AH87" s="190">
        <f>IFERROR(VLOOKUP(Y87,SISP_Deflatores_e_INMs!B$4:F$49,3,FALSE),1)</f>
        <v>1</v>
      </c>
      <c r="AI87" s="190">
        <f>IFERROR(VLOOKUP(Y87,SISP_Deflatores_e_INMs!B$4:G$49,5,FALSE),1)</f>
        <v>1</v>
      </c>
      <c r="AJ87" s="191" t="str">
        <f t="shared" si="35"/>
        <v/>
      </c>
      <c r="AK87" s="237" t="str">
        <f t="shared" si="24"/>
        <v/>
      </c>
      <c r="AL87" s="237" t="str">
        <f t="shared" si="36"/>
        <v/>
      </c>
      <c r="AM87" s="192" t="e">
        <f t="shared" si="25"/>
        <v>#VALUE!</v>
      </c>
      <c r="AN87" s="193" t="e">
        <f t="shared" si="26"/>
        <v>#VALUE!</v>
      </c>
      <c r="AO87" s="193" t="e">
        <f t="shared" si="27"/>
        <v>#VALUE!</v>
      </c>
      <c r="AP87" s="193"/>
      <c r="AQ87" s="204"/>
      <c r="AR87" s="204"/>
      <c r="AS87" s="204"/>
      <c r="AT87" s="205"/>
      <c r="AU87"/>
    </row>
    <row r="88" spans="2:47" ht="15" customHeight="1" x14ac:dyDescent="0.25">
      <c r="B88" s="206"/>
      <c r="C88" s="185"/>
      <c r="D88" s="164"/>
      <c r="E88" s="174"/>
      <c r="F88" s="164"/>
      <c r="G88" s="174"/>
      <c r="H88" s="164"/>
      <c r="I88" s="174"/>
      <c r="J88" s="184"/>
      <c r="K88" s="186"/>
      <c r="L88" s="187" t="str">
        <f t="shared" si="28"/>
        <v/>
      </c>
      <c r="M88" s="187" t="str">
        <f t="shared" si="29"/>
        <v/>
      </c>
      <c r="N88" s="187" t="str">
        <f t="shared" si="21"/>
        <v>D</v>
      </c>
      <c r="O88" s="187" t="str">
        <f t="shared" si="30"/>
        <v>D</v>
      </c>
      <c r="P88" s="187">
        <f t="shared" si="31"/>
        <v>1</v>
      </c>
      <c r="Q88" s="187">
        <f>IFERROR(VLOOKUP(E88,Tabela_Deflator:E$43,5,FALSE),1)</f>
        <v>1</v>
      </c>
      <c r="R88" s="188" t="str">
        <f t="shared" si="32"/>
        <v/>
      </c>
      <c r="S88" s="237" t="str">
        <f t="shared" si="22"/>
        <v/>
      </c>
      <c r="T88" s="237" t="str">
        <f t="shared" si="37"/>
        <v/>
      </c>
      <c r="U88" s="189"/>
      <c r="V88" s="167"/>
      <c r="W88" s="165"/>
      <c r="X88" s="164"/>
      <c r="Y88" s="164"/>
      <c r="Z88" s="164"/>
      <c r="AA88" s="174"/>
      <c r="AB88" s="164"/>
      <c r="AC88" s="174"/>
      <c r="AD88" s="184"/>
      <c r="AE88" s="190" t="str">
        <f t="shared" si="33"/>
        <v/>
      </c>
      <c r="AF88" s="190" t="str">
        <f t="shared" si="34"/>
        <v/>
      </c>
      <c r="AG88" s="190" t="str">
        <f t="shared" si="23"/>
        <v>D</v>
      </c>
      <c r="AH88" s="190">
        <f>IFERROR(VLOOKUP(Y88,SISP_Deflatores_e_INMs!B$4:F$49,3,FALSE),1)</f>
        <v>1</v>
      </c>
      <c r="AI88" s="190">
        <f>IFERROR(VLOOKUP(Y88,SISP_Deflatores_e_INMs!B$4:G$49,5,FALSE),1)</f>
        <v>1</v>
      </c>
      <c r="AJ88" s="191" t="str">
        <f t="shared" si="35"/>
        <v/>
      </c>
      <c r="AK88" s="237" t="str">
        <f t="shared" si="24"/>
        <v/>
      </c>
      <c r="AL88" s="237" t="str">
        <f t="shared" si="36"/>
        <v/>
      </c>
      <c r="AM88" s="192" t="e">
        <f t="shared" si="25"/>
        <v>#VALUE!</v>
      </c>
      <c r="AN88" s="193" t="e">
        <f t="shared" si="26"/>
        <v>#VALUE!</v>
      </c>
      <c r="AO88" s="193" t="e">
        <f t="shared" si="27"/>
        <v>#VALUE!</v>
      </c>
      <c r="AP88" s="193"/>
      <c r="AQ88" s="204"/>
      <c r="AR88" s="204"/>
      <c r="AS88" s="204"/>
      <c r="AT88" s="205"/>
      <c r="AU88"/>
    </row>
    <row r="89" spans="2:47" ht="15" customHeight="1" x14ac:dyDescent="0.25">
      <c r="B89" s="206"/>
      <c r="C89" s="185"/>
      <c r="D89" s="164"/>
      <c r="E89" s="174"/>
      <c r="F89" s="164"/>
      <c r="G89" s="174"/>
      <c r="H89" s="164"/>
      <c r="I89" s="174"/>
      <c r="J89" s="184"/>
      <c r="K89" s="186"/>
      <c r="L89" s="187" t="str">
        <f t="shared" si="28"/>
        <v/>
      </c>
      <c r="M89" s="187" t="str">
        <f t="shared" si="29"/>
        <v/>
      </c>
      <c r="N89" s="187" t="str">
        <f t="shared" si="21"/>
        <v>D</v>
      </c>
      <c r="O89" s="187" t="str">
        <f t="shared" si="30"/>
        <v>D</v>
      </c>
      <c r="P89" s="187">
        <f t="shared" si="31"/>
        <v>1</v>
      </c>
      <c r="Q89" s="187">
        <f>IFERROR(VLOOKUP(E89,Tabela_Deflator:E$43,5,FALSE),1)</f>
        <v>1</v>
      </c>
      <c r="R89" s="188" t="str">
        <f t="shared" si="32"/>
        <v/>
      </c>
      <c r="S89" s="237" t="str">
        <f t="shared" si="22"/>
        <v/>
      </c>
      <c r="T89" s="237" t="str">
        <f t="shared" si="37"/>
        <v/>
      </c>
      <c r="U89" s="189"/>
      <c r="V89" s="167"/>
      <c r="W89" s="165"/>
      <c r="X89" s="164"/>
      <c r="Y89" s="164"/>
      <c r="Z89" s="164"/>
      <c r="AA89" s="174"/>
      <c r="AB89" s="164"/>
      <c r="AC89" s="174"/>
      <c r="AD89" s="184"/>
      <c r="AE89" s="190" t="str">
        <f t="shared" si="33"/>
        <v/>
      </c>
      <c r="AF89" s="190" t="str">
        <f t="shared" si="34"/>
        <v/>
      </c>
      <c r="AG89" s="190" t="str">
        <f t="shared" si="23"/>
        <v>D</v>
      </c>
      <c r="AH89" s="190">
        <f>IFERROR(VLOOKUP(Y89,SISP_Deflatores_e_INMs!B$4:F$49,3,FALSE),1)</f>
        <v>1</v>
      </c>
      <c r="AI89" s="190">
        <f>IFERROR(VLOOKUP(Y89,SISP_Deflatores_e_INMs!B$4:G$49,5,FALSE),1)</f>
        <v>1</v>
      </c>
      <c r="AJ89" s="191" t="str">
        <f t="shared" si="35"/>
        <v/>
      </c>
      <c r="AK89" s="237" t="str">
        <f t="shared" si="24"/>
        <v/>
      </c>
      <c r="AL89" s="237" t="str">
        <f t="shared" si="36"/>
        <v/>
      </c>
      <c r="AM89" s="192" t="e">
        <f t="shared" si="25"/>
        <v>#VALUE!</v>
      </c>
      <c r="AN89" s="193" t="e">
        <f t="shared" si="26"/>
        <v>#VALUE!</v>
      </c>
      <c r="AO89" s="193" t="e">
        <f t="shared" si="27"/>
        <v>#VALUE!</v>
      </c>
      <c r="AP89" s="193"/>
      <c r="AQ89" s="204"/>
      <c r="AR89" s="204"/>
      <c r="AS89" s="204"/>
      <c r="AT89" s="205"/>
      <c r="AU89"/>
    </row>
    <row r="90" spans="2:47" ht="15" customHeight="1" x14ac:dyDescent="0.25">
      <c r="B90" s="206"/>
      <c r="C90" s="185"/>
      <c r="D90" s="164"/>
      <c r="E90" s="174"/>
      <c r="F90" s="164"/>
      <c r="G90" s="174"/>
      <c r="H90" s="164"/>
      <c r="I90" s="174"/>
      <c r="J90" s="184"/>
      <c r="K90" s="186"/>
      <c r="L90" s="187" t="str">
        <f t="shared" si="28"/>
        <v/>
      </c>
      <c r="M90" s="187" t="str">
        <f t="shared" si="29"/>
        <v/>
      </c>
      <c r="N90" s="187" t="str">
        <f t="shared" si="21"/>
        <v>D</v>
      </c>
      <c r="O90" s="187" t="str">
        <f t="shared" si="30"/>
        <v>D</v>
      </c>
      <c r="P90" s="187">
        <f t="shared" si="31"/>
        <v>1</v>
      </c>
      <c r="Q90" s="187">
        <f>IFERROR(VLOOKUP(E90,Tabela_Deflator:E$43,5,FALSE),1)</f>
        <v>1</v>
      </c>
      <c r="R90" s="188" t="str">
        <f t="shared" si="32"/>
        <v/>
      </c>
      <c r="S90" s="237" t="str">
        <f t="shared" si="22"/>
        <v/>
      </c>
      <c r="T90" s="237" t="str">
        <f t="shared" si="37"/>
        <v/>
      </c>
      <c r="U90" s="189"/>
      <c r="V90" s="167"/>
      <c r="W90" s="165"/>
      <c r="X90" s="164"/>
      <c r="Y90" s="164"/>
      <c r="Z90" s="164"/>
      <c r="AA90" s="174"/>
      <c r="AB90" s="164"/>
      <c r="AC90" s="174"/>
      <c r="AD90" s="184"/>
      <c r="AE90" s="190" t="str">
        <f t="shared" si="33"/>
        <v/>
      </c>
      <c r="AF90" s="190" t="str">
        <f t="shared" si="34"/>
        <v/>
      </c>
      <c r="AG90" s="190" t="str">
        <f t="shared" si="23"/>
        <v>D</v>
      </c>
      <c r="AH90" s="190">
        <f>IFERROR(VLOOKUP(Y90,SISP_Deflatores_e_INMs!B$4:F$49,3,FALSE),1)</f>
        <v>1</v>
      </c>
      <c r="AI90" s="190">
        <f>IFERROR(VLOOKUP(Y90,SISP_Deflatores_e_INMs!B$4:G$49,5,FALSE),1)</f>
        <v>1</v>
      </c>
      <c r="AJ90" s="191" t="str">
        <f t="shared" si="35"/>
        <v/>
      </c>
      <c r="AK90" s="237" t="str">
        <f t="shared" si="24"/>
        <v/>
      </c>
      <c r="AL90" s="237" t="str">
        <f t="shared" si="36"/>
        <v/>
      </c>
      <c r="AM90" s="192" t="e">
        <f t="shared" si="25"/>
        <v>#VALUE!</v>
      </c>
      <c r="AN90" s="193" t="e">
        <f t="shared" si="26"/>
        <v>#VALUE!</v>
      </c>
      <c r="AO90" s="193" t="e">
        <f t="shared" si="27"/>
        <v>#VALUE!</v>
      </c>
      <c r="AP90" s="193"/>
      <c r="AQ90" s="204"/>
      <c r="AR90" s="204"/>
      <c r="AS90" s="204"/>
      <c r="AT90" s="205"/>
      <c r="AU90"/>
    </row>
    <row r="91" spans="2:47" ht="15" customHeight="1" x14ac:dyDescent="0.25">
      <c r="B91" s="206"/>
      <c r="C91" s="185"/>
      <c r="D91" s="164"/>
      <c r="E91" s="174"/>
      <c r="F91" s="164"/>
      <c r="G91" s="174"/>
      <c r="H91" s="164"/>
      <c r="I91" s="174"/>
      <c r="J91" s="184"/>
      <c r="K91" s="186"/>
      <c r="L91" s="187" t="str">
        <f t="shared" si="28"/>
        <v/>
      </c>
      <c r="M91" s="187" t="str">
        <f t="shared" si="29"/>
        <v/>
      </c>
      <c r="N91" s="187" t="str">
        <f t="shared" si="21"/>
        <v>D</v>
      </c>
      <c r="O91" s="187" t="str">
        <f t="shared" si="30"/>
        <v>D</v>
      </c>
      <c r="P91" s="187">
        <f t="shared" si="31"/>
        <v>1</v>
      </c>
      <c r="Q91" s="187">
        <f>IFERROR(VLOOKUP(E91,Tabela_Deflator:E$43,5,FALSE),1)</f>
        <v>1</v>
      </c>
      <c r="R91" s="188" t="str">
        <f t="shared" si="32"/>
        <v/>
      </c>
      <c r="S91" s="237" t="str">
        <f t="shared" si="22"/>
        <v/>
      </c>
      <c r="T91" s="237" t="str">
        <f t="shared" si="37"/>
        <v/>
      </c>
      <c r="U91" s="189"/>
      <c r="V91" s="167"/>
      <c r="W91" s="165"/>
      <c r="X91" s="164"/>
      <c r="Y91" s="164"/>
      <c r="Z91" s="164"/>
      <c r="AA91" s="174"/>
      <c r="AB91" s="164"/>
      <c r="AC91" s="174"/>
      <c r="AD91" s="184"/>
      <c r="AE91" s="190" t="str">
        <f t="shared" si="33"/>
        <v/>
      </c>
      <c r="AF91" s="190" t="str">
        <f t="shared" si="34"/>
        <v/>
      </c>
      <c r="AG91" s="190" t="str">
        <f t="shared" si="23"/>
        <v>D</v>
      </c>
      <c r="AH91" s="190">
        <f>IFERROR(VLOOKUP(Y91,SISP_Deflatores_e_INMs!B$4:F$49,3,FALSE),1)</f>
        <v>1</v>
      </c>
      <c r="AI91" s="190">
        <f>IFERROR(VLOOKUP(Y91,SISP_Deflatores_e_INMs!B$4:G$49,5,FALSE),1)</f>
        <v>1</v>
      </c>
      <c r="AJ91" s="191" t="str">
        <f t="shared" si="35"/>
        <v/>
      </c>
      <c r="AK91" s="237" t="str">
        <f t="shared" si="24"/>
        <v/>
      </c>
      <c r="AL91" s="237" t="str">
        <f t="shared" si="36"/>
        <v/>
      </c>
      <c r="AM91" s="192" t="e">
        <f t="shared" si="25"/>
        <v>#VALUE!</v>
      </c>
      <c r="AN91" s="193" t="e">
        <f t="shared" si="26"/>
        <v>#VALUE!</v>
      </c>
      <c r="AO91" s="193" t="e">
        <f t="shared" si="27"/>
        <v>#VALUE!</v>
      </c>
      <c r="AP91" s="193"/>
      <c r="AQ91" s="204"/>
      <c r="AR91" s="204"/>
      <c r="AS91" s="204"/>
      <c r="AT91" s="205"/>
      <c r="AU91"/>
    </row>
    <row r="92" spans="2:47" ht="15" customHeight="1" x14ac:dyDescent="0.25">
      <c r="B92" s="206"/>
      <c r="C92" s="185"/>
      <c r="D92" s="164"/>
      <c r="E92" s="174"/>
      <c r="F92" s="164"/>
      <c r="G92" s="174"/>
      <c r="H92" s="164"/>
      <c r="I92" s="174"/>
      <c r="J92" s="184"/>
      <c r="K92" s="186"/>
      <c r="L92" s="187" t="str">
        <f t="shared" si="28"/>
        <v/>
      </c>
      <c r="M92" s="187" t="str">
        <f t="shared" si="29"/>
        <v/>
      </c>
      <c r="N92" s="187" t="str">
        <f t="shared" si="21"/>
        <v>D</v>
      </c>
      <c r="O92" s="187" t="str">
        <f t="shared" si="30"/>
        <v>D</v>
      </c>
      <c r="P92" s="187">
        <f t="shared" si="31"/>
        <v>1</v>
      </c>
      <c r="Q92" s="187">
        <f>IFERROR(VLOOKUP(E92,Tabela_Deflator:E$43,5,FALSE),1)</f>
        <v>1</v>
      </c>
      <c r="R92" s="188" t="str">
        <f t="shared" si="32"/>
        <v/>
      </c>
      <c r="S92" s="237" t="str">
        <f t="shared" si="22"/>
        <v/>
      </c>
      <c r="T92" s="237" t="str">
        <f t="shared" si="37"/>
        <v/>
      </c>
      <c r="U92" s="189"/>
      <c r="V92" s="167"/>
      <c r="W92" s="165"/>
      <c r="X92" s="164"/>
      <c r="Y92" s="164"/>
      <c r="Z92" s="164"/>
      <c r="AA92" s="174"/>
      <c r="AB92" s="164"/>
      <c r="AC92" s="174"/>
      <c r="AD92" s="184"/>
      <c r="AE92" s="190" t="str">
        <f t="shared" si="33"/>
        <v/>
      </c>
      <c r="AF92" s="190" t="str">
        <f t="shared" si="34"/>
        <v/>
      </c>
      <c r="AG92" s="190" t="str">
        <f t="shared" si="23"/>
        <v>D</v>
      </c>
      <c r="AH92" s="190">
        <f>IFERROR(VLOOKUP(Y92,SISP_Deflatores_e_INMs!B$4:F$49,3,FALSE),1)</f>
        <v>1</v>
      </c>
      <c r="AI92" s="190">
        <f>IFERROR(VLOOKUP(Y92,SISP_Deflatores_e_INMs!B$4:G$49,5,FALSE),1)</f>
        <v>1</v>
      </c>
      <c r="AJ92" s="191" t="str">
        <f t="shared" si="35"/>
        <v/>
      </c>
      <c r="AK92" s="237" t="str">
        <f t="shared" si="24"/>
        <v/>
      </c>
      <c r="AL92" s="237" t="str">
        <f t="shared" si="36"/>
        <v/>
      </c>
      <c r="AM92" s="192" t="e">
        <f t="shared" si="25"/>
        <v>#VALUE!</v>
      </c>
      <c r="AN92" s="193" t="e">
        <f t="shared" si="26"/>
        <v>#VALUE!</v>
      </c>
      <c r="AO92" s="193" t="e">
        <f t="shared" si="27"/>
        <v>#VALUE!</v>
      </c>
      <c r="AP92" s="193"/>
      <c r="AQ92" s="204"/>
      <c r="AR92" s="204"/>
      <c r="AS92" s="204"/>
      <c r="AT92" s="205"/>
      <c r="AU92"/>
    </row>
    <row r="93" spans="2:47" ht="15" customHeight="1" x14ac:dyDescent="0.25">
      <c r="B93" s="206"/>
      <c r="C93" s="185"/>
      <c r="D93" s="164"/>
      <c r="E93" s="174"/>
      <c r="F93" s="164"/>
      <c r="G93" s="174"/>
      <c r="H93" s="164"/>
      <c r="I93" s="174"/>
      <c r="J93" s="184"/>
      <c r="K93" s="186"/>
      <c r="L93" s="187" t="str">
        <f t="shared" si="28"/>
        <v/>
      </c>
      <c r="M93" s="187" t="str">
        <f t="shared" si="29"/>
        <v/>
      </c>
      <c r="N93" s="187" t="str">
        <f t="shared" si="21"/>
        <v>D</v>
      </c>
      <c r="O93" s="187" t="str">
        <f t="shared" si="30"/>
        <v>D</v>
      </c>
      <c r="P93" s="187">
        <f t="shared" si="31"/>
        <v>1</v>
      </c>
      <c r="Q93" s="187">
        <f>IFERROR(VLOOKUP(E93,Tabela_Deflator:E$43,5,FALSE),1)</f>
        <v>1</v>
      </c>
      <c r="R93" s="188" t="str">
        <f t="shared" si="32"/>
        <v/>
      </c>
      <c r="S93" s="237" t="str">
        <f t="shared" si="22"/>
        <v/>
      </c>
      <c r="T93" s="237" t="str">
        <f t="shared" si="37"/>
        <v/>
      </c>
      <c r="U93" s="189"/>
      <c r="V93" s="167"/>
      <c r="W93" s="165"/>
      <c r="X93" s="164"/>
      <c r="Y93" s="164"/>
      <c r="Z93" s="164"/>
      <c r="AA93" s="174"/>
      <c r="AB93" s="164"/>
      <c r="AC93" s="174"/>
      <c r="AD93" s="184"/>
      <c r="AE93" s="190" t="str">
        <f t="shared" si="33"/>
        <v/>
      </c>
      <c r="AF93" s="190" t="str">
        <f t="shared" si="34"/>
        <v/>
      </c>
      <c r="AG93" s="190" t="str">
        <f t="shared" si="23"/>
        <v>D</v>
      </c>
      <c r="AH93" s="190">
        <f>IFERROR(VLOOKUP(Y93,SISP_Deflatores_e_INMs!B$4:F$49,3,FALSE),1)</f>
        <v>1</v>
      </c>
      <c r="AI93" s="190">
        <f>IFERROR(VLOOKUP(Y93,SISP_Deflatores_e_INMs!B$4:G$49,5,FALSE),1)</f>
        <v>1</v>
      </c>
      <c r="AJ93" s="191" t="str">
        <f t="shared" si="35"/>
        <v/>
      </c>
      <c r="AK93" s="237" t="str">
        <f t="shared" si="24"/>
        <v/>
      </c>
      <c r="AL93" s="237" t="str">
        <f t="shared" si="36"/>
        <v/>
      </c>
      <c r="AM93" s="192" t="e">
        <f t="shared" si="25"/>
        <v>#VALUE!</v>
      </c>
      <c r="AN93" s="193" t="e">
        <f t="shared" si="26"/>
        <v>#VALUE!</v>
      </c>
      <c r="AO93" s="193" t="e">
        <f t="shared" si="27"/>
        <v>#VALUE!</v>
      </c>
      <c r="AP93" s="193"/>
      <c r="AQ93" s="204"/>
      <c r="AR93" s="204"/>
      <c r="AS93" s="204"/>
      <c r="AT93" s="205"/>
      <c r="AU93"/>
    </row>
    <row r="94" spans="2:47" ht="15" customHeight="1" x14ac:dyDescent="0.25">
      <c r="B94" s="206"/>
      <c r="C94" s="185"/>
      <c r="D94" s="164"/>
      <c r="E94" s="174"/>
      <c r="F94" s="164"/>
      <c r="G94" s="174"/>
      <c r="H94" s="164"/>
      <c r="I94" s="174"/>
      <c r="J94" s="184"/>
      <c r="K94" s="186"/>
      <c r="L94" s="187" t="str">
        <f t="shared" si="28"/>
        <v/>
      </c>
      <c r="M94" s="187" t="str">
        <f t="shared" si="29"/>
        <v/>
      </c>
      <c r="N94" s="187" t="str">
        <f t="shared" si="21"/>
        <v>D</v>
      </c>
      <c r="O94" s="187" t="str">
        <f t="shared" si="30"/>
        <v>D</v>
      </c>
      <c r="P94" s="187">
        <f t="shared" si="31"/>
        <v>1</v>
      </c>
      <c r="Q94" s="187">
        <f>IFERROR(VLOOKUP(E94,Tabela_Deflator:E$43,5,FALSE),1)</f>
        <v>1</v>
      </c>
      <c r="R94" s="188" t="str">
        <f t="shared" si="32"/>
        <v/>
      </c>
      <c r="S94" s="237" t="str">
        <f t="shared" si="22"/>
        <v/>
      </c>
      <c r="T94" s="237" t="str">
        <f t="shared" si="37"/>
        <v/>
      </c>
      <c r="U94" s="189"/>
      <c r="V94" s="167"/>
      <c r="W94" s="165"/>
      <c r="X94" s="164"/>
      <c r="Y94" s="164"/>
      <c r="Z94" s="164"/>
      <c r="AA94" s="174"/>
      <c r="AB94" s="164"/>
      <c r="AC94" s="174"/>
      <c r="AD94" s="184"/>
      <c r="AE94" s="190" t="str">
        <f t="shared" si="33"/>
        <v/>
      </c>
      <c r="AF94" s="190" t="str">
        <f t="shared" si="34"/>
        <v/>
      </c>
      <c r="AG94" s="190" t="str">
        <f t="shared" si="23"/>
        <v>D</v>
      </c>
      <c r="AH94" s="190">
        <f>IFERROR(VLOOKUP(Y94,SISP_Deflatores_e_INMs!B$4:F$49,3,FALSE),1)</f>
        <v>1</v>
      </c>
      <c r="AI94" s="190">
        <f>IFERROR(VLOOKUP(Y94,SISP_Deflatores_e_INMs!B$4:G$49,5,FALSE),1)</f>
        <v>1</v>
      </c>
      <c r="AJ94" s="191" t="str">
        <f t="shared" si="35"/>
        <v/>
      </c>
      <c r="AK94" s="237" t="str">
        <f t="shared" si="24"/>
        <v/>
      </c>
      <c r="AL94" s="237" t="str">
        <f t="shared" si="36"/>
        <v/>
      </c>
      <c r="AM94" s="192" t="e">
        <f t="shared" si="25"/>
        <v>#VALUE!</v>
      </c>
      <c r="AN94" s="193" t="e">
        <f t="shared" si="26"/>
        <v>#VALUE!</v>
      </c>
      <c r="AO94" s="193" t="e">
        <f t="shared" si="27"/>
        <v>#VALUE!</v>
      </c>
      <c r="AP94" s="193"/>
      <c r="AQ94" s="204"/>
      <c r="AR94" s="204"/>
      <c r="AS94" s="204"/>
      <c r="AT94" s="205"/>
      <c r="AU94"/>
    </row>
    <row r="95" spans="2:47" ht="15" customHeight="1" x14ac:dyDescent="0.25">
      <c r="B95" s="206"/>
      <c r="C95" s="185"/>
      <c r="D95" s="164"/>
      <c r="E95" s="174"/>
      <c r="F95" s="164"/>
      <c r="G95" s="174"/>
      <c r="H95" s="164"/>
      <c r="I95" s="174"/>
      <c r="J95" s="184"/>
      <c r="K95" s="186"/>
      <c r="L95" s="187" t="str">
        <f t="shared" si="28"/>
        <v/>
      </c>
      <c r="M95" s="187" t="str">
        <f t="shared" si="29"/>
        <v/>
      </c>
      <c r="N95" s="187" t="str">
        <f t="shared" si="21"/>
        <v>D</v>
      </c>
      <c r="O95" s="187" t="str">
        <f t="shared" si="30"/>
        <v>D</v>
      </c>
      <c r="P95" s="187">
        <f t="shared" si="31"/>
        <v>1</v>
      </c>
      <c r="Q95" s="187">
        <f>IFERROR(VLOOKUP(E95,Tabela_Deflator:E$43,5,FALSE),1)</f>
        <v>1</v>
      </c>
      <c r="R95" s="188" t="str">
        <f t="shared" si="32"/>
        <v/>
      </c>
      <c r="S95" s="237" t="str">
        <f t="shared" si="22"/>
        <v/>
      </c>
      <c r="T95" s="237" t="str">
        <f t="shared" si="37"/>
        <v/>
      </c>
      <c r="U95" s="189"/>
      <c r="V95" s="167"/>
      <c r="W95" s="165"/>
      <c r="X95" s="164"/>
      <c r="Y95" s="164"/>
      <c r="Z95" s="164"/>
      <c r="AA95" s="174"/>
      <c r="AB95" s="164"/>
      <c r="AC95" s="174"/>
      <c r="AD95" s="184"/>
      <c r="AE95" s="190" t="str">
        <f t="shared" si="33"/>
        <v/>
      </c>
      <c r="AF95" s="190" t="str">
        <f t="shared" si="34"/>
        <v/>
      </c>
      <c r="AG95" s="190" t="str">
        <f t="shared" si="23"/>
        <v>D</v>
      </c>
      <c r="AH95" s="190">
        <f>IFERROR(VLOOKUP(Y95,SISP_Deflatores_e_INMs!B$4:F$49,3,FALSE),1)</f>
        <v>1</v>
      </c>
      <c r="AI95" s="190">
        <f>IFERROR(VLOOKUP(Y95,SISP_Deflatores_e_INMs!B$4:G$49,5,FALSE),1)</f>
        <v>1</v>
      </c>
      <c r="AJ95" s="191" t="str">
        <f t="shared" si="35"/>
        <v/>
      </c>
      <c r="AK95" s="237" t="str">
        <f t="shared" si="24"/>
        <v/>
      </c>
      <c r="AL95" s="237" t="str">
        <f t="shared" si="36"/>
        <v/>
      </c>
      <c r="AM95" s="192" t="e">
        <f t="shared" si="25"/>
        <v>#VALUE!</v>
      </c>
      <c r="AN95" s="193" t="e">
        <f t="shared" si="26"/>
        <v>#VALUE!</v>
      </c>
      <c r="AO95" s="193" t="e">
        <f t="shared" si="27"/>
        <v>#VALUE!</v>
      </c>
      <c r="AP95" s="193"/>
      <c r="AQ95" s="204"/>
      <c r="AR95" s="204"/>
      <c r="AS95" s="204"/>
      <c r="AT95" s="205"/>
      <c r="AU95"/>
    </row>
    <row r="96" spans="2:47" ht="15" customHeight="1" x14ac:dyDescent="0.25">
      <c r="B96" s="206"/>
      <c r="C96" s="185"/>
      <c r="D96" s="164"/>
      <c r="E96" s="174"/>
      <c r="F96" s="164"/>
      <c r="G96" s="174"/>
      <c r="H96" s="164"/>
      <c r="I96" s="174"/>
      <c r="J96" s="184"/>
      <c r="K96" s="186"/>
      <c r="L96" s="187" t="str">
        <f t="shared" si="28"/>
        <v/>
      </c>
      <c r="M96" s="187" t="str">
        <f t="shared" si="29"/>
        <v/>
      </c>
      <c r="N96" s="187" t="str">
        <f t="shared" si="21"/>
        <v>D</v>
      </c>
      <c r="O96" s="187" t="str">
        <f t="shared" si="30"/>
        <v>D</v>
      </c>
      <c r="P96" s="187">
        <f t="shared" si="31"/>
        <v>1</v>
      </c>
      <c r="Q96" s="187">
        <f>IFERROR(VLOOKUP(E96,Tabela_Deflator:E$43,5,FALSE),1)</f>
        <v>1</v>
      </c>
      <c r="R96" s="188" t="str">
        <f t="shared" si="32"/>
        <v/>
      </c>
      <c r="S96" s="237" t="str">
        <f t="shared" si="22"/>
        <v/>
      </c>
      <c r="T96" s="237" t="str">
        <f t="shared" si="37"/>
        <v/>
      </c>
      <c r="U96" s="189"/>
      <c r="V96" s="167"/>
      <c r="W96" s="165"/>
      <c r="X96" s="164"/>
      <c r="Y96" s="164"/>
      <c r="Z96" s="164"/>
      <c r="AA96" s="174"/>
      <c r="AB96" s="164"/>
      <c r="AC96" s="174"/>
      <c r="AD96" s="184"/>
      <c r="AE96" s="190" t="str">
        <f t="shared" si="33"/>
        <v/>
      </c>
      <c r="AF96" s="190" t="str">
        <f t="shared" si="34"/>
        <v/>
      </c>
      <c r="AG96" s="190" t="str">
        <f t="shared" si="23"/>
        <v>D</v>
      </c>
      <c r="AH96" s="190">
        <f>IFERROR(VLOOKUP(Y96,SISP_Deflatores_e_INMs!B$4:F$49,3,FALSE),1)</f>
        <v>1</v>
      </c>
      <c r="AI96" s="190">
        <f>IFERROR(VLOOKUP(Y96,SISP_Deflatores_e_INMs!B$4:G$49,5,FALSE),1)</f>
        <v>1</v>
      </c>
      <c r="AJ96" s="191" t="str">
        <f t="shared" si="35"/>
        <v/>
      </c>
      <c r="AK96" s="237" t="str">
        <f t="shared" si="24"/>
        <v/>
      </c>
      <c r="AL96" s="237" t="str">
        <f t="shared" si="36"/>
        <v/>
      </c>
      <c r="AM96" s="192" t="e">
        <f t="shared" si="25"/>
        <v>#VALUE!</v>
      </c>
      <c r="AN96" s="193" t="e">
        <f t="shared" si="26"/>
        <v>#VALUE!</v>
      </c>
      <c r="AO96" s="193" t="e">
        <f t="shared" si="27"/>
        <v>#VALUE!</v>
      </c>
      <c r="AP96" s="193"/>
      <c r="AQ96" s="204"/>
      <c r="AR96" s="204"/>
      <c r="AS96" s="204"/>
      <c r="AT96" s="205"/>
      <c r="AU96"/>
    </row>
    <row r="97" spans="2:47" ht="15" customHeight="1" x14ac:dyDescent="0.25">
      <c r="B97" s="206"/>
      <c r="C97" s="185"/>
      <c r="D97" s="164"/>
      <c r="E97" s="174"/>
      <c r="F97" s="164"/>
      <c r="G97" s="174"/>
      <c r="H97" s="164"/>
      <c r="I97" s="174"/>
      <c r="J97" s="184"/>
      <c r="K97" s="186"/>
      <c r="L97" s="187" t="str">
        <f t="shared" si="28"/>
        <v/>
      </c>
      <c r="M97" s="187" t="str">
        <f t="shared" si="29"/>
        <v/>
      </c>
      <c r="N97" s="187" t="str">
        <f t="shared" si="21"/>
        <v>D</v>
      </c>
      <c r="O97" s="187" t="str">
        <f t="shared" si="30"/>
        <v>D</v>
      </c>
      <c r="P97" s="187">
        <f t="shared" si="31"/>
        <v>1</v>
      </c>
      <c r="Q97" s="187">
        <f>IFERROR(VLOOKUP(E97,Tabela_Deflator:E$43,5,FALSE),1)</f>
        <v>1</v>
      </c>
      <c r="R97" s="188" t="str">
        <f t="shared" si="32"/>
        <v/>
      </c>
      <c r="S97" s="237" t="str">
        <f t="shared" si="22"/>
        <v/>
      </c>
      <c r="T97" s="237" t="str">
        <f t="shared" si="37"/>
        <v/>
      </c>
      <c r="U97" s="189"/>
      <c r="V97" s="167"/>
      <c r="W97" s="165"/>
      <c r="X97" s="164"/>
      <c r="Y97" s="164"/>
      <c r="Z97" s="164"/>
      <c r="AA97" s="174"/>
      <c r="AB97" s="164"/>
      <c r="AC97" s="174"/>
      <c r="AD97" s="184"/>
      <c r="AE97" s="190" t="str">
        <f t="shared" si="33"/>
        <v/>
      </c>
      <c r="AF97" s="190" t="str">
        <f t="shared" si="34"/>
        <v/>
      </c>
      <c r="AG97" s="190" t="str">
        <f t="shared" si="23"/>
        <v>D</v>
      </c>
      <c r="AH97" s="190">
        <f>IFERROR(VLOOKUP(Y97,SISP_Deflatores_e_INMs!B$4:F$49,3,FALSE),1)</f>
        <v>1</v>
      </c>
      <c r="AI97" s="190">
        <f>IFERROR(VLOOKUP(Y97,SISP_Deflatores_e_INMs!B$4:G$49,5,FALSE),1)</f>
        <v>1</v>
      </c>
      <c r="AJ97" s="191" t="str">
        <f t="shared" si="35"/>
        <v/>
      </c>
      <c r="AK97" s="237" t="str">
        <f t="shared" si="24"/>
        <v/>
      </c>
      <c r="AL97" s="237" t="str">
        <f t="shared" si="36"/>
        <v/>
      </c>
      <c r="AM97" s="192" t="e">
        <f t="shared" si="25"/>
        <v>#VALUE!</v>
      </c>
      <c r="AN97" s="193" t="e">
        <f t="shared" si="26"/>
        <v>#VALUE!</v>
      </c>
      <c r="AO97" s="193" t="e">
        <f t="shared" si="27"/>
        <v>#VALUE!</v>
      </c>
      <c r="AP97" s="193"/>
      <c r="AQ97" s="204"/>
      <c r="AR97" s="204"/>
      <c r="AS97" s="204"/>
      <c r="AT97" s="205"/>
      <c r="AU97"/>
    </row>
    <row r="98" spans="2:47" ht="15" customHeight="1" x14ac:dyDescent="0.25">
      <c r="B98" s="206"/>
      <c r="C98" s="185"/>
      <c r="D98" s="164"/>
      <c r="E98" s="174"/>
      <c r="F98" s="164"/>
      <c r="G98" s="174"/>
      <c r="H98" s="164"/>
      <c r="I98" s="174"/>
      <c r="J98" s="184"/>
      <c r="K98" s="186"/>
      <c r="L98" s="187" t="str">
        <f t="shared" si="28"/>
        <v/>
      </c>
      <c r="M98" s="187" t="str">
        <f t="shared" si="29"/>
        <v/>
      </c>
      <c r="N98" s="187" t="str">
        <f t="shared" si="21"/>
        <v>D</v>
      </c>
      <c r="O98" s="187" t="str">
        <f t="shared" si="30"/>
        <v>D</v>
      </c>
      <c r="P98" s="187">
        <f t="shared" si="31"/>
        <v>1</v>
      </c>
      <c r="Q98" s="187">
        <f>IFERROR(VLOOKUP(E98,Tabela_Deflator:E$43,5,FALSE),1)</f>
        <v>1</v>
      </c>
      <c r="R98" s="188" t="str">
        <f t="shared" si="32"/>
        <v/>
      </c>
      <c r="S98" s="237" t="str">
        <f t="shared" si="22"/>
        <v/>
      </c>
      <c r="T98" s="237" t="str">
        <f t="shared" si="37"/>
        <v/>
      </c>
      <c r="U98" s="189"/>
      <c r="V98" s="167"/>
      <c r="W98" s="165"/>
      <c r="X98" s="164"/>
      <c r="Y98" s="164"/>
      <c r="Z98" s="164"/>
      <c r="AA98" s="174"/>
      <c r="AB98" s="164"/>
      <c r="AC98" s="174"/>
      <c r="AD98" s="184"/>
      <c r="AE98" s="190" t="str">
        <f t="shared" si="33"/>
        <v/>
      </c>
      <c r="AF98" s="190" t="str">
        <f t="shared" si="34"/>
        <v/>
      </c>
      <c r="AG98" s="190" t="str">
        <f t="shared" si="23"/>
        <v>D</v>
      </c>
      <c r="AH98" s="190">
        <f>IFERROR(VLOOKUP(Y98,SISP_Deflatores_e_INMs!B$4:F$49,3,FALSE),1)</f>
        <v>1</v>
      </c>
      <c r="AI98" s="190">
        <f>IFERROR(VLOOKUP(Y98,SISP_Deflatores_e_INMs!B$4:G$49,5,FALSE),1)</f>
        <v>1</v>
      </c>
      <c r="AJ98" s="191" t="str">
        <f t="shared" si="35"/>
        <v/>
      </c>
      <c r="AK98" s="237" t="str">
        <f t="shared" si="24"/>
        <v/>
      </c>
      <c r="AL98" s="237" t="str">
        <f t="shared" si="36"/>
        <v/>
      </c>
      <c r="AM98" s="192" t="e">
        <f t="shared" si="25"/>
        <v>#VALUE!</v>
      </c>
      <c r="AN98" s="193" t="e">
        <f t="shared" si="26"/>
        <v>#VALUE!</v>
      </c>
      <c r="AO98" s="193" t="e">
        <f t="shared" si="27"/>
        <v>#VALUE!</v>
      </c>
      <c r="AP98" s="193"/>
      <c r="AQ98" s="204"/>
      <c r="AR98" s="204"/>
      <c r="AS98" s="204"/>
      <c r="AT98" s="205"/>
      <c r="AU98"/>
    </row>
    <row r="99" spans="2:47" ht="15" customHeight="1" x14ac:dyDescent="0.25">
      <c r="B99" s="206"/>
      <c r="C99" s="185"/>
      <c r="D99" s="164"/>
      <c r="E99" s="174"/>
      <c r="F99" s="164"/>
      <c r="G99" s="174"/>
      <c r="H99" s="164"/>
      <c r="I99" s="174"/>
      <c r="J99" s="184"/>
      <c r="K99" s="186"/>
      <c r="L99" s="187" t="str">
        <f t="shared" si="28"/>
        <v/>
      </c>
      <c r="M99" s="187" t="str">
        <f t="shared" si="29"/>
        <v/>
      </c>
      <c r="N99" s="187" t="str">
        <f t="shared" si="21"/>
        <v>D</v>
      </c>
      <c r="O99" s="187" t="str">
        <f t="shared" si="30"/>
        <v>D</v>
      </c>
      <c r="P99" s="187">
        <f t="shared" si="31"/>
        <v>1</v>
      </c>
      <c r="Q99" s="187">
        <f>IFERROR(VLOOKUP(E99,Tabela_Deflator:E$43,5,FALSE),1)</f>
        <v>1</v>
      </c>
      <c r="R99" s="188" t="str">
        <f t="shared" si="32"/>
        <v/>
      </c>
      <c r="S99" s="237" t="str">
        <f t="shared" si="22"/>
        <v/>
      </c>
      <c r="T99" s="237" t="str">
        <f t="shared" si="37"/>
        <v/>
      </c>
      <c r="U99" s="189"/>
      <c r="V99" s="167"/>
      <c r="W99" s="165"/>
      <c r="X99" s="164"/>
      <c r="Y99" s="164"/>
      <c r="Z99" s="164"/>
      <c r="AA99" s="174"/>
      <c r="AB99" s="164"/>
      <c r="AC99" s="174"/>
      <c r="AD99" s="184"/>
      <c r="AE99" s="190" t="str">
        <f t="shared" si="33"/>
        <v/>
      </c>
      <c r="AF99" s="190" t="str">
        <f t="shared" si="34"/>
        <v/>
      </c>
      <c r="AG99" s="190" t="str">
        <f t="shared" si="23"/>
        <v>D</v>
      </c>
      <c r="AH99" s="190">
        <f>IFERROR(VLOOKUP(Y99,SISP_Deflatores_e_INMs!B$4:F$49,3,FALSE),1)</f>
        <v>1</v>
      </c>
      <c r="AI99" s="190">
        <f>IFERROR(VLOOKUP(Y99,SISP_Deflatores_e_INMs!B$4:G$49,5,FALSE),1)</f>
        <v>1</v>
      </c>
      <c r="AJ99" s="191" t="str">
        <f t="shared" si="35"/>
        <v/>
      </c>
      <c r="AK99" s="237" t="str">
        <f t="shared" si="24"/>
        <v/>
      </c>
      <c r="AL99" s="237" t="str">
        <f t="shared" si="36"/>
        <v/>
      </c>
      <c r="AM99" s="192" t="e">
        <f t="shared" si="25"/>
        <v>#VALUE!</v>
      </c>
      <c r="AN99" s="193" t="e">
        <f t="shared" si="26"/>
        <v>#VALUE!</v>
      </c>
      <c r="AO99" s="193" t="e">
        <f t="shared" si="27"/>
        <v>#VALUE!</v>
      </c>
      <c r="AP99" s="193"/>
      <c r="AQ99" s="204"/>
      <c r="AR99" s="204"/>
      <c r="AS99" s="204"/>
      <c r="AT99" s="205"/>
      <c r="AU99"/>
    </row>
    <row r="100" spans="2:47" ht="15" customHeight="1" x14ac:dyDescent="0.25">
      <c r="B100" s="206"/>
      <c r="C100" s="185"/>
      <c r="D100" s="164"/>
      <c r="E100" s="174"/>
      <c r="F100" s="164"/>
      <c r="G100" s="174"/>
      <c r="H100" s="164"/>
      <c r="I100" s="174"/>
      <c r="J100" s="184"/>
      <c r="K100" s="186"/>
      <c r="L100" s="187" t="str">
        <f t="shared" si="28"/>
        <v/>
      </c>
      <c r="M100" s="187" t="str">
        <f t="shared" si="29"/>
        <v/>
      </c>
      <c r="N100" s="187" t="str">
        <f t="shared" si="21"/>
        <v>D</v>
      </c>
      <c r="O100" s="187" t="str">
        <f t="shared" si="30"/>
        <v>D</v>
      </c>
      <c r="P100" s="187">
        <f t="shared" si="31"/>
        <v>1</v>
      </c>
      <c r="Q100" s="187">
        <f>IFERROR(VLOOKUP(E100,Tabela_Deflator:E$43,5,FALSE),1)</f>
        <v>1</v>
      </c>
      <c r="R100" s="188" t="str">
        <f t="shared" si="32"/>
        <v/>
      </c>
      <c r="S100" s="237" t="str">
        <f t="shared" si="22"/>
        <v/>
      </c>
      <c r="T100" s="237" t="str">
        <f t="shared" si="37"/>
        <v/>
      </c>
      <c r="U100" s="189"/>
      <c r="V100" s="167"/>
      <c r="W100" s="165"/>
      <c r="X100" s="164"/>
      <c r="Y100" s="164"/>
      <c r="Z100" s="164"/>
      <c r="AA100" s="174"/>
      <c r="AB100" s="164"/>
      <c r="AC100" s="174"/>
      <c r="AD100" s="184"/>
      <c r="AE100" s="190" t="str">
        <f t="shared" si="33"/>
        <v/>
      </c>
      <c r="AF100" s="190" t="str">
        <f t="shared" si="34"/>
        <v/>
      </c>
      <c r="AG100" s="190" t="str">
        <f t="shared" si="23"/>
        <v>D</v>
      </c>
      <c r="AH100" s="190">
        <f>IFERROR(VLOOKUP(Y100,SISP_Deflatores_e_INMs!B$4:F$49,3,FALSE),1)</f>
        <v>1</v>
      </c>
      <c r="AI100" s="190">
        <f>IFERROR(VLOOKUP(Y100,SISP_Deflatores_e_INMs!B$4:G$49,5,FALSE),1)</f>
        <v>1</v>
      </c>
      <c r="AJ100" s="191" t="str">
        <f t="shared" si="35"/>
        <v/>
      </c>
      <c r="AK100" s="237" t="str">
        <f t="shared" si="24"/>
        <v/>
      </c>
      <c r="AL100" s="237" t="str">
        <f t="shared" si="36"/>
        <v/>
      </c>
      <c r="AM100" s="192" t="e">
        <f t="shared" si="25"/>
        <v>#VALUE!</v>
      </c>
      <c r="AN100" s="193" t="e">
        <f t="shared" si="26"/>
        <v>#VALUE!</v>
      </c>
      <c r="AO100" s="193" t="e">
        <f t="shared" si="27"/>
        <v>#VALUE!</v>
      </c>
      <c r="AP100" s="193"/>
      <c r="AQ100" s="204"/>
      <c r="AR100" s="204"/>
      <c r="AS100" s="204"/>
      <c r="AT100" s="205"/>
      <c r="AU100"/>
    </row>
    <row r="101" spans="2:47" ht="15" customHeight="1" x14ac:dyDescent="0.25">
      <c r="B101" s="206"/>
      <c r="C101" s="185"/>
      <c r="D101" s="164"/>
      <c r="E101" s="174"/>
      <c r="F101" s="164"/>
      <c r="G101" s="174"/>
      <c r="H101" s="164"/>
      <c r="I101" s="174"/>
      <c r="J101" s="184"/>
      <c r="K101" s="186"/>
      <c r="L101" s="187" t="str">
        <f t="shared" si="28"/>
        <v/>
      </c>
      <c r="M101" s="187" t="str">
        <f t="shared" si="29"/>
        <v/>
      </c>
      <c r="N101" s="187" t="str">
        <f t="shared" si="21"/>
        <v>D</v>
      </c>
      <c r="O101" s="187" t="str">
        <f t="shared" si="30"/>
        <v>D</v>
      </c>
      <c r="P101" s="187">
        <f t="shared" si="31"/>
        <v>1</v>
      </c>
      <c r="Q101" s="187">
        <f>IFERROR(VLOOKUP(E101,Tabela_Deflator:E$43,5,FALSE),1)</f>
        <v>1</v>
      </c>
      <c r="R101" s="188" t="str">
        <f t="shared" si="32"/>
        <v/>
      </c>
      <c r="S101" s="237" t="str">
        <f t="shared" si="22"/>
        <v/>
      </c>
      <c r="T101" s="237" t="str">
        <f t="shared" si="37"/>
        <v/>
      </c>
      <c r="U101" s="189"/>
      <c r="V101" s="167"/>
      <c r="W101" s="165"/>
      <c r="X101" s="164"/>
      <c r="Y101" s="164"/>
      <c r="Z101" s="164"/>
      <c r="AA101" s="174"/>
      <c r="AB101" s="164"/>
      <c r="AC101" s="174"/>
      <c r="AD101" s="184"/>
      <c r="AE101" s="190" t="str">
        <f t="shared" si="33"/>
        <v/>
      </c>
      <c r="AF101" s="190" t="str">
        <f t="shared" si="34"/>
        <v/>
      </c>
      <c r="AG101" s="190" t="str">
        <f t="shared" si="23"/>
        <v>D</v>
      </c>
      <c r="AH101" s="190">
        <f>IFERROR(VLOOKUP(Y101,SISP_Deflatores_e_INMs!B$4:F$49,3,FALSE),1)</f>
        <v>1</v>
      </c>
      <c r="AI101" s="190">
        <f>IFERROR(VLOOKUP(Y101,SISP_Deflatores_e_INMs!B$4:G$49,5,FALSE),1)</f>
        <v>1</v>
      </c>
      <c r="AJ101" s="191" t="str">
        <f t="shared" si="35"/>
        <v/>
      </c>
      <c r="AK101" s="237" t="str">
        <f t="shared" si="24"/>
        <v/>
      </c>
      <c r="AL101" s="237" t="str">
        <f t="shared" si="36"/>
        <v/>
      </c>
      <c r="AM101" s="192" t="e">
        <f t="shared" si="25"/>
        <v>#VALUE!</v>
      </c>
      <c r="AN101" s="193" t="e">
        <f t="shared" si="26"/>
        <v>#VALUE!</v>
      </c>
      <c r="AO101" s="193" t="e">
        <f t="shared" si="27"/>
        <v>#VALUE!</v>
      </c>
      <c r="AP101" s="193"/>
      <c r="AQ101" s="204"/>
      <c r="AR101" s="204"/>
      <c r="AS101" s="204"/>
      <c r="AT101" s="205"/>
      <c r="AU101"/>
    </row>
    <row r="102" spans="2:47" ht="15" customHeight="1" x14ac:dyDescent="0.25">
      <c r="B102" s="206"/>
      <c r="C102" s="185"/>
      <c r="D102" s="164"/>
      <c r="E102" s="174"/>
      <c r="F102" s="164"/>
      <c r="G102" s="174"/>
      <c r="H102" s="164"/>
      <c r="I102" s="174"/>
      <c r="J102" s="184"/>
      <c r="K102" s="186"/>
      <c r="L102" s="187" t="str">
        <f t="shared" si="28"/>
        <v/>
      </c>
      <c r="M102" s="187" t="str">
        <f t="shared" si="29"/>
        <v/>
      </c>
      <c r="N102" s="187" t="str">
        <f t="shared" si="21"/>
        <v>D</v>
      </c>
      <c r="O102" s="187" t="str">
        <f t="shared" si="30"/>
        <v>D</v>
      </c>
      <c r="P102" s="187">
        <f t="shared" si="31"/>
        <v>1</v>
      </c>
      <c r="Q102" s="187">
        <f>IFERROR(VLOOKUP(E102,Tabela_Deflator:E$43,5,FALSE),1)</f>
        <v>1</v>
      </c>
      <c r="R102" s="188" t="str">
        <f t="shared" si="32"/>
        <v/>
      </c>
      <c r="S102" s="237" t="str">
        <f t="shared" si="22"/>
        <v/>
      </c>
      <c r="T102" s="237" t="str">
        <f t="shared" si="37"/>
        <v/>
      </c>
      <c r="U102" s="189"/>
      <c r="V102" s="167"/>
      <c r="W102" s="165"/>
      <c r="X102" s="164"/>
      <c r="Y102" s="164"/>
      <c r="Z102" s="164"/>
      <c r="AA102" s="174"/>
      <c r="AB102" s="164"/>
      <c r="AC102" s="174"/>
      <c r="AD102" s="184"/>
      <c r="AE102" s="190" t="str">
        <f t="shared" si="33"/>
        <v/>
      </c>
      <c r="AF102" s="190" t="str">
        <f t="shared" si="34"/>
        <v/>
      </c>
      <c r="AG102" s="190" t="str">
        <f t="shared" si="23"/>
        <v>D</v>
      </c>
      <c r="AH102" s="190">
        <f>IFERROR(VLOOKUP(Y102,SISP_Deflatores_e_INMs!B$4:F$49,3,FALSE),1)</f>
        <v>1</v>
      </c>
      <c r="AI102" s="190">
        <f>IFERROR(VLOOKUP(Y102,SISP_Deflatores_e_INMs!B$4:G$49,5,FALSE),1)</f>
        <v>1</v>
      </c>
      <c r="AJ102" s="191" t="str">
        <f t="shared" si="35"/>
        <v/>
      </c>
      <c r="AK102" s="237" t="str">
        <f t="shared" si="24"/>
        <v/>
      </c>
      <c r="AL102" s="237" t="str">
        <f t="shared" si="36"/>
        <v/>
      </c>
      <c r="AM102" s="192" t="e">
        <f t="shared" si="25"/>
        <v>#VALUE!</v>
      </c>
      <c r="AN102" s="193" t="e">
        <f t="shared" si="26"/>
        <v>#VALUE!</v>
      </c>
      <c r="AO102" s="193" t="e">
        <f t="shared" si="27"/>
        <v>#VALUE!</v>
      </c>
      <c r="AP102" s="193"/>
      <c r="AQ102" s="204"/>
      <c r="AR102" s="204"/>
      <c r="AS102" s="204"/>
      <c r="AT102" s="205"/>
      <c r="AU102"/>
    </row>
    <row r="103" spans="2:47" ht="15" customHeight="1" x14ac:dyDescent="0.25">
      <c r="B103" s="206"/>
      <c r="C103" s="185"/>
      <c r="D103" s="164"/>
      <c r="E103" s="174"/>
      <c r="F103" s="164"/>
      <c r="G103" s="174"/>
      <c r="H103" s="164"/>
      <c r="I103" s="174"/>
      <c r="J103" s="184"/>
      <c r="K103" s="186"/>
      <c r="L103" s="187" t="str">
        <f t="shared" si="28"/>
        <v/>
      </c>
      <c r="M103" s="187" t="str">
        <f t="shared" si="29"/>
        <v/>
      </c>
      <c r="N103" s="187" t="str">
        <f t="shared" si="21"/>
        <v>D</v>
      </c>
      <c r="O103" s="187" t="str">
        <f t="shared" si="30"/>
        <v>D</v>
      </c>
      <c r="P103" s="187">
        <f t="shared" si="31"/>
        <v>1</v>
      </c>
      <c r="Q103" s="187">
        <f>IFERROR(VLOOKUP(E103,Tabela_Deflator:E$43,5,FALSE),1)</f>
        <v>1</v>
      </c>
      <c r="R103" s="188" t="str">
        <f t="shared" si="32"/>
        <v/>
      </c>
      <c r="S103" s="237" t="str">
        <f t="shared" si="22"/>
        <v/>
      </c>
      <c r="T103" s="237" t="str">
        <f t="shared" si="37"/>
        <v/>
      </c>
      <c r="U103" s="189"/>
      <c r="V103" s="167"/>
      <c r="W103" s="165"/>
      <c r="X103" s="164"/>
      <c r="Y103" s="164"/>
      <c r="Z103" s="164"/>
      <c r="AA103" s="174"/>
      <c r="AB103" s="164"/>
      <c r="AC103" s="174"/>
      <c r="AD103" s="184"/>
      <c r="AE103" s="190" t="str">
        <f t="shared" si="33"/>
        <v/>
      </c>
      <c r="AF103" s="190" t="str">
        <f t="shared" si="34"/>
        <v/>
      </c>
      <c r="AG103" s="190" t="str">
        <f t="shared" si="23"/>
        <v>D</v>
      </c>
      <c r="AH103" s="190">
        <f>IFERROR(VLOOKUP(Y103,SISP_Deflatores_e_INMs!B$4:F$49,3,FALSE),1)</f>
        <v>1</v>
      </c>
      <c r="AI103" s="190">
        <f>IFERROR(VLOOKUP(Y103,SISP_Deflatores_e_INMs!B$4:G$49,5,FALSE),1)</f>
        <v>1</v>
      </c>
      <c r="AJ103" s="191" t="str">
        <f t="shared" si="35"/>
        <v/>
      </c>
      <c r="AK103" s="237" t="str">
        <f t="shared" si="24"/>
        <v/>
      </c>
      <c r="AL103" s="237" t="str">
        <f t="shared" si="36"/>
        <v/>
      </c>
      <c r="AM103" s="192" t="e">
        <f t="shared" si="25"/>
        <v>#VALUE!</v>
      </c>
      <c r="AN103" s="193" t="e">
        <f t="shared" si="26"/>
        <v>#VALUE!</v>
      </c>
      <c r="AO103" s="193" t="e">
        <f t="shared" si="27"/>
        <v>#VALUE!</v>
      </c>
      <c r="AP103" s="193"/>
      <c r="AQ103" s="204"/>
      <c r="AR103" s="204"/>
      <c r="AS103" s="204"/>
      <c r="AT103" s="205"/>
      <c r="AU103"/>
    </row>
    <row r="104" spans="2:47" ht="15" customHeight="1" x14ac:dyDescent="0.25">
      <c r="B104" s="206"/>
      <c r="C104" s="185"/>
      <c r="D104" s="164"/>
      <c r="E104" s="174"/>
      <c r="F104" s="164"/>
      <c r="G104" s="174"/>
      <c r="H104" s="164"/>
      <c r="I104" s="174"/>
      <c r="J104" s="184"/>
      <c r="K104" s="186"/>
      <c r="L104" s="187" t="str">
        <f t="shared" si="28"/>
        <v/>
      </c>
      <c r="M104" s="187" t="str">
        <f t="shared" si="29"/>
        <v/>
      </c>
      <c r="N104" s="187" t="str">
        <f t="shared" si="21"/>
        <v>D</v>
      </c>
      <c r="O104" s="187" t="str">
        <f t="shared" si="30"/>
        <v>D</v>
      </c>
      <c r="P104" s="187">
        <f t="shared" si="31"/>
        <v>1</v>
      </c>
      <c r="Q104" s="187">
        <f>IFERROR(VLOOKUP(E104,Tabela_Deflator:E$43,5,FALSE),1)</f>
        <v>1</v>
      </c>
      <c r="R104" s="188" t="str">
        <f t="shared" si="32"/>
        <v/>
      </c>
      <c r="S104" s="237" t="str">
        <f t="shared" si="22"/>
        <v/>
      </c>
      <c r="T104" s="237" t="str">
        <f t="shared" si="37"/>
        <v/>
      </c>
      <c r="U104" s="189"/>
      <c r="V104" s="167"/>
      <c r="W104" s="165"/>
      <c r="X104" s="164"/>
      <c r="Y104" s="164"/>
      <c r="Z104" s="164"/>
      <c r="AA104" s="174"/>
      <c r="AB104" s="164"/>
      <c r="AC104" s="174"/>
      <c r="AD104" s="184"/>
      <c r="AE104" s="190" t="str">
        <f t="shared" si="33"/>
        <v/>
      </c>
      <c r="AF104" s="190" t="str">
        <f t="shared" si="34"/>
        <v/>
      </c>
      <c r="AG104" s="190" t="str">
        <f t="shared" si="23"/>
        <v>D</v>
      </c>
      <c r="AH104" s="190">
        <f>IFERROR(VLOOKUP(Y104,SISP_Deflatores_e_INMs!B$4:F$49,3,FALSE),1)</f>
        <v>1</v>
      </c>
      <c r="AI104" s="190">
        <f>IFERROR(VLOOKUP(Y104,SISP_Deflatores_e_INMs!B$4:G$49,5,FALSE),1)</f>
        <v>1</v>
      </c>
      <c r="AJ104" s="191" t="str">
        <f t="shared" si="35"/>
        <v/>
      </c>
      <c r="AK104" s="237" t="str">
        <f t="shared" si="24"/>
        <v/>
      </c>
      <c r="AL104" s="237" t="str">
        <f t="shared" si="36"/>
        <v/>
      </c>
      <c r="AM104" s="192" t="e">
        <f t="shared" si="25"/>
        <v>#VALUE!</v>
      </c>
      <c r="AN104" s="193" t="e">
        <f t="shared" si="26"/>
        <v>#VALUE!</v>
      </c>
      <c r="AO104" s="193" t="e">
        <f t="shared" si="27"/>
        <v>#VALUE!</v>
      </c>
      <c r="AP104" s="193"/>
      <c r="AQ104" s="204"/>
      <c r="AR104" s="204"/>
      <c r="AS104" s="204"/>
      <c r="AT104" s="205"/>
      <c r="AU104"/>
    </row>
    <row r="105" spans="2:47" ht="15" customHeight="1" x14ac:dyDescent="0.25">
      <c r="B105" s="206"/>
      <c r="C105" s="185"/>
      <c r="D105" s="164"/>
      <c r="E105" s="174"/>
      <c r="F105" s="164"/>
      <c r="G105" s="174"/>
      <c r="H105" s="164"/>
      <c r="I105" s="174"/>
      <c r="J105" s="184"/>
      <c r="K105" s="186"/>
      <c r="L105" s="187" t="str">
        <f t="shared" si="28"/>
        <v/>
      </c>
      <c r="M105" s="187" t="str">
        <f t="shared" si="29"/>
        <v/>
      </c>
      <c r="N105" s="187" t="str">
        <f t="shared" si="21"/>
        <v>D</v>
      </c>
      <c r="O105" s="187" t="str">
        <f t="shared" si="30"/>
        <v>D</v>
      </c>
      <c r="P105" s="187">
        <f t="shared" si="31"/>
        <v>1</v>
      </c>
      <c r="Q105" s="187">
        <f>IFERROR(VLOOKUP(E105,Tabela_Deflator:E$43,5,FALSE),1)</f>
        <v>1</v>
      </c>
      <c r="R105" s="188" t="str">
        <f t="shared" si="32"/>
        <v/>
      </c>
      <c r="S105" s="237" t="str">
        <f t="shared" si="22"/>
        <v/>
      </c>
      <c r="T105" s="237" t="str">
        <f t="shared" si="37"/>
        <v/>
      </c>
      <c r="U105" s="189"/>
      <c r="V105" s="167"/>
      <c r="W105" s="165"/>
      <c r="X105" s="164"/>
      <c r="Y105" s="164"/>
      <c r="Z105" s="164"/>
      <c r="AA105" s="174"/>
      <c r="AB105" s="164"/>
      <c r="AC105" s="174"/>
      <c r="AD105" s="184"/>
      <c r="AE105" s="190" t="str">
        <f t="shared" si="33"/>
        <v/>
      </c>
      <c r="AF105" s="190" t="str">
        <f t="shared" si="34"/>
        <v/>
      </c>
      <c r="AG105" s="190" t="str">
        <f t="shared" si="23"/>
        <v>D</v>
      </c>
      <c r="AH105" s="190">
        <f>IFERROR(VLOOKUP(Y105,SISP_Deflatores_e_INMs!B$4:F$49,3,FALSE),1)</f>
        <v>1</v>
      </c>
      <c r="AI105" s="190">
        <f>IFERROR(VLOOKUP(Y105,SISP_Deflatores_e_INMs!B$4:G$49,5,FALSE),1)</f>
        <v>1</v>
      </c>
      <c r="AJ105" s="191" t="str">
        <f t="shared" si="35"/>
        <v/>
      </c>
      <c r="AK105" s="237" t="str">
        <f t="shared" si="24"/>
        <v/>
      </c>
      <c r="AL105" s="237" t="str">
        <f t="shared" si="36"/>
        <v/>
      </c>
      <c r="AM105" s="192" t="e">
        <f t="shared" si="25"/>
        <v>#VALUE!</v>
      </c>
      <c r="AN105" s="193" t="e">
        <f t="shared" si="26"/>
        <v>#VALUE!</v>
      </c>
      <c r="AO105" s="193" t="e">
        <f t="shared" si="27"/>
        <v>#VALUE!</v>
      </c>
      <c r="AP105" s="193"/>
      <c r="AQ105" s="204"/>
      <c r="AR105" s="204"/>
      <c r="AS105" s="204"/>
      <c r="AT105" s="205"/>
      <c r="AU105"/>
    </row>
    <row r="106" spans="2:47" ht="15" customHeight="1" x14ac:dyDescent="0.25">
      <c r="B106" s="206"/>
      <c r="C106" s="185"/>
      <c r="D106" s="164"/>
      <c r="E106" s="174"/>
      <c r="F106" s="164"/>
      <c r="G106" s="174"/>
      <c r="H106" s="164"/>
      <c r="I106" s="174"/>
      <c r="J106" s="184"/>
      <c r="K106" s="186"/>
      <c r="L106" s="187" t="str">
        <f t="shared" si="28"/>
        <v/>
      </c>
      <c r="M106" s="187" t="str">
        <f t="shared" si="29"/>
        <v/>
      </c>
      <c r="N106" s="187" t="str">
        <f t="shared" si="21"/>
        <v>D</v>
      </c>
      <c r="O106" s="187" t="str">
        <f t="shared" si="30"/>
        <v>D</v>
      </c>
      <c r="P106" s="187">
        <f t="shared" si="31"/>
        <v>1</v>
      </c>
      <c r="Q106" s="187">
        <f>IFERROR(VLOOKUP(E106,Tabela_Deflator:E$43,5,FALSE),1)</f>
        <v>1</v>
      </c>
      <c r="R106" s="188" t="str">
        <f t="shared" si="32"/>
        <v/>
      </c>
      <c r="S106" s="237" t="str">
        <f t="shared" si="22"/>
        <v/>
      </c>
      <c r="T106" s="237" t="str">
        <f t="shared" si="37"/>
        <v/>
      </c>
      <c r="U106" s="189"/>
      <c r="V106" s="167"/>
      <c r="W106" s="165"/>
      <c r="X106" s="164"/>
      <c r="Y106" s="164"/>
      <c r="Z106" s="164"/>
      <c r="AA106" s="174"/>
      <c r="AB106" s="164"/>
      <c r="AC106" s="174"/>
      <c r="AD106" s="184"/>
      <c r="AE106" s="190" t="str">
        <f t="shared" si="33"/>
        <v/>
      </c>
      <c r="AF106" s="190" t="str">
        <f t="shared" si="34"/>
        <v/>
      </c>
      <c r="AG106" s="190" t="str">
        <f t="shared" si="23"/>
        <v>D</v>
      </c>
      <c r="AH106" s="190">
        <f>IFERROR(VLOOKUP(Y106,SISP_Deflatores_e_INMs!B$4:F$49,3,FALSE),1)</f>
        <v>1</v>
      </c>
      <c r="AI106" s="190">
        <f>IFERROR(VLOOKUP(Y106,SISP_Deflatores_e_INMs!B$4:G$49,5,FALSE),1)</f>
        <v>1</v>
      </c>
      <c r="AJ106" s="191" t="str">
        <f t="shared" si="35"/>
        <v/>
      </c>
      <c r="AK106" s="237" t="str">
        <f t="shared" si="24"/>
        <v/>
      </c>
      <c r="AL106" s="237" t="str">
        <f t="shared" si="36"/>
        <v/>
      </c>
      <c r="AM106" s="192" t="e">
        <f t="shared" si="25"/>
        <v>#VALUE!</v>
      </c>
      <c r="AN106" s="193" t="e">
        <f t="shared" si="26"/>
        <v>#VALUE!</v>
      </c>
      <c r="AO106" s="193" t="e">
        <f t="shared" si="27"/>
        <v>#VALUE!</v>
      </c>
      <c r="AP106" s="193"/>
      <c r="AQ106" s="204"/>
      <c r="AR106" s="204"/>
      <c r="AS106" s="204"/>
      <c r="AT106" s="205"/>
      <c r="AU106"/>
    </row>
    <row r="107" spans="2:47" ht="15" customHeight="1" x14ac:dyDescent="0.25">
      <c r="B107" s="206"/>
      <c r="C107" s="185"/>
      <c r="D107" s="164"/>
      <c r="E107" s="174"/>
      <c r="F107" s="164"/>
      <c r="G107" s="174"/>
      <c r="H107" s="164"/>
      <c r="I107" s="174"/>
      <c r="J107" s="184"/>
      <c r="K107" s="186"/>
      <c r="L107" s="187" t="str">
        <f t="shared" si="28"/>
        <v/>
      </c>
      <c r="M107" s="187" t="str">
        <f t="shared" si="29"/>
        <v/>
      </c>
      <c r="N107" s="187" t="str">
        <f t="shared" si="21"/>
        <v>D</v>
      </c>
      <c r="O107" s="187" t="str">
        <f t="shared" si="30"/>
        <v>D</v>
      </c>
      <c r="P107" s="187">
        <f t="shared" si="31"/>
        <v>1</v>
      </c>
      <c r="Q107" s="187">
        <f>IFERROR(VLOOKUP(E107,Tabela_Deflator:E$43,5,FALSE),1)</f>
        <v>1</v>
      </c>
      <c r="R107" s="188" t="str">
        <f t="shared" si="32"/>
        <v/>
      </c>
      <c r="S107" s="237" t="str">
        <f t="shared" si="22"/>
        <v/>
      </c>
      <c r="T107" s="237" t="str">
        <f t="shared" si="37"/>
        <v/>
      </c>
      <c r="U107" s="189"/>
      <c r="V107" s="167"/>
      <c r="W107" s="165"/>
      <c r="X107" s="164"/>
      <c r="Y107" s="164"/>
      <c r="Z107" s="164"/>
      <c r="AA107" s="174"/>
      <c r="AB107" s="164"/>
      <c r="AC107" s="174"/>
      <c r="AD107" s="184"/>
      <c r="AE107" s="190" t="str">
        <f t="shared" si="33"/>
        <v/>
      </c>
      <c r="AF107" s="190" t="str">
        <f t="shared" si="34"/>
        <v/>
      </c>
      <c r="AG107" s="190" t="str">
        <f t="shared" si="23"/>
        <v>D</v>
      </c>
      <c r="AH107" s="190">
        <f>IFERROR(VLOOKUP(Y107,SISP_Deflatores_e_INMs!B$4:F$49,3,FALSE),1)</f>
        <v>1</v>
      </c>
      <c r="AI107" s="190">
        <f>IFERROR(VLOOKUP(Y107,SISP_Deflatores_e_INMs!B$4:G$49,5,FALSE),1)</f>
        <v>1</v>
      </c>
      <c r="AJ107" s="191" t="str">
        <f t="shared" si="35"/>
        <v/>
      </c>
      <c r="AK107" s="237" t="str">
        <f t="shared" si="24"/>
        <v/>
      </c>
      <c r="AL107" s="237" t="str">
        <f t="shared" si="36"/>
        <v/>
      </c>
      <c r="AM107" s="192" t="e">
        <f t="shared" si="25"/>
        <v>#VALUE!</v>
      </c>
      <c r="AN107" s="193" t="e">
        <f t="shared" si="26"/>
        <v>#VALUE!</v>
      </c>
      <c r="AO107" s="193" t="e">
        <f t="shared" si="27"/>
        <v>#VALUE!</v>
      </c>
      <c r="AP107" s="193"/>
      <c r="AQ107" s="204"/>
      <c r="AR107" s="204"/>
      <c r="AS107" s="204"/>
      <c r="AT107" s="205"/>
      <c r="AU107"/>
    </row>
    <row r="108" spans="2:47" ht="15" customHeight="1" x14ac:dyDescent="0.25">
      <c r="B108" s="206"/>
      <c r="C108" s="185"/>
      <c r="D108" s="164"/>
      <c r="E108" s="174"/>
      <c r="F108" s="164"/>
      <c r="G108" s="174"/>
      <c r="H108" s="164"/>
      <c r="I108" s="174"/>
      <c r="J108" s="184"/>
      <c r="K108" s="186"/>
      <c r="L108" s="187" t="str">
        <f t="shared" si="28"/>
        <v/>
      </c>
      <c r="M108" s="187" t="str">
        <f t="shared" si="29"/>
        <v/>
      </c>
      <c r="N108" s="187" t="str">
        <f t="shared" si="21"/>
        <v>D</v>
      </c>
      <c r="O108" s="187" t="str">
        <f t="shared" si="30"/>
        <v>D</v>
      </c>
      <c r="P108" s="187">
        <f t="shared" si="31"/>
        <v>1</v>
      </c>
      <c r="Q108" s="187">
        <f>IFERROR(VLOOKUP(E108,Tabela_Deflator:E$43,5,FALSE),1)</f>
        <v>1</v>
      </c>
      <c r="R108" s="188" t="str">
        <f t="shared" si="32"/>
        <v/>
      </c>
      <c r="S108" s="237" t="str">
        <f t="shared" si="22"/>
        <v/>
      </c>
      <c r="T108" s="237" t="str">
        <f t="shared" si="37"/>
        <v/>
      </c>
      <c r="U108" s="189"/>
      <c r="V108" s="167"/>
      <c r="W108" s="165"/>
      <c r="X108" s="164"/>
      <c r="Y108" s="164"/>
      <c r="Z108" s="164"/>
      <c r="AA108" s="174"/>
      <c r="AB108" s="164"/>
      <c r="AC108" s="174"/>
      <c r="AD108" s="184"/>
      <c r="AE108" s="190" t="str">
        <f t="shared" si="33"/>
        <v/>
      </c>
      <c r="AF108" s="190" t="str">
        <f t="shared" si="34"/>
        <v/>
      </c>
      <c r="AG108" s="190" t="str">
        <f t="shared" si="23"/>
        <v>D</v>
      </c>
      <c r="AH108" s="190">
        <f>IFERROR(VLOOKUP(Y108,SISP_Deflatores_e_INMs!B$4:F$49,3,FALSE),1)</f>
        <v>1</v>
      </c>
      <c r="AI108" s="190">
        <f>IFERROR(VLOOKUP(Y108,SISP_Deflatores_e_INMs!B$4:G$49,5,FALSE),1)</f>
        <v>1</v>
      </c>
      <c r="AJ108" s="191" t="str">
        <f t="shared" si="35"/>
        <v/>
      </c>
      <c r="AK108" s="237" t="str">
        <f t="shared" si="24"/>
        <v/>
      </c>
      <c r="AL108" s="237" t="str">
        <f t="shared" si="36"/>
        <v/>
      </c>
      <c r="AM108" s="192" t="e">
        <f t="shared" si="25"/>
        <v>#VALUE!</v>
      </c>
      <c r="AN108" s="193" t="e">
        <f t="shared" si="26"/>
        <v>#VALUE!</v>
      </c>
      <c r="AO108" s="193" t="e">
        <f t="shared" si="27"/>
        <v>#VALUE!</v>
      </c>
      <c r="AP108" s="193"/>
      <c r="AQ108" s="204"/>
      <c r="AR108" s="204"/>
      <c r="AS108" s="204"/>
      <c r="AT108" s="205"/>
      <c r="AU108"/>
    </row>
    <row r="109" spans="2:47" ht="15" customHeight="1" x14ac:dyDescent="0.25">
      <c r="B109" s="206"/>
      <c r="C109" s="185"/>
      <c r="D109" s="164"/>
      <c r="E109" s="174"/>
      <c r="F109" s="164"/>
      <c r="G109" s="174"/>
      <c r="H109" s="164"/>
      <c r="I109" s="174"/>
      <c r="J109" s="184"/>
      <c r="K109" s="186"/>
      <c r="L109" s="187" t="str">
        <f t="shared" si="28"/>
        <v/>
      </c>
      <c r="M109" s="187" t="str">
        <f t="shared" si="29"/>
        <v/>
      </c>
      <c r="N109" s="187" t="str">
        <f t="shared" si="21"/>
        <v>D</v>
      </c>
      <c r="O109" s="187" t="str">
        <f t="shared" si="30"/>
        <v>D</v>
      </c>
      <c r="P109" s="187">
        <f t="shared" si="31"/>
        <v>1</v>
      </c>
      <c r="Q109" s="187">
        <f>IFERROR(VLOOKUP(E109,Tabela_Deflator:E$43,5,FALSE),1)</f>
        <v>1</v>
      </c>
      <c r="R109" s="188" t="str">
        <f t="shared" si="32"/>
        <v/>
      </c>
      <c r="S109" s="237" t="str">
        <f t="shared" si="22"/>
        <v/>
      </c>
      <c r="T109" s="237" t="str">
        <f t="shared" si="37"/>
        <v/>
      </c>
      <c r="U109" s="189"/>
      <c r="V109" s="167"/>
      <c r="W109" s="165"/>
      <c r="X109" s="164"/>
      <c r="Y109" s="164"/>
      <c r="Z109" s="164"/>
      <c r="AA109" s="174"/>
      <c r="AB109" s="164"/>
      <c r="AC109" s="174"/>
      <c r="AD109" s="184"/>
      <c r="AE109" s="190" t="str">
        <f t="shared" si="33"/>
        <v/>
      </c>
      <c r="AF109" s="190" t="str">
        <f t="shared" si="34"/>
        <v/>
      </c>
      <c r="AG109" s="190" t="str">
        <f t="shared" si="23"/>
        <v>D</v>
      </c>
      <c r="AH109" s="190">
        <f>IFERROR(VLOOKUP(Y109,SISP_Deflatores_e_INMs!B$4:F$49,3,FALSE),1)</f>
        <v>1</v>
      </c>
      <c r="AI109" s="190">
        <f>IFERROR(VLOOKUP(Y109,SISP_Deflatores_e_INMs!B$4:G$49,5,FALSE),1)</f>
        <v>1</v>
      </c>
      <c r="AJ109" s="191" t="str">
        <f t="shared" si="35"/>
        <v/>
      </c>
      <c r="AK109" s="237" t="str">
        <f t="shared" si="24"/>
        <v/>
      </c>
      <c r="AL109" s="237" t="str">
        <f t="shared" si="36"/>
        <v/>
      </c>
      <c r="AM109" s="192" t="e">
        <f t="shared" si="25"/>
        <v>#VALUE!</v>
      </c>
      <c r="AN109" s="193" t="e">
        <f t="shared" si="26"/>
        <v>#VALUE!</v>
      </c>
      <c r="AO109" s="193" t="e">
        <f t="shared" si="27"/>
        <v>#VALUE!</v>
      </c>
      <c r="AP109" s="193"/>
      <c r="AQ109" s="204"/>
      <c r="AR109" s="204"/>
      <c r="AS109" s="204"/>
      <c r="AT109" s="205"/>
      <c r="AU109"/>
    </row>
    <row r="110" spans="2:47" ht="15" customHeight="1" x14ac:dyDescent="0.25">
      <c r="B110" s="206"/>
      <c r="C110" s="185"/>
      <c r="D110" s="164"/>
      <c r="E110" s="174"/>
      <c r="F110" s="164"/>
      <c r="G110" s="174"/>
      <c r="H110" s="164"/>
      <c r="I110" s="174"/>
      <c r="J110" s="184"/>
      <c r="K110" s="186"/>
      <c r="L110" s="187" t="str">
        <f t="shared" si="28"/>
        <v/>
      </c>
      <c r="M110" s="187" t="str">
        <f t="shared" si="29"/>
        <v/>
      </c>
      <c r="N110" s="187" t="str">
        <f t="shared" si="21"/>
        <v>D</v>
      </c>
      <c r="O110" s="187" t="str">
        <f t="shared" si="30"/>
        <v>D</v>
      </c>
      <c r="P110" s="187">
        <f t="shared" si="31"/>
        <v>1</v>
      </c>
      <c r="Q110" s="187">
        <f>IFERROR(VLOOKUP(E110,Tabela_Deflator:E$43,5,FALSE),1)</f>
        <v>1</v>
      </c>
      <c r="R110" s="188" t="str">
        <f t="shared" si="32"/>
        <v/>
      </c>
      <c r="S110" s="237" t="str">
        <f t="shared" si="22"/>
        <v/>
      </c>
      <c r="T110" s="237" t="str">
        <f t="shared" si="37"/>
        <v/>
      </c>
      <c r="U110" s="189"/>
      <c r="V110" s="167"/>
      <c r="W110" s="165"/>
      <c r="X110" s="164"/>
      <c r="Y110" s="164"/>
      <c r="Z110" s="164"/>
      <c r="AA110" s="174"/>
      <c r="AB110" s="164"/>
      <c r="AC110" s="174"/>
      <c r="AD110" s="184"/>
      <c r="AE110" s="190" t="str">
        <f t="shared" si="33"/>
        <v/>
      </c>
      <c r="AF110" s="190" t="str">
        <f t="shared" si="34"/>
        <v/>
      </c>
      <c r="AG110" s="190" t="str">
        <f t="shared" si="23"/>
        <v>D</v>
      </c>
      <c r="AH110" s="190">
        <f>IFERROR(VLOOKUP(Y110,SISP_Deflatores_e_INMs!B$4:F$49,3,FALSE),1)</f>
        <v>1</v>
      </c>
      <c r="AI110" s="190">
        <f>IFERROR(VLOOKUP(Y110,SISP_Deflatores_e_INMs!B$4:G$49,5,FALSE),1)</f>
        <v>1</v>
      </c>
      <c r="AJ110" s="191" t="str">
        <f t="shared" si="35"/>
        <v/>
      </c>
      <c r="AK110" s="237" t="str">
        <f t="shared" si="24"/>
        <v/>
      </c>
      <c r="AL110" s="237" t="str">
        <f t="shared" si="36"/>
        <v/>
      </c>
      <c r="AM110" s="192" t="e">
        <f t="shared" si="25"/>
        <v>#VALUE!</v>
      </c>
      <c r="AN110" s="193" t="e">
        <f t="shared" si="26"/>
        <v>#VALUE!</v>
      </c>
      <c r="AO110" s="193" t="e">
        <f t="shared" si="27"/>
        <v>#VALUE!</v>
      </c>
      <c r="AP110" s="193"/>
      <c r="AQ110" s="204"/>
      <c r="AR110" s="204"/>
      <c r="AS110" s="204"/>
      <c r="AT110" s="205"/>
      <c r="AU110"/>
    </row>
    <row r="111" spans="2:47" ht="15" customHeight="1" x14ac:dyDescent="0.25">
      <c r="B111" s="206"/>
      <c r="C111" s="185"/>
      <c r="D111" s="164"/>
      <c r="E111" s="174"/>
      <c r="F111" s="164"/>
      <c r="G111" s="174"/>
      <c r="H111" s="164"/>
      <c r="I111" s="174"/>
      <c r="J111" s="184"/>
      <c r="K111" s="186"/>
      <c r="L111" s="187" t="str">
        <f t="shared" si="28"/>
        <v/>
      </c>
      <c r="M111" s="187" t="str">
        <f t="shared" si="29"/>
        <v/>
      </c>
      <c r="N111" s="187" t="str">
        <f t="shared" si="21"/>
        <v>D</v>
      </c>
      <c r="O111" s="187" t="str">
        <f t="shared" si="30"/>
        <v>D</v>
      </c>
      <c r="P111" s="187">
        <f t="shared" si="31"/>
        <v>1</v>
      </c>
      <c r="Q111" s="187">
        <f>IFERROR(VLOOKUP(E111,Tabela_Deflator:E$43,5,FALSE),1)</f>
        <v>1</v>
      </c>
      <c r="R111" s="188" t="str">
        <f t="shared" si="32"/>
        <v/>
      </c>
      <c r="S111" s="237" t="str">
        <f t="shared" si="22"/>
        <v/>
      </c>
      <c r="T111" s="237" t="str">
        <f t="shared" si="37"/>
        <v/>
      </c>
      <c r="U111" s="189"/>
      <c r="V111" s="167"/>
      <c r="W111" s="165"/>
      <c r="X111" s="164"/>
      <c r="Y111" s="164"/>
      <c r="Z111" s="164"/>
      <c r="AA111" s="174"/>
      <c r="AB111" s="164"/>
      <c r="AC111" s="174"/>
      <c r="AD111" s="184"/>
      <c r="AE111" s="190" t="str">
        <f t="shared" si="33"/>
        <v/>
      </c>
      <c r="AF111" s="190" t="str">
        <f t="shared" si="34"/>
        <v/>
      </c>
      <c r="AG111" s="190" t="str">
        <f t="shared" si="23"/>
        <v>D</v>
      </c>
      <c r="AH111" s="190">
        <f>IFERROR(VLOOKUP(Y111,SISP_Deflatores_e_INMs!B$4:F$49,3,FALSE),1)</f>
        <v>1</v>
      </c>
      <c r="AI111" s="190">
        <f>IFERROR(VLOOKUP(Y111,SISP_Deflatores_e_INMs!B$4:G$49,5,FALSE),1)</f>
        <v>1</v>
      </c>
      <c r="AJ111" s="191" t="str">
        <f t="shared" si="35"/>
        <v/>
      </c>
      <c r="AK111" s="237" t="str">
        <f t="shared" si="24"/>
        <v/>
      </c>
      <c r="AL111" s="237" t="str">
        <f t="shared" si="36"/>
        <v/>
      </c>
      <c r="AM111" s="192" t="e">
        <f t="shared" si="25"/>
        <v>#VALUE!</v>
      </c>
      <c r="AN111" s="193" t="e">
        <f t="shared" si="26"/>
        <v>#VALUE!</v>
      </c>
      <c r="AO111" s="193" t="e">
        <f t="shared" si="27"/>
        <v>#VALUE!</v>
      </c>
      <c r="AP111" s="193"/>
      <c r="AQ111" s="204"/>
      <c r="AR111" s="204"/>
      <c r="AS111" s="204"/>
      <c r="AT111" s="205"/>
      <c r="AU111"/>
    </row>
    <row r="112" spans="2:47" ht="15" customHeight="1" x14ac:dyDescent="0.25">
      <c r="B112" s="206"/>
      <c r="C112" s="185"/>
      <c r="D112" s="164"/>
      <c r="E112" s="174"/>
      <c r="F112" s="164"/>
      <c r="G112" s="174"/>
      <c r="H112" s="164"/>
      <c r="I112" s="174"/>
      <c r="J112" s="184"/>
      <c r="K112" s="186"/>
      <c r="L112" s="187" t="str">
        <f t="shared" si="28"/>
        <v/>
      </c>
      <c r="M112" s="187" t="str">
        <f t="shared" si="29"/>
        <v/>
      </c>
      <c r="N112" s="187" t="str">
        <f t="shared" si="21"/>
        <v>D</v>
      </c>
      <c r="O112" s="187" t="str">
        <f t="shared" si="30"/>
        <v>D</v>
      </c>
      <c r="P112" s="187">
        <f t="shared" si="31"/>
        <v>1</v>
      </c>
      <c r="Q112" s="187">
        <f>IFERROR(VLOOKUP(E112,Tabela_Deflator:E$43,5,FALSE),1)</f>
        <v>1</v>
      </c>
      <c r="R112" s="188" t="str">
        <f t="shared" si="32"/>
        <v/>
      </c>
      <c r="S112" s="237" t="str">
        <f t="shared" si="22"/>
        <v/>
      </c>
      <c r="T112" s="237" t="str">
        <f t="shared" si="37"/>
        <v/>
      </c>
      <c r="U112" s="189"/>
      <c r="V112" s="167"/>
      <c r="W112" s="165"/>
      <c r="X112" s="164"/>
      <c r="Y112" s="164"/>
      <c r="Z112" s="164"/>
      <c r="AA112" s="174"/>
      <c r="AB112" s="164"/>
      <c r="AC112" s="174"/>
      <c r="AD112" s="184"/>
      <c r="AE112" s="190" t="str">
        <f t="shared" si="33"/>
        <v/>
      </c>
      <c r="AF112" s="190" t="str">
        <f t="shared" si="34"/>
        <v/>
      </c>
      <c r="AG112" s="190" t="str">
        <f t="shared" si="23"/>
        <v>D</v>
      </c>
      <c r="AH112" s="190">
        <f>IFERROR(VLOOKUP(Y112,SISP_Deflatores_e_INMs!B$4:F$49,3,FALSE),1)</f>
        <v>1</v>
      </c>
      <c r="AI112" s="190">
        <f>IFERROR(VLOOKUP(Y112,SISP_Deflatores_e_INMs!B$4:G$49,5,FALSE),1)</f>
        <v>1</v>
      </c>
      <c r="AJ112" s="191" t="str">
        <f t="shared" si="35"/>
        <v/>
      </c>
      <c r="AK112" s="237" t="str">
        <f t="shared" si="24"/>
        <v/>
      </c>
      <c r="AL112" s="237" t="str">
        <f t="shared" si="36"/>
        <v/>
      </c>
      <c r="AM112" s="192" t="e">
        <f t="shared" si="25"/>
        <v>#VALUE!</v>
      </c>
      <c r="AN112" s="193" t="e">
        <f t="shared" si="26"/>
        <v>#VALUE!</v>
      </c>
      <c r="AO112" s="193" t="e">
        <f t="shared" si="27"/>
        <v>#VALUE!</v>
      </c>
      <c r="AP112" s="193"/>
      <c r="AQ112" s="204"/>
      <c r="AR112" s="204"/>
      <c r="AS112" s="204"/>
      <c r="AT112" s="205"/>
      <c r="AU112"/>
    </row>
    <row r="113" spans="2:47" ht="15" customHeight="1" x14ac:dyDescent="0.25">
      <c r="B113" s="206"/>
      <c r="C113" s="185"/>
      <c r="D113" s="164"/>
      <c r="E113" s="174"/>
      <c r="F113" s="164"/>
      <c r="G113" s="174"/>
      <c r="H113" s="164"/>
      <c r="I113" s="174"/>
      <c r="J113" s="184"/>
      <c r="K113" s="186"/>
      <c r="L113" s="187" t="str">
        <f t="shared" si="28"/>
        <v/>
      </c>
      <c r="M113" s="187" t="str">
        <f t="shared" si="29"/>
        <v/>
      </c>
      <c r="N113" s="187" t="str">
        <f t="shared" si="21"/>
        <v>D</v>
      </c>
      <c r="O113" s="187" t="str">
        <f t="shared" si="30"/>
        <v>D</v>
      </c>
      <c r="P113" s="187">
        <f t="shared" si="31"/>
        <v>1</v>
      </c>
      <c r="Q113" s="187">
        <f>IFERROR(VLOOKUP(E113,Tabela_Deflator:E$43,5,FALSE),1)</f>
        <v>1</v>
      </c>
      <c r="R113" s="188" t="str">
        <f t="shared" si="32"/>
        <v/>
      </c>
      <c r="S113" s="237" t="str">
        <f t="shared" si="22"/>
        <v/>
      </c>
      <c r="T113" s="237" t="str">
        <f t="shared" si="37"/>
        <v/>
      </c>
      <c r="U113" s="189"/>
      <c r="V113" s="167"/>
      <c r="W113" s="165"/>
      <c r="X113" s="164"/>
      <c r="Y113" s="164"/>
      <c r="Z113" s="164"/>
      <c r="AA113" s="174"/>
      <c r="AB113" s="164"/>
      <c r="AC113" s="174"/>
      <c r="AD113" s="184"/>
      <c r="AE113" s="190" t="str">
        <f t="shared" si="33"/>
        <v/>
      </c>
      <c r="AF113" s="190" t="str">
        <f t="shared" si="34"/>
        <v/>
      </c>
      <c r="AG113" s="190" t="str">
        <f t="shared" si="23"/>
        <v>D</v>
      </c>
      <c r="AH113" s="190">
        <f>IFERROR(VLOOKUP(Y113,SISP_Deflatores_e_INMs!B$4:F$49,3,FALSE),1)</f>
        <v>1</v>
      </c>
      <c r="AI113" s="190">
        <f>IFERROR(VLOOKUP(Y113,SISP_Deflatores_e_INMs!B$4:G$49,5,FALSE),1)</f>
        <v>1</v>
      </c>
      <c r="AJ113" s="191" t="str">
        <f t="shared" si="35"/>
        <v/>
      </c>
      <c r="AK113" s="237" t="str">
        <f t="shared" si="24"/>
        <v/>
      </c>
      <c r="AL113" s="237" t="str">
        <f t="shared" si="36"/>
        <v/>
      </c>
      <c r="AM113" s="192" t="e">
        <f t="shared" si="25"/>
        <v>#VALUE!</v>
      </c>
      <c r="AN113" s="193" t="e">
        <f t="shared" si="26"/>
        <v>#VALUE!</v>
      </c>
      <c r="AO113" s="193" t="e">
        <f t="shared" si="27"/>
        <v>#VALUE!</v>
      </c>
      <c r="AP113" s="193"/>
      <c r="AQ113" s="204"/>
      <c r="AR113" s="204"/>
      <c r="AS113" s="204"/>
      <c r="AT113" s="205"/>
      <c r="AU113"/>
    </row>
    <row r="114" spans="2:47" ht="15" customHeight="1" x14ac:dyDescent="0.25">
      <c r="B114" s="206"/>
      <c r="C114" s="185"/>
      <c r="D114" s="164"/>
      <c r="E114" s="174"/>
      <c r="F114" s="164"/>
      <c r="G114" s="174"/>
      <c r="H114" s="164"/>
      <c r="I114" s="174"/>
      <c r="J114" s="184"/>
      <c r="K114" s="186"/>
      <c r="L114" s="187" t="str">
        <f t="shared" si="28"/>
        <v/>
      </c>
      <c r="M114" s="187" t="str">
        <f t="shared" si="29"/>
        <v/>
      </c>
      <c r="N114" s="187" t="str">
        <f t="shared" si="21"/>
        <v>D</v>
      </c>
      <c r="O114" s="187" t="str">
        <f t="shared" si="30"/>
        <v>D</v>
      </c>
      <c r="P114" s="187">
        <f t="shared" si="31"/>
        <v>1</v>
      </c>
      <c r="Q114" s="187">
        <f>IFERROR(VLOOKUP(E114,Tabela_Deflator:E$43,5,FALSE),1)</f>
        <v>1</v>
      </c>
      <c r="R114" s="188" t="str">
        <f t="shared" si="32"/>
        <v/>
      </c>
      <c r="S114" s="237" t="str">
        <f t="shared" si="22"/>
        <v/>
      </c>
      <c r="T114" s="237" t="str">
        <f t="shared" si="37"/>
        <v/>
      </c>
      <c r="U114" s="189"/>
      <c r="V114" s="167"/>
      <c r="W114" s="165"/>
      <c r="X114" s="164"/>
      <c r="Y114" s="164"/>
      <c r="Z114" s="164"/>
      <c r="AA114" s="174"/>
      <c r="AB114" s="164"/>
      <c r="AC114" s="174"/>
      <c r="AD114" s="184"/>
      <c r="AE114" s="190" t="str">
        <f t="shared" si="33"/>
        <v/>
      </c>
      <c r="AF114" s="190" t="str">
        <f t="shared" si="34"/>
        <v/>
      </c>
      <c r="AG114" s="190" t="str">
        <f t="shared" si="23"/>
        <v>D</v>
      </c>
      <c r="AH114" s="190">
        <f>IFERROR(VLOOKUP(Y114,SISP_Deflatores_e_INMs!B$4:F$49,3,FALSE),1)</f>
        <v>1</v>
      </c>
      <c r="AI114" s="190">
        <f>IFERROR(VLOOKUP(Y114,SISP_Deflatores_e_INMs!B$4:G$49,5,FALSE),1)</f>
        <v>1</v>
      </c>
      <c r="AJ114" s="191" t="str">
        <f t="shared" si="35"/>
        <v/>
      </c>
      <c r="AK114" s="237" t="str">
        <f t="shared" si="24"/>
        <v/>
      </c>
      <c r="AL114" s="237" t="str">
        <f t="shared" si="36"/>
        <v/>
      </c>
      <c r="AM114" s="192" t="e">
        <f t="shared" si="25"/>
        <v>#VALUE!</v>
      </c>
      <c r="AN114" s="193" t="e">
        <f t="shared" si="26"/>
        <v>#VALUE!</v>
      </c>
      <c r="AO114" s="193" t="e">
        <f t="shared" si="27"/>
        <v>#VALUE!</v>
      </c>
      <c r="AP114" s="193"/>
      <c r="AQ114" s="204"/>
      <c r="AR114" s="204"/>
      <c r="AS114" s="204"/>
      <c r="AT114" s="205"/>
      <c r="AU114"/>
    </row>
    <row r="115" spans="2:47" ht="15" customHeight="1" x14ac:dyDescent="0.25">
      <c r="B115" s="206"/>
      <c r="C115" s="185"/>
      <c r="D115" s="164"/>
      <c r="E115" s="174"/>
      <c r="F115" s="164"/>
      <c r="G115" s="174"/>
      <c r="H115" s="164"/>
      <c r="I115" s="174"/>
      <c r="J115" s="184"/>
      <c r="K115" s="186"/>
      <c r="L115" s="187" t="str">
        <f t="shared" si="28"/>
        <v/>
      </c>
      <c r="M115" s="187" t="str">
        <f t="shared" si="29"/>
        <v/>
      </c>
      <c r="N115" s="187" t="str">
        <f t="shared" si="21"/>
        <v>D</v>
      </c>
      <c r="O115" s="187" t="str">
        <f t="shared" si="30"/>
        <v>D</v>
      </c>
      <c r="P115" s="187">
        <f t="shared" si="31"/>
        <v>1</v>
      </c>
      <c r="Q115" s="187">
        <f>IFERROR(VLOOKUP(E115,Tabela_Deflator:E$43,5,FALSE),1)</f>
        <v>1</v>
      </c>
      <c r="R115" s="188" t="str">
        <f t="shared" si="32"/>
        <v/>
      </c>
      <c r="S115" s="237" t="str">
        <f t="shared" si="22"/>
        <v/>
      </c>
      <c r="T115" s="237" t="str">
        <f t="shared" si="37"/>
        <v/>
      </c>
      <c r="U115" s="189"/>
      <c r="V115" s="167"/>
      <c r="W115" s="165"/>
      <c r="X115" s="164"/>
      <c r="Y115" s="164"/>
      <c r="Z115" s="164"/>
      <c r="AA115" s="174"/>
      <c r="AB115" s="164"/>
      <c r="AC115" s="174"/>
      <c r="AD115" s="184"/>
      <c r="AE115" s="190" t="str">
        <f t="shared" si="33"/>
        <v/>
      </c>
      <c r="AF115" s="190" t="str">
        <f t="shared" si="34"/>
        <v/>
      </c>
      <c r="AG115" s="190" t="str">
        <f t="shared" si="23"/>
        <v>D</v>
      </c>
      <c r="AH115" s="190">
        <f>IFERROR(VLOOKUP(Y115,SISP_Deflatores_e_INMs!B$4:F$49,3,FALSE),1)</f>
        <v>1</v>
      </c>
      <c r="AI115" s="190">
        <f>IFERROR(VLOOKUP(Y115,SISP_Deflatores_e_INMs!B$4:G$49,5,FALSE),1)</f>
        <v>1</v>
      </c>
      <c r="AJ115" s="191" t="str">
        <f t="shared" si="35"/>
        <v/>
      </c>
      <c r="AK115" s="237" t="str">
        <f t="shared" si="24"/>
        <v/>
      </c>
      <c r="AL115" s="237" t="str">
        <f t="shared" si="36"/>
        <v/>
      </c>
      <c r="AM115" s="192" t="e">
        <f t="shared" si="25"/>
        <v>#VALUE!</v>
      </c>
      <c r="AN115" s="193" t="e">
        <f t="shared" si="26"/>
        <v>#VALUE!</v>
      </c>
      <c r="AO115" s="193" t="e">
        <f t="shared" si="27"/>
        <v>#VALUE!</v>
      </c>
      <c r="AP115" s="193"/>
      <c r="AQ115" s="204"/>
      <c r="AR115" s="204"/>
      <c r="AS115" s="204"/>
      <c r="AT115" s="205"/>
      <c r="AU115"/>
    </row>
    <row r="116" spans="2:47" ht="15" customHeight="1" x14ac:dyDescent="0.25">
      <c r="B116" s="206"/>
      <c r="C116" s="185"/>
      <c r="D116" s="164"/>
      <c r="E116" s="174"/>
      <c r="F116" s="164"/>
      <c r="G116" s="174"/>
      <c r="H116" s="164"/>
      <c r="I116" s="174"/>
      <c r="J116" s="184"/>
      <c r="K116" s="186"/>
      <c r="L116" s="187" t="str">
        <f t="shared" si="28"/>
        <v/>
      </c>
      <c r="M116" s="187" t="str">
        <f t="shared" si="29"/>
        <v/>
      </c>
      <c r="N116" s="187" t="str">
        <f t="shared" si="21"/>
        <v>D</v>
      </c>
      <c r="O116" s="187" t="str">
        <f t="shared" si="30"/>
        <v>D</v>
      </c>
      <c r="P116" s="187">
        <f t="shared" si="31"/>
        <v>1</v>
      </c>
      <c r="Q116" s="187">
        <f>IFERROR(VLOOKUP(E116,Tabela_Deflator:E$43,5,FALSE),1)</f>
        <v>1</v>
      </c>
      <c r="R116" s="188" t="str">
        <f t="shared" si="32"/>
        <v/>
      </c>
      <c r="S116" s="237" t="str">
        <f t="shared" si="22"/>
        <v/>
      </c>
      <c r="T116" s="237" t="str">
        <f t="shared" si="37"/>
        <v/>
      </c>
      <c r="U116" s="189"/>
      <c r="V116" s="167"/>
      <c r="W116" s="165"/>
      <c r="X116" s="164"/>
      <c r="Y116" s="164"/>
      <c r="Z116" s="164"/>
      <c r="AA116" s="174"/>
      <c r="AB116" s="164"/>
      <c r="AC116" s="174"/>
      <c r="AD116" s="184"/>
      <c r="AE116" s="190" t="str">
        <f t="shared" si="33"/>
        <v/>
      </c>
      <c r="AF116" s="190" t="str">
        <f t="shared" si="34"/>
        <v/>
      </c>
      <c r="AG116" s="190" t="str">
        <f t="shared" si="23"/>
        <v>D</v>
      </c>
      <c r="AH116" s="190">
        <f>IFERROR(VLOOKUP(Y116,SISP_Deflatores_e_INMs!B$4:F$49,3,FALSE),1)</f>
        <v>1</v>
      </c>
      <c r="AI116" s="190">
        <f>IFERROR(VLOOKUP(Y116,SISP_Deflatores_e_INMs!B$4:G$49,5,FALSE),1)</f>
        <v>1</v>
      </c>
      <c r="AJ116" s="191" t="str">
        <f t="shared" si="35"/>
        <v/>
      </c>
      <c r="AK116" s="237" t="str">
        <f t="shared" si="24"/>
        <v/>
      </c>
      <c r="AL116" s="237" t="str">
        <f t="shared" si="36"/>
        <v/>
      </c>
      <c r="AM116" s="192" t="e">
        <f t="shared" si="25"/>
        <v>#VALUE!</v>
      </c>
      <c r="AN116" s="193" t="e">
        <f t="shared" si="26"/>
        <v>#VALUE!</v>
      </c>
      <c r="AO116" s="193" t="e">
        <f t="shared" si="27"/>
        <v>#VALUE!</v>
      </c>
      <c r="AP116" s="193"/>
      <c r="AQ116" s="204"/>
      <c r="AR116" s="204"/>
      <c r="AS116" s="204"/>
      <c r="AT116" s="205"/>
      <c r="AU116"/>
    </row>
    <row r="117" spans="2:47" ht="15" customHeight="1" x14ac:dyDescent="0.25">
      <c r="B117" s="206"/>
      <c r="C117" s="185"/>
      <c r="D117" s="164"/>
      <c r="E117" s="174"/>
      <c r="F117" s="164"/>
      <c r="G117" s="174"/>
      <c r="H117" s="164"/>
      <c r="I117" s="174"/>
      <c r="J117" s="184"/>
      <c r="K117" s="186"/>
      <c r="L117" s="187" t="str">
        <f t="shared" si="28"/>
        <v/>
      </c>
      <c r="M117" s="187" t="str">
        <f t="shared" si="29"/>
        <v/>
      </c>
      <c r="N117" s="187" t="str">
        <f t="shared" si="21"/>
        <v>D</v>
      </c>
      <c r="O117" s="187" t="str">
        <f t="shared" si="30"/>
        <v>D</v>
      </c>
      <c r="P117" s="187">
        <f t="shared" si="31"/>
        <v>1</v>
      </c>
      <c r="Q117" s="187">
        <f>IFERROR(VLOOKUP(E117,Tabela_Deflator:E$43,5,FALSE),1)</f>
        <v>1</v>
      </c>
      <c r="R117" s="188" t="str">
        <f t="shared" si="32"/>
        <v/>
      </c>
      <c r="S117" s="237" t="str">
        <f t="shared" si="22"/>
        <v/>
      </c>
      <c r="T117" s="237" t="str">
        <f t="shared" si="37"/>
        <v/>
      </c>
      <c r="U117" s="189"/>
      <c r="V117" s="167"/>
      <c r="W117" s="165"/>
      <c r="X117" s="164"/>
      <c r="Y117" s="164"/>
      <c r="Z117" s="164"/>
      <c r="AA117" s="174"/>
      <c r="AB117" s="164"/>
      <c r="AC117" s="174"/>
      <c r="AD117" s="184"/>
      <c r="AE117" s="190" t="str">
        <f t="shared" si="33"/>
        <v/>
      </c>
      <c r="AF117" s="190" t="str">
        <f t="shared" si="34"/>
        <v/>
      </c>
      <c r="AG117" s="190" t="str">
        <f t="shared" si="23"/>
        <v>D</v>
      </c>
      <c r="AH117" s="190">
        <f>IFERROR(VLOOKUP(Y117,SISP_Deflatores_e_INMs!B$4:F$49,3,FALSE),1)</f>
        <v>1</v>
      </c>
      <c r="AI117" s="190">
        <f>IFERROR(VLOOKUP(Y117,SISP_Deflatores_e_INMs!B$4:G$49,5,FALSE),1)</f>
        <v>1</v>
      </c>
      <c r="AJ117" s="191" t="str">
        <f t="shared" si="35"/>
        <v/>
      </c>
      <c r="AK117" s="237" t="str">
        <f t="shared" si="24"/>
        <v/>
      </c>
      <c r="AL117" s="237" t="str">
        <f t="shared" si="36"/>
        <v/>
      </c>
      <c r="AM117" s="192" t="e">
        <f t="shared" si="25"/>
        <v>#VALUE!</v>
      </c>
      <c r="AN117" s="193" t="e">
        <f t="shared" si="26"/>
        <v>#VALUE!</v>
      </c>
      <c r="AO117" s="193" t="e">
        <f t="shared" si="27"/>
        <v>#VALUE!</v>
      </c>
      <c r="AP117" s="193"/>
      <c r="AQ117" s="204"/>
      <c r="AR117" s="204"/>
      <c r="AS117" s="204"/>
      <c r="AT117" s="205"/>
      <c r="AU117"/>
    </row>
    <row r="118" spans="2:47" ht="15" customHeight="1" x14ac:dyDescent="0.25">
      <c r="B118" s="206"/>
      <c r="C118" s="185"/>
      <c r="D118" s="164"/>
      <c r="E118" s="174"/>
      <c r="F118" s="164"/>
      <c r="G118" s="174"/>
      <c r="H118" s="164"/>
      <c r="I118" s="174"/>
      <c r="J118" s="184"/>
      <c r="K118" s="186"/>
      <c r="L118" s="187" t="str">
        <f t="shared" si="28"/>
        <v/>
      </c>
      <c r="M118" s="187" t="str">
        <f t="shared" si="29"/>
        <v/>
      </c>
      <c r="N118" s="187" t="str">
        <f t="shared" si="21"/>
        <v>D</v>
      </c>
      <c r="O118" s="187" t="str">
        <f t="shared" si="30"/>
        <v>D</v>
      </c>
      <c r="P118" s="187">
        <f t="shared" si="31"/>
        <v>1</v>
      </c>
      <c r="Q118" s="187">
        <f>IFERROR(VLOOKUP(E118,Tabela_Deflator:E$43,5,FALSE),1)</f>
        <v>1</v>
      </c>
      <c r="R118" s="188" t="str">
        <f t="shared" si="32"/>
        <v/>
      </c>
      <c r="S118" s="237" t="str">
        <f t="shared" si="22"/>
        <v/>
      </c>
      <c r="T118" s="237" t="str">
        <f t="shared" si="37"/>
        <v/>
      </c>
      <c r="U118" s="189"/>
      <c r="V118" s="167"/>
      <c r="W118" s="165"/>
      <c r="X118" s="164"/>
      <c r="Y118" s="164"/>
      <c r="Z118" s="164"/>
      <c r="AA118" s="174"/>
      <c r="AB118" s="164"/>
      <c r="AC118" s="174"/>
      <c r="AD118" s="184"/>
      <c r="AE118" s="190" t="str">
        <f t="shared" si="33"/>
        <v/>
      </c>
      <c r="AF118" s="190" t="str">
        <f t="shared" si="34"/>
        <v/>
      </c>
      <c r="AG118" s="190" t="str">
        <f t="shared" si="23"/>
        <v>D</v>
      </c>
      <c r="AH118" s="190">
        <f>IFERROR(VLOOKUP(Y118,SISP_Deflatores_e_INMs!B$4:F$49,3,FALSE),1)</f>
        <v>1</v>
      </c>
      <c r="AI118" s="190">
        <f>IFERROR(VLOOKUP(Y118,SISP_Deflatores_e_INMs!B$4:G$49,5,FALSE),1)</f>
        <v>1</v>
      </c>
      <c r="AJ118" s="191" t="str">
        <f t="shared" si="35"/>
        <v/>
      </c>
      <c r="AK118" s="237" t="str">
        <f t="shared" si="24"/>
        <v/>
      </c>
      <c r="AL118" s="237" t="str">
        <f t="shared" si="36"/>
        <v/>
      </c>
      <c r="AM118" s="192" t="e">
        <f t="shared" si="25"/>
        <v>#VALUE!</v>
      </c>
      <c r="AN118" s="193" t="e">
        <f t="shared" si="26"/>
        <v>#VALUE!</v>
      </c>
      <c r="AO118" s="193" t="e">
        <f t="shared" si="27"/>
        <v>#VALUE!</v>
      </c>
      <c r="AP118" s="193"/>
      <c r="AQ118" s="204"/>
      <c r="AR118" s="204"/>
      <c r="AS118" s="204"/>
      <c r="AT118" s="205"/>
      <c r="AU118"/>
    </row>
    <row r="119" spans="2:47" ht="15" customHeight="1" x14ac:dyDescent="0.25">
      <c r="B119" s="206"/>
      <c r="C119" s="185"/>
      <c r="D119" s="164"/>
      <c r="E119" s="174"/>
      <c r="F119" s="164"/>
      <c r="G119" s="174"/>
      <c r="H119" s="164"/>
      <c r="I119" s="174"/>
      <c r="J119" s="184"/>
      <c r="K119" s="186"/>
      <c r="L119" s="187" t="str">
        <f t="shared" si="28"/>
        <v/>
      </c>
      <c r="M119" s="187" t="str">
        <f t="shared" si="29"/>
        <v/>
      </c>
      <c r="N119" s="187" t="str">
        <f t="shared" si="21"/>
        <v>D</v>
      </c>
      <c r="O119" s="187" t="str">
        <f t="shared" si="30"/>
        <v>D</v>
      </c>
      <c r="P119" s="187">
        <f t="shared" si="31"/>
        <v>1</v>
      </c>
      <c r="Q119" s="187">
        <f>IFERROR(VLOOKUP(E119,Tabela_Deflator:E$43,5,FALSE),1)</f>
        <v>1</v>
      </c>
      <c r="R119" s="188" t="str">
        <f t="shared" si="32"/>
        <v/>
      </c>
      <c r="S119" s="237" t="str">
        <f t="shared" si="22"/>
        <v/>
      </c>
      <c r="T119" s="237" t="str">
        <f t="shared" si="37"/>
        <v/>
      </c>
      <c r="U119" s="189"/>
      <c r="V119" s="167"/>
      <c r="W119" s="165"/>
      <c r="X119" s="164"/>
      <c r="Y119" s="164"/>
      <c r="Z119" s="164"/>
      <c r="AA119" s="174"/>
      <c r="AB119" s="164"/>
      <c r="AC119" s="174"/>
      <c r="AD119" s="184"/>
      <c r="AE119" s="190" t="str">
        <f t="shared" si="33"/>
        <v/>
      </c>
      <c r="AF119" s="190" t="str">
        <f t="shared" si="34"/>
        <v/>
      </c>
      <c r="AG119" s="190" t="str">
        <f t="shared" si="23"/>
        <v>D</v>
      </c>
      <c r="AH119" s="190">
        <f>IFERROR(VLOOKUP(Y119,SISP_Deflatores_e_INMs!B$4:F$49,3,FALSE),1)</f>
        <v>1</v>
      </c>
      <c r="AI119" s="190">
        <f>IFERROR(VLOOKUP(Y119,SISP_Deflatores_e_INMs!B$4:G$49,5,FALSE),1)</f>
        <v>1</v>
      </c>
      <c r="AJ119" s="191" t="str">
        <f t="shared" si="35"/>
        <v/>
      </c>
      <c r="AK119" s="237" t="str">
        <f t="shared" si="24"/>
        <v/>
      </c>
      <c r="AL119" s="237" t="str">
        <f t="shared" si="36"/>
        <v/>
      </c>
      <c r="AM119" s="192" t="e">
        <f t="shared" si="25"/>
        <v>#VALUE!</v>
      </c>
      <c r="AN119" s="193" t="e">
        <f t="shared" si="26"/>
        <v>#VALUE!</v>
      </c>
      <c r="AO119" s="193" t="e">
        <f t="shared" si="27"/>
        <v>#VALUE!</v>
      </c>
      <c r="AP119" s="193"/>
      <c r="AQ119" s="204"/>
      <c r="AR119" s="204"/>
      <c r="AS119" s="204"/>
      <c r="AT119" s="205"/>
      <c r="AU119"/>
    </row>
    <row r="120" spans="2:47" ht="15" customHeight="1" x14ac:dyDescent="0.25">
      <c r="B120" s="206"/>
      <c r="C120" s="185"/>
      <c r="D120" s="164"/>
      <c r="E120" s="174"/>
      <c r="F120" s="164"/>
      <c r="G120" s="174"/>
      <c r="H120" s="164"/>
      <c r="I120" s="174"/>
      <c r="J120" s="184"/>
      <c r="K120" s="186"/>
      <c r="L120" s="187" t="str">
        <f t="shared" si="28"/>
        <v/>
      </c>
      <c r="M120" s="187" t="str">
        <f t="shared" si="29"/>
        <v/>
      </c>
      <c r="N120" s="187" t="str">
        <f t="shared" si="21"/>
        <v>D</v>
      </c>
      <c r="O120" s="187" t="str">
        <f t="shared" si="30"/>
        <v>D</v>
      </c>
      <c r="P120" s="187">
        <f t="shared" si="31"/>
        <v>1</v>
      </c>
      <c r="Q120" s="187">
        <f>IFERROR(VLOOKUP(E120,Tabela_Deflator:E$43,5,FALSE),1)</f>
        <v>1</v>
      </c>
      <c r="R120" s="188" t="str">
        <f t="shared" si="32"/>
        <v/>
      </c>
      <c r="S120" s="237" t="str">
        <f t="shared" si="22"/>
        <v/>
      </c>
      <c r="T120" s="237" t="str">
        <f t="shared" si="37"/>
        <v/>
      </c>
      <c r="U120" s="189"/>
      <c r="V120" s="167"/>
      <c r="W120" s="165"/>
      <c r="X120" s="164"/>
      <c r="Y120" s="164"/>
      <c r="Z120" s="164"/>
      <c r="AA120" s="174"/>
      <c r="AB120" s="164"/>
      <c r="AC120" s="174"/>
      <c r="AD120" s="184"/>
      <c r="AE120" s="190" t="str">
        <f t="shared" si="33"/>
        <v/>
      </c>
      <c r="AF120" s="190" t="str">
        <f t="shared" si="34"/>
        <v/>
      </c>
      <c r="AG120" s="190" t="str">
        <f t="shared" si="23"/>
        <v>D</v>
      </c>
      <c r="AH120" s="190">
        <f>IFERROR(VLOOKUP(Y120,SISP_Deflatores_e_INMs!B$4:F$49,3,FALSE),1)</f>
        <v>1</v>
      </c>
      <c r="AI120" s="190">
        <f>IFERROR(VLOOKUP(Y120,SISP_Deflatores_e_INMs!B$4:G$49,5,FALSE),1)</f>
        <v>1</v>
      </c>
      <c r="AJ120" s="191" t="str">
        <f t="shared" si="35"/>
        <v/>
      </c>
      <c r="AK120" s="237" t="str">
        <f t="shared" si="24"/>
        <v/>
      </c>
      <c r="AL120" s="237" t="str">
        <f t="shared" si="36"/>
        <v/>
      </c>
      <c r="AM120" s="192" t="e">
        <f t="shared" si="25"/>
        <v>#VALUE!</v>
      </c>
      <c r="AN120" s="193" t="e">
        <f t="shared" si="26"/>
        <v>#VALUE!</v>
      </c>
      <c r="AO120" s="193" t="e">
        <f t="shared" si="27"/>
        <v>#VALUE!</v>
      </c>
      <c r="AP120" s="193"/>
      <c r="AQ120" s="204"/>
      <c r="AR120" s="204"/>
      <c r="AS120" s="204"/>
      <c r="AT120" s="205"/>
      <c r="AU120"/>
    </row>
    <row r="121" spans="2:47" ht="15" customHeight="1" x14ac:dyDescent="0.25">
      <c r="B121" s="206"/>
      <c r="C121" s="185"/>
      <c r="D121" s="164"/>
      <c r="E121" s="174"/>
      <c r="F121" s="164"/>
      <c r="G121" s="174"/>
      <c r="H121" s="164"/>
      <c r="I121" s="174"/>
      <c r="J121" s="184"/>
      <c r="K121" s="186"/>
      <c r="L121" s="187" t="str">
        <f t="shared" si="28"/>
        <v/>
      </c>
      <c r="M121" s="187" t="str">
        <f t="shared" si="29"/>
        <v/>
      </c>
      <c r="N121" s="187" t="str">
        <f t="shared" si="21"/>
        <v>D</v>
      </c>
      <c r="O121" s="187" t="str">
        <f t="shared" si="30"/>
        <v>D</v>
      </c>
      <c r="P121" s="187">
        <f t="shared" si="31"/>
        <v>1</v>
      </c>
      <c r="Q121" s="187">
        <f>IFERROR(VLOOKUP(E121,Tabela_Deflator:E$43,5,FALSE),1)</f>
        <v>1</v>
      </c>
      <c r="R121" s="188" t="str">
        <f t="shared" si="32"/>
        <v/>
      </c>
      <c r="S121" s="237" t="str">
        <f t="shared" si="22"/>
        <v/>
      </c>
      <c r="T121" s="237" t="str">
        <f t="shared" si="37"/>
        <v/>
      </c>
      <c r="U121" s="189"/>
      <c r="V121" s="167"/>
      <c r="W121" s="165"/>
      <c r="X121" s="164"/>
      <c r="Y121" s="164"/>
      <c r="Z121" s="164"/>
      <c r="AA121" s="174"/>
      <c r="AB121" s="164"/>
      <c r="AC121" s="174"/>
      <c r="AD121" s="184"/>
      <c r="AE121" s="190" t="str">
        <f t="shared" si="33"/>
        <v/>
      </c>
      <c r="AF121" s="190" t="str">
        <f t="shared" si="34"/>
        <v/>
      </c>
      <c r="AG121" s="190" t="str">
        <f t="shared" si="23"/>
        <v>D</v>
      </c>
      <c r="AH121" s="190">
        <f>IFERROR(VLOOKUP(Y121,SISP_Deflatores_e_INMs!B$4:F$49,3,FALSE),1)</f>
        <v>1</v>
      </c>
      <c r="AI121" s="190">
        <f>IFERROR(VLOOKUP(Y121,SISP_Deflatores_e_INMs!B$4:G$49,5,FALSE),1)</f>
        <v>1</v>
      </c>
      <c r="AJ121" s="191" t="str">
        <f t="shared" si="35"/>
        <v/>
      </c>
      <c r="AK121" s="237" t="str">
        <f t="shared" si="24"/>
        <v/>
      </c>
      <c r="AL121" s="237" t="str">
        <f t="shared" si="36"/>
        <v/>
      </c>
      <c r="AM121" s="192" t="e">
        <f t="shared" si="25"/>
        <v>#VALUE!</v>
      </c>
      <c r="AN121" s="193" t="e">
        <f t="shared" si="26"/>
        <v>#VALUE!</v>
      </c>
      <c r="AO121" s="193" t="e">
        <f t="shared" si="27"/>
        <v>#VALUE!</v>
      </c>
      <c r="AP121" s="193"/>
      <c r="AQ121" s="204"/>
      <c r="AR121" s="204"/>
      <c r="AS121" s="204"/>
      <c r="AT121" s="205"/>
      <c r="AU121"/>
    </row>
    <row r="122" spans="2:47" ht="15" customHeight="1" x14ac:dyDescent="0.25">
      <c r="B122" s="206"/>
      <c r="C122" s="185"/>
      <c r="D122" s="164"/>
      <c r="E122" s="174"/>
      <c r="F122" s="164"/>
      <c r="G122" s="174"/>
      <c r="H122" s="164"/>
      <c r="I122" s="174"/>
      <c r="J122" s="184"/>
      <c r="K122" s="186"/>
      <c r="L122" s="187" t="str">
        <f t="shared" si="28"/>
        <v/>
      </c>
      <c r="M122" s="187" t="str">
        <f t="shared" si="29"/>
        <v/>
      </c>
      <c r="N122" s="187" t="str">
        <f t="shared" si="21"/>
        <v>D</v>
      </c>
      <c r="O122" s="187" t="str">
        <f t="shared" si="30"/>
        <v>D</v>
      </c>
      <c r="P122" s="187">
        <f t="shared" si="31"/>
        <v>1</v>
      </c>
      <c r="Q122" s="187">
        <f>IFERROR(VLOOKUP(E122,Tabela_Deflator:E$43,5,FALSE),1)</f>
        <v>1</v>
      </c>
      <c r="R122" s="188" t="str">
        <f t="shared" si="32"/>
        <v/>
      </c>
      <c r="S122" s="237" t="str">
        <f t="shared" si="22"/>
        <v/>
      </c>
      <c r="T122" s="237" t="str">
        <f t="shared" si="37"/>
        <v/>
      </c>
      <c r="U122" s="189"/>
      <c r="V122" s="167"/>
      <c r="W122" s="165"/>
      <c r="X122" s="164"/>
      <c r="Y122" s="164"/>
      <c r="Z122" s="164"/>
      <c r="AA122" s="174"/>
      <c r="AB122" s="164"/>
      <c r="AC122" s="174"/>
      <c r="AD122" s="184"/>
      <c r="AE122" s="190" t="str">
        <f t="shared" si="33"/>
        <v/>
      </c>
      <c r="AF122" s="190" t="str">
        <f t="shared" si="34"/>
        <v/>
      </c>
      <c r="AG122" s="190" t="str">
        <f t="shared" si="23"/>
        <v>D</v>
      </c>
      <c r="AH122" s="190">
        <f>IFERROR(VLOOKUP(Y122,SISP_Deflatores_e_INMs!B$4:F$49,3,FALSE),1)</f>
        <v>1</v>
      </c>
      <c r="AI122" s="190">
        <f>IFERROR(VLOOKUP(Y122,SISP_Deflatores_e_INMs!B$4:G$49,5,FALSE),1)</f>
        <v>1</v>
      </c>
      <c r="AJ122" s="191" t="str">
        <f t="shared" si="35"/>
        <v/>
      </c>
      <c r="AK122" s="237" t="str">
        <f t="shared" si="24"/>
        <v/>
      </c>
      <c r="AL122" s="237" t="str">
        <f t="shared" si="36"/>
        <v/>
      </c>
      <c r="AM122" s="192" t="e">
        <f t="shared" si="25"/>
        <v>#VALUE!</v>
      </c>
      <c r="AN122" s="193" t="e">
        <f t="shared" si="26"/>
        <v>#VALUE!</v>
      </c>
      <c r="AO122" s="193" t="e">
        <f t="shared" si="27"/>
        <v>#VALUE!</v>
      </c>
      <c r="AP122" s="193"/>
      <c r="AQ122" s="204"/>
      <c r="AR122" s="204"/>
      <c r="AS122" s="204"/>
      <c r="AT122" s="205"/>
      <c r="AU122"/>
    </row>
    <row r="123" spans="2:47" ht="15" customHeight="1" x14ac:dyDescent="0.25">
      <c r="B123" s="206"/>
      <c r="C123" s="185"/>
      <c r="D123" s="164"/>
      <c r="E123" s="174"/>
      <c r="F123" s="164"/>
      <c r="G123" s="174"/>
      <c r="H123" s="164"/>
      <c r="I123" s="174"/>
      <c r="J123" s="184"/>
      <c r="K123" s="186"/>
      <c r="L123" s="187" t="str">
        <f t="shared" si="28"/>
        <v/>
      </c>
      <c r="M123" s="187" t="str">
        <f t="shared" si="29"/>
        <v/>
      </c>
      <c r="N123" s="187" t="str">
        <f t="shared" si="21"/>
        <v>D</v>
      </c>
      <c r="O123" s="187" t="str">
        <f t="shared" si="30"/>
        <v>D</v>
      </c>
      <c r="P123" s="187">
        <f t="shared" si="31"/>
        <v>1</v>
      </c>
      <c r="Q123" s="187">
        <f>IFERROR(VLOOKUP(E123,Tabela_Deflator:E$43,5,FALSE),1)</f>
        <v>1</v>
      </c>
      <c r="R123" s="188" t="str">
        <f t="shared" si="32"/>
        <v/>
      </c>
      <c r="S123" s="237" t="str">
        <f t="shared" si="22"/>
        <v/>
      </c>
      <c r="T123" s="237" t="str">
        <f t="shared" si="37"/>
        <v/>
      </c>
      <c r="U123" s="189"/>
      <c r="V123" s="167"/>
      <c r="W123" s="165"/>
      <c r="X123" s="164"/>
      <c r="Y123" s="164"/>
      <c r="Z123" s="164"/>
      <c r="AA123" s="174"/>
      <c r="AB123" s="164"/>
      <c r="AC123" s="174"/>
      <c r="AD123" s="184"/>
      <c r="AE123" s="190" t="str">
        <f t="shared" si="33"/>
        <v/>
      </c>
      <c r="AF123" s="190" t="str">
        <f t="shared" si="34"/>
        <v/>
      </c>
      <c r="AG123" s="190" t="str">
        <f t="shared" si="23"/>
        <v>D</v>
      </c>
      <c r="AH123" s="190">
        <f>IFERROR(VLOOKUP(Y123,SISP_Deflatores_e_INMs!B$4:F$49,3,FALSE),1)</f>
        <v>1</v>
      </c>
      <c r="AI123" s="190">
        <f>IFERROR(VLOOKUP(Y123,SISP_Deflatores_e_INMs!B$4:G$49,5,FALSE),1)</f>
        <v>1</v>
      </c>
      <c r="AJ123" s="191" t="str">
        <f t="shared" si="35"/>
        <v/>
      </c>
      <c r="AK123" s="237" t="str">
        <f t="shared" si="24"/>
        <v/>
      </c>
      <c r="AL123" s="237" t="str">
        <f t="shared" si="36"/>
        <v/>
      </c>
      <c r="AM123" s="192" t="e">
        <f t="shared" si="25"/>
        <v>#VALUE!</v>
      </c>
      <c r="AN123" s="193" t="e">
        <f t="shared" si="26"/>
        <v>#VALUE!</v>
      </c>
      <c r="AO123" s="193" t="e">
        <f t="shared" si="27"/>
        <v>#VALUE!</v>
      </c>
      <c r="AP123" s="193"/>
      <c r="AQ123" s="204"/>
      <c r="AR123" s="204"/>
      <c r="AS123" s="204"/>
      <c r="AT123" s="205"/>
      <c r="AU123"/>
    </row>
    <row r="124" spans="2:47" ht="15" customHeight="1" x14ac:dyDescent="0.25">
      <c r="B124" s="206"/>
      <c r="C124" s="185"/>
      <c r="D124" s="164"/>
      <c r="E124" s="174"/>
      <c r="F124" s="164"/>
      <c r="G124" s="174"/>
      <c r="H124" s="164"/>
      <c r="I124" s="174"/>
      <c r="J124" s="184"/>
      <c r="K124" s="186"/>
      <c r="L124" s="187" t="str">
        <f t="shared" si="28"/>
        <v/>
      </c>
      <c r="M124" s="187" t="str">
        <f t="shared" si="29"/>
        <v/>
      </c>
      <c r="N124" s="187" t="str">
        <f t="shared" si="21"/>
        <v>D</v>
      </c>
      <c r="O124" s="187" t="str">
        <f t="shared" si="30"/>
        <v>D</v>
      </c>
      <c r="P124" s="187">
        <f t="shared" si="31"/>
        <v>1</v>
      </c>
      <c r="Q124" s="187">
        <f>IFERROR(VLOOKUP(E124,Tabela_Deflator:E$43,5,FALSE),1)</f>
        <v>1</v>
      </c>
      <c r="R124" s="188" t="str">
        <f t="shared" si="32"/>
        <v/>
      </c>
      <c r="S124" s="237" t="str">
        <f t="shared" si="22"/>
        <v/>
      </c>
      <c r="T124" s="237" t="str">
        <f t="shared" si="37"/>
        <v/>
      </c>
      <c r="U124" s="189"/>
      <c r="V124" s="167"/>
      <c r="W124" s="165"/>
      <c r="X124" s="164"/>
      <c r="Y124" s="164"/>
      <c r="Z124" s="164"/>
      <c r="AA124" s="174"/>
      <c r="AB124" s="164"/>
      <c r="AC124" s="174"/>
      <c r="AD124" s="184"/>
      <c r="AE124" s="190" t="str">
        <f t="shared" si="33"/>
        <v/>
      </c>
      <c r="AF124" s="190" t="str">
        <f t="shared" si="34"/>
        <v/>
      </c>
      <c r="AG124" s="190" t="str">
        <f t="shared" si="23"/>
        <v>D</v>
      </c>
      <c r="AH124" s="190">
        <f>IFERROR(VLOOKUP(Y124,SISP_Deflatores_e_INMs!B$4:F$49,3,FALSE),1)</f>
        <v>1</v>
      </c>
      <c r="AI124" s="190">
        <f>IFERROR(VLOOKUP(Y124,SISP_Deflatores_e_INMs!B$4:G$49,5,FALSE),1)</f>
        <v>1</v>
      </c>
      <c r="AJ124" s="191" t="str">
        <f t="shared" si="35"/>
        <v/>
      </c>
      <c r="AK124" s="237" t="str">
        <f t="shared" si="24"/>
        <v/>
      </c>
      <c r="AL124" s="237" t="str">
        <f t="shared" si="36"/>
        <v/>
      </c>
      <c r="AM124" s="192" t="e">
        <f t="shared" si="25"/>
        <v>#VALUE!</v>
      </c>
      <c r="AN124" s="193" t="e">
        <f t="shared" si="26"/>
        <v>#VALUE!</v>
      </c>
      <c r="AO124" s="193" t="e">
        <f t="shared" si="27"/>
        <v>#VALUE!</v>
      </c>
      <c r="AP124" s="193"/>
      <c r="AQ124" s="204"/>
      <c r="AR124" s="204"/>
      <c r="AS124" s="204"/>
      <c r="AT124" s="205"/>
      <c r="AU124"/>
    </row>
    <row r="125" spans="2:47" ht="15" customHeight="1" x14ac:dyDescent="0.25">
      <c r="B125" s="206"/>
      <c r="C125" s="185"/>
      <c r="D125" s="164"/>
      <c r="E125" s="174"/>
      <c r="F125" s="164"/>
      <c r="G125" s="174"/>
      <c r="H125" s="164"/>
      <c r="I125" s="174"/>
      <c r="J125" s="184"/>
      <c r="K125" s="186"/>
      <c r="L125" s="187" t="str">
        <f t="shared" si="28"/>
        <v/>
      </c>
      <c r="M125" s="187" t="str">
        <f t="shared" si="29"/>
        <v/>
      </c>
      <c r="N125" s="187" t="str">
        <f t="shared" si="21"/>
        <v>D</v>
      </c>
      <c r="O125" s="187" t="str">
        <f t="shared" si="30"/>
        <v>D</v>
      </c>
      <c r="P125" s="187">
        <f t="shared" si="31"/>
        <v>1</v>
      </c>
      <c r="Q125" s="187">
        <f>IFERROR(VLOOKUP(E125,Tabela_Deflator:E$43,5,FALSE),1)</f>
        <v>1</v>
      </c>
      <c r="R125" s="188" t="str">
        <f t="shared" si="32"/>
        <v/>
      </c>
      <c r="S125" s="237" t="str">
        <f t="shared" si="22"/>
        <v/>
      </c>
      <c r="T125" s="237" t="str">
        <f t="shared" si="37"/>
        <v/>
      </c>
      <c r="U125" s="189"/>
      <c r="V125" s="167"/>
      <c r="W125" s="165"/>
      <c r="X125" s="164"/>
      <c r="Y125" s="164"/>
      <c r="Z125" s="164"/>
      <c r="AA125" s="174"/>
      <c r="AB125" s="164"/>
      <c r="AC125" s="174"/>
      <c r="AD125" s="184"/>
      <c r="AE125" s="190" t="str">
        <f t="shared" si="33"/>
        <v/>
      </c>
      <c r="AF125" s="190" t="str">
        <f t="shared" si="34"/>
        <v/>
      </c>
      <c r="AG125" s="190" t="str">
        <f t="shared" si="23"/>
        <v>D</v>
      </c>
      <c r="AH125" s="190">
        <f>IFERROR(VLOOKUP(Y125,SISP_Deflatores_e_INMs!B$4:F$49,3,FALSE),1)</f>
        <v>1</v>
      </c>
      <c r="AI125" s="190">
        <f>IFERROR(VLOOKUP(Y125,SISP_Deflatores_e_INMs!B$4:G$49,5,FALSE),1)</f>
        <v>1</v>
      </c>
      <c r="AJ125" s="191" t="str">
        <f t="shared" si="35"/>
        <v/>
      </c>
      <c r="AK125" s="237" t="str">
        <f t="shared" si="24"/>
        <v/>
      </c>
      <c r="AL125" s="237" t="str">
        <f t="shared" si="36"/>
        <v/>
      </c>
      <c r="AM125" s="192" t="e">
        <f t="shared" si="25"/>
        <v>#VALUE!</v>
      </c>
      <c r="AN125" s="193" t="e">
        <f t="shared" si="26"/>
        <v>#VALUE!</v>
      </c>
      <c r="AO125" s="193" t="e">
        <f t="shared" si="27"/>
        <v>#VALUE!</v>
      </c>
      <c r="AP125" s="193"/>
      <c r="AQ125" s="204"/>
      <c r="AR125" s="204"/>
      <c r="AS125" s="204"/>
      <c r="AT125" s="205"/>
      <c r="AU125"/>
    </row>
    <row r="126" spans="2:47" ht="15" customHeight="1" x14ac:dyDescent="0.25">
      <c r="B126" s="206"/>
      <c r="C126" s="185"/>
      <c r="D126" s="164"/>
      <c r="E126" s="174"/>
      <c r="F126" s="164"/>
      <c r="G126" s="174"/>
      <c r="H126" s="164"/>
      <c r="I126" s="174"/>
      <c r="J126" s="184"/>
      <c r="K126" s="186"/>
      <c r="L126" s="187" t="str">
        <f t="shared" si="28"/>
        <v/>
      </c>
      <c r="M126" s="187" t="str">
        <f t="shared" si="29"/>
        <v/>
      </c>
      <c r="N126" s="187" t="str">
        <f t="shared" si="21"/>
        <v>D</v>
      </c>
      <c r="O126" s="187" t="str">
        <f t="shared" si="30"/>
        <v>D</v>
      </c>
      <c r="P126" s="187">
        <f t="shared" si="31"/>
        <v>1</v>
      </c>
      <c r="Q126" s="187">
        <f>IFERROR(VLOOKUP(E126,Tabela_Deflator:E$43,5,FALSE),1)</f>
        <v>1</v>
      </c>
      <c r="R126" s="188" t="str">
        <f t="shared" si="32"/>
        <v/>
      </c>
      <c r="S126" s="237" t="str">
        <f t="shared" si="22"/>
        <v/>
      </c>
      <c r="T126" s="237" t="str">
        <f t="shared" si="37"/>
        <v/>
      </c>
      <c r="U126" s="189"/>
      <c r="V126" s="167"/>
      <c r="W126" s="165"/>
      <c r="X126" s="164"/>
      <c r="Y126" s="164"/>
      <c r="Z126" s="164"/>
      <c r="AA126" s="174"/>
      <c r="AB126" s="164"/>
      <c r="AC126" s="174"/>
      <c r="AD126" s="184"/>
      <c r="AE126" s="190" t="str">
        <f t="shared" si="33"/>
        <v/>
      </c>
      <c r="AF126" s="190" t="str">
        <f t="shared" si="34"/>
        <v/>
      </c>
      <c r="AG126" s="190" t="str">
        <f t="shared" si="23"/>
        <v>D</v>
      </c>
      <c r="AH126" s="190">
        <f>IFERROR(VLOOKUP(Y126,SISP_Deflatores_e_INMs!B$4:F$49,3,FALSE),1)</f>
        <v>1</v>
      </c>
      <c r="AI126" s="190">
        <f>IFERROR(VLOOKUP(Y126,SISP_Deflatores_e_INMs!B$4:G$49,5,FALSE),1)</f>
        <v>1</v>
      </c>
      <c r="AJ126" s="191" t="str">
        <f t="shared" si="35"/>
        <v/>
      </c>
      <c r="AK126" s="237" t="str">
        <f t="shared" si="24"/>
        <v/>
      </c>
      <c r="AL126" s="237" t="str">
        <f t="shared" si="36"/>
        <v/>
      </c>
      <c r="AM126" s="192" t="e">
        <f t="shared" si="25"/>
        <v>#VALUE!</v>
      </c>
      <c r="AN126" s="193" t="e">
        <f t="shared" si="26"/>
        <v>#VALUE!</v>
      </c>
      <c r="AO126" s="193" t="e">
        <f t="shared" si="27"/>
        <v>#VALUE!</v>
      </c>
      <c r="AP126" s="193"/>
      <c r="AQ126" s="204"/>
      <c r="AR126" s="204"/>
      <c r="AS126" s="204"/>
      <c r="AT126" s="205"/>
      <c r="AU126"/>
    </row>
    <row r="127" spans="2:47" ht="15" customHeight="1" x14ac:dyDescent="0.25">
      <c r="B127" s="206"/>
      <c r="C127" s="185"/>
      <c r="D127" s="164"/>
      <c r="E127" s="174"/>
      <c r="F127" s="164"/>
      <c r="G127" s="174"/>
      <c r="H127" s="164"/>
      <c r="I127" s="174"/>
      <c r="J127" s="184"/>
      <c r="K127" s="186"/>
      <c r="L127" s="187" t="str">
        <f t="shared" si="28"/>
        <v/>
      </c>
      <c r="M127" s="187" t="str">
        <f t="shared" si="29"/>
        <v/>
      </c>
      <c r="N127" s="187" t="str">
        <f t="shared" si="21"/>
        <v>D</v>
      </c>
      <c r="O127" s="187" t="str">
        <f t="shared" si="30"/>
        <v>D</v>
      </c>
      <c r="P127" s="187">
        <f t="shared" si="31"/>
        <v>1</v>
      </c>
      <c r="Q127" s="187">
        <f>IFERROR(VLOOKUP(E127,Tabela_Deflator:E$43,5,FALSE),1)</f>
        <v>1</v>
      </c>
      <c r="R127" s="188" t="str">
        <f t="shared" si="32"/>
        <v/>
      </c>
      <c r="S127" s="237" t="str">
        <f t="shared" si="22"/>
        <v/>
      </c>
      <c r="T127" s="237" t="str">
        <f t="shared" si="37"/>
        <v/>
      </c>
      <c r="U127" s="189"/>
      <c r="V127" s="167"/>
      <c r="W127" s="165"/>
      <c r="X127" s="164"/>
      <c r="Y127" s="164"/>
      <c r="Z127" s="164"/>
      <c r="AA127" s="174"/>
      <c r="AB127" s="164"/>
      <c r="AC127" s="174"/>
      <c r="AD127" s="184"/>
      <c r="AE127" s="190" t="str">
        <f t="shared" si="33"/>
        <v/>
      </c>
      <c r="AF127" s="190" t="str">
        <f t="shared" si="34"/>
        <v/>
      </c>
      <c r="AG127" s="190" t="str">
        <f t="shared" si="23"/>
        <v>D</v>
      </c>
      <c r="AH127" s="190">
        <f>IFERROR(VLOOKUP(Y127,SISP_Deflatores_e_INMs!B$4:F$49,3,FALSE),1)</f>
        <v>1</v>
      </c>
      <c r="AI127" s="190">
        <f>IFERROR(VLOOKUP(Y127,SISP_Deflatores_e_INMs!B$4:G$49,5,FALSE),1)</f>
        <v>1</v>
      </c>
      <c r="AJ127" s="191" t="str">
        <f t="shared" si="35"/>
        <v/>
      </c>
      <c r="AK127" s="237" t="str">
        <f t="shared" si="24"/>
        <v/>
      </c>
      <c r="AL127" s="237" t="str">
        <f t="shared" si="36"/>
        <v/>
      </c>
      <c r="AM127" s="192" t="e">
        <f t="shared" si="25"/>
        <v>#VALUE!</v>
      </c>
      <c r="AN127" s="193" t="e">
        <f t="shared" si="26"/>
        <v>#VALUE!</v>
      </c>
      <c r="AO127" s="193" t="e">
        <f t="shared" si="27"/>
        <v>#VALUE!</v>
      </c>
      <c r="AP127" s="193"/>
      <c r="AQ127" s="204"/>
      <c r="AR127" s="204"/>
      <c r="AS127" s="204"/>
      <c r="AT127" s="205"/>
      <c r="AU127"/>
    </row>
    <row r="128" spans="2:47" ht="15" customHeight="1" x14ac:dyDescent="0.25">
      <c r="B128" s="206"/>
      <c r="C128" s="185"/>
      <c r="D128" s="164"/>
      <c r="E128" s="174"/>
      <c r="F128" s="164"/>
      <c r="G128" s="174"/>
      <c r="H128" s="164"/>
      <c r="I128" s="174"/>
      <c r="J128" s="184"/>
      <c r="K128" s="186"/>
      <c r="L128" s="187" t="str">
        <f t="shared" si="28"/>
        <v/>
      </c>
      <c r="M128" s="187" t="str">
        <f t="shared" si="29"/>
        <v/>
      </c>
      <c r="N128" s="187" t="str">
        <f t="shared" si="21"/>
        <v>D</v>
      </c>
      <c r="O128" s="187" t="str">
        <f t="shared" si="30"/>
        <v>D</v>
      </c>
      <c r="P128" s="187">
        <f t="shared" si="31"/>
        <v>1</v>
      </c>
      <c r="Q128" s="187">
        <f>IFERROR(VLOOKUP(E128,Tabela_Deflator:E$43,5,FALSE),1)</f>
        <v>1</v>
      </c>
      <c r="R128" s="188" t="str">
        <f t="shared" si="32"/>
        <v/>
      </c>
      <c r="S128" s="237" t="str">
        <f t="shared" si="22"/>
        <v/>
      </c>
      <c r="T128" s="237" t="str">
        <f t="shared" si="37"/>
        <v/>
      </c>
      <c r="U128" s="189"/>
      <c r="V128" s="167"/>
      <c r="W128" s="165"/>
      <c r="X128" s="164"/>
      <c r="Y128" s="164"/>
      <c r="Z128" s="164"/>
      <c r="AA128" s="174"/>
      <c r="AB128" s="164"/>
      <c r="AC128" s="174"/>
      <c r="AD128" s="184"/>
      <c r="AE128" s="190" t="str">
        <f t="shared" si="33"/>
        <v/>
      </c>
      <c r="AF128" s="190" t="str">
        <f t="shared" si="34"/>
        <v/>
      </c>
      <c r="AG128" s="190" t="str">
        <f t="shared" si="23"/>
        <v>D</v>
      </c>
      <c r="AH128" s="190">
        <f>IFERROR(VLOOKUP(Y128,SISP_Deflatores_e_INMs!B$4:F$49,3,FALSE),1)</f>
        <v>1</v>
      </c>
      <c r="AI128" s="190">
        <f>IFERROR(VLOOKUP(Y128,SISP_Deflatores_e_INMs!B$4:G$49,5,FALSE),1)</f>
        <v>1</v>
      </c>
      <c r="AJ128" s="191" t="str">
        <f t="shared" si="35"/>
        <v/>
      </c>
      <c r="AK128" s="237" t="str">
        <f t="shared" si="24"/>
        <v/>
      </c>
      <c r="AL128" s="237" t="str">
        <f t="shared" si="36"/>
        <v/>
      </c>
      <c r="AM128" s="192" t="e">
        <f t="shared" si="25"/>
        <v>#VALUE!</v>
      </c>
      <c r="AN128" s="193" t="e">
        <f t="shared" si="26"/>
        <v>#VALUE!</v>
      </c>
      <c r="AO128" s="193" t="e">
        <f t="shared" si="27"/>
        <v>#VALUE!</v>
      </c>
      <c r="AP128" s="193"/>
      <c r="AQ128" s="204"/>
      <c r="AR128" s="204"/>
      <c r="AS128" s="204"/>
      <c r="AT128" s="205"/>
      <c r="AU128"/>
    </row>
    <row r="129" spans="2:47" ht="15" customHeight="1" x14ac:dyDescent="0.25">
      <c r="B129" s="206"/>
      <c r="C129" s="185"/>
      <c r="D129" s="164"/>
      <c r="E129" s="174"/>
      <c r="F129" s="164"/>
      <c r="G129" s="174"/>
      <c r="H129" s="164"/>
      <c r="I129" s="174"/>
      <c r="J129" s="184"/>
      <c r="K129" s="186"/>
      <c r="L129" s="187" t="str">
        <f t="shared" si="28"/>
        <v/>
      </c>
      <c r="M129" s="187" t="str">
        <f t="shared" si="29"/>
        <v/>
      </c>
      <c r="N129" s="187" t="str">
        <f t="shared" si="21"/>
        <v>D</v>
      </c>
      <c r="O129" s="187" t="str">
        <f t="shared" si="30"/>
        <v>D</v>
      </c>
      <c r="P129" s="187">
        <f t="shared" si="31"/>
        <v>1</v>
      </c>
      <c r="Q129" s="187">
        <f>IFERROR(VLOOKUP(E129,Tabela_Deflator:E$43,5,FALSE),1)</f>
        <v>1</v>
      </c>
      <c r="R129" s="188" t="str">
        <f t="shared" si="32"/>
        <v/>
      </c>
      <c r="S129" s="237" t="str">
        <f t="shared" si="22"/>
        <v/>
      </c>
      <c r="T129" s="237" t="str">
        <f t="shared" si="37"/>
        <v/>
      </c>
      <c r="U129" s="189"/>
      <c r="V129" s="167"/>
      <c r="W129" s="165"/>
      <c r="X129" s="164"/>
      <c r="Y129" s="164"/>
      <c r="Z129" s="164"/>
      <c r="AA129" s="174"/>
      <c r="AB129" s="164"/>
      <c r="AC129" s="174"/>
      <c r="AD129" s="184"/>
      <c r="AE129" s="190" t="str">
        <f t="shared" si="33"/>
        <v/>
      </c>
      <c r="AF129" s="190" t="str">
        <f t="shared" si="34"/>
        <v/>
      </c>
      <c r="AG129" s="190" t="str">
        <f t="shared" si="23"/>
        <v>D</v>
      </c>
      <c r="AH129" s="190">
        <f>IFERROR(VLOOKUP(Y129,SISP_Deflatores_e_INMs!B$4:F$49,3,FALSE),1)</f>
        <v>1</v>
      </c>
      <c r="AI129" s="190">
        <f>IFERROR(VLOOKUP(Y129,SISP_Deflatores_e_INMs!B$4:G$49,5,FALSE),1)</f>
        <v>1</v>
      </c>
      <c r="AJ129" s="191" t="str">
        <f t="shared" si="35"/>
        <v/>
      </c>
      <c r="AK129" s="237" t="str">
        <f t="shared" si="24"/>
        <v/>
      </c>
      <c r="AL129" s="237" t="str">
        <f t="shared" si="36"/>
        <v/>
      </c>
      <c r="AM129" s="192" t="e">
        <f t="shared" si="25"/>
        <v>#VALUE!</v>
      </c>
      <c r="AN129" s="193" t="e">
        <f t="shared" si="26"/>
        <v>#VALUE!</v>
      </c>
      <c r="AO129" s="193" t="e">
        <f t="shared" si="27"/>
        <v>#VALUE!</v>
      </c>
      <c r="AP129" s="193"/>
      <c r="AQ129" s="204"/>
      <c r="AR129" s="204"/>
      <c r="AS129" s="204"/>
      <c r="AT129" s="205"/>
      <c r="AU129"/>
    </row>
    <row r="130" spans="2:47" ht="15" customHeight="1" x14ac:dyDescent="0.25">
      <c r="B130" s="206"/>
      <c r="C130" s="185"/>
      <c r="D130" s="164"/>
      <c r="E130" s="174"/>
      <c r="F130" s="164"/>
      <c r="G130" s="174"/>
      <c r="H130" s="164"/>
      <c r="I130" s="174"/>
      <c r="J130" s="184"/>
      <c r="K130" s="186"/>
      <c r="L130" s="187" t="str">
        <f t="shared" si="28"/>
        <v/>
      </c>
      <c r="M130" s="187" t="str">
        <f t="shared" si="29"/>
        <v/>
      </c>
      <c r="N130" s="187" t="str">
        <f t="shared" si="21"/>
        <v>D</v>
      </c>
      <c r="O130" s="187" t="str">
        <f t="shared" si="30"/>
        <v>D</v>
      </c>
      <c r="P130" s="187">
        <f t="shared" si="31"/>
        <v>1</v>
      </c>
      <c r="Q130" s="187">
        <f>IFERROR(VLOOKUP(E130,Tabela_Deflator:E$43,5,FALSE),1)</f>
        <v>1</v>
      </c>
      <c r="R130" s="188" t="str">
        <f t="shared" si="32"/>
        <v/>
      </c>
      <c r="S130" s="237" t="str">
        <f t="shared" si="22"/>
        <v/>
      </c>
      <c r="T130" s="237" t="str">
        <f t="shared" si="37"/>
        <v/>
      </c>
      <c r="U130" s="189"/>
      <c r="V130" s="167"/>
      <c r="W130" s="165"/>
      <c r="X130" s="164"/>
      <c r="Y130" s="164"/>
      <c r="Z130" s="164"/>
      <c r="AA130" s="174"/>
      <c r="AB130" s="164"/>
      <c r="AC130" s="174"/>
      <c r="AD130" s="184"/>
      <c r="AE130" s="190" t="str">
        <f t="shared" si="33"/>
        <v/>
      </c>
      <c r="AF130" s="190" t="str">
        <f t="shared" si="34"/>
        <v/>
      </c>
      <c r="AG130" s="190" t="str">
        <f t="shared" si="23"/>
        <v>D</v>
      </c>
      <c r="AH130" s="190">
        <f>IFERROR(VLOOKUP(Y130,SISP_Deflatores_e_INMs!B$4:F$49,3,FALSE),1)</f>
        <v>1</v>
      </c>
      <c r="AI130" s="190">
        <f>IFERROR(VLOOKUP(Y130,SISP_Deflatores_e_INMs!B$4:G$49,5,FALSE),1)</f>
        <v>1</v>
      </c>
      <c r="AJ130" s="191" t="str">
        <f t="shared" si="35"/>
        <v/>
      </c>
      <c r="AK130" s="237" t="str">
        <f t="shared" si="24"/>
        <v/>
      </c>
      <c r="AL130" s="237" t="str">
        <f t="shared" si="36"/>
        <v/>
      </c>
      <c r="AM130" s="192" t="e">
        <f t="shared" si="25"/>
        <v>#VALUE!</v>
      </c>
      <c r="AN130" s="193" t="e">
        <f t="shared" si="26"/>
        <v>#VALUE!</v>
      </c>
      <c r="AO130" s="193" t="e">
        <f t="shared" si="27"/>
        <v>#VALUE!</v>
      </c>
      <c r="AP130" s="193"/>
      <c r="AQ130" s="204"/>
      <c r="AR130" s="204"/>
      <c r="AS130" s="204"/>
      <c r="AT130" s="205"/>
      <c r="AU130"/>
    </row>
    <row r="131" spans="2:47" ht="15" customHeight="1" x14ac:dyDescent="0.25">
      <c r="B131" s="206"/>
      <c r="C131" s="185"/>
      <c r="D131" s="164"/>
      <c r="E131" s="174"/>
      <c r="F131" s="164"/>
      <c r="G131" s="174"/>
      <c r="H131" s="164"/>
      <c r="I131" s="174"/>
      <c r="J131" s="184"/>
      <c r="K131" s="186"/>
      <c r="L131" s="187" t="str">
        <f t="shared" si="28"/>
        <v/>
      </c>
      <c r="M131" s="187" t="str">
        <f t="shared" si="29"/>
        <v/>
      </c>
      <c r="N131" s="187" t="str">
        <f t="shared" si="21"/>
        <v>D</v>
      </c>
      <c r="O131" s="187" t="str">
        <f t="shared" si="30"/>
        <v>D</v>
      </c>
      <c r="P131" s="187">
        <f t="shared" si="31"/>
        <v>1</v>
      </c>
      <c r="Q131" s="187">
        <f>IFERROR(VLOOKUP(E131,Tabela_Deflator:E$43,5,FALSE),1)</f>
        <v>1</v>
      </c>
      <c r="R131" s="188" t="str">
        <f t="shared" si="32"/>
        <v/>
      </c>
      <c r="S131" s="237" t="str">
        <f t="shared" si="22"/>
        <v/>
      </c>
      <c r="T131" s="237" t="str">
        <f t="shared" si="37"/>
        <v/>
      </c>
      <c r="U131" s="189"/>
      <c r="V131" s="167"/>
      <c r="W131" s="165"/>
      <c r="X131" s="164"/>
      <c r="Y131" s="164"/>
      <c r="Z131" s="164"/>
      <c r="AA131" s="174"/>
      <c r="AB131" s="164"/>
      <c r="AC131" s="174"/>
      <c r="AD131" s="184"/>
      <c r="AE131" s="190" t="str">
        <f t="shared" si="33"/>
        <v/>
      </c>
      <c r="AF131" s="190" t="str">
        <f t="shared" si="34"/>
        <v/>
      </c>
      <c r="AG131" s="190" t="str">
        <f t="shared" si="23"/>
        <v>D</v>
      </c>
      <c r="AH131" s="190">
        <f>IFERROR(VLOOKUP(Y131,SISP_Deflatores_e_INMs!B$4:F$49,3,FALSE),1)</f>
        <v>1</v>
      </c>
      <c r="AI131" s="190">
        <f>IFERROR(VLOOKUP(Y131,SISP_Deflatores_e_INMs!B$4:G$49,5,FALSE),1)</f>
        <v>1</v>
      </c>
      <c r="AJ131" s="191" t="str">
        <f t="shared" si="35"/>
        <v/>
      </c>
      <c r="AK131" s="237" t="str">
        <f t="shared" si="24"/>
        <v/>
      </c>
      <c r="AL131" s="237" t="str">
        <f t="shared" si="36"/>
        <v/>
      </c>
      <c r="AM131" s="192" t="e">
        <f t="shared" si="25"/>
        <v>#VALUE!</v>
      </c>
      <c r="AN131" s="193" t="e">
        <f t="shared" si="26"/>
        <v>#VALUE!</v>
      </c>
      <c r="AO131" s="193" t="e">
        <f t="shared" si="27"/>
        <v>#VALUE!</v>
      </c>
      <c r="AP131" s="193"/>
      <c r="AQ131" s="204"/>
      <c r="AR131" s="204"/>
      <c r="AS131" s="204"/>
      <c r="AT131" s="205"/>
      <c r="AU131"/>
    </row>
    <row r="132" spans="2:47" ht="15" customHeight="1" x14ac:dyDescent="0.25">
      <c r="B132" s="206"/>
      <c r="C132" s="185"/>
      <c r="D132" s="164"/>
      <c r="E132" s="174"/>
      <c r="F132" s="164"/>
      <c r="G132" s="174"/>
      <c r="H132" s="164"/>
      <c r="I132" s="174"/>
      <c r="J132" s="184"/>
      <c r="K132" s="186"/>
      <c r="L132" s="187" t="str">
        <f t="shared" si="28"/>
        <v/>
      </c>
      <c r="M132" s="187" t="str">
        <f t="shared" si="29"/>
        <v/>
      </c>
      <c r="N132" s="187" t="str">
        <f t="shared" ref="N132:N195" si="38">IF(Tipo_de_contagem="Contagem Detalhada","D",IF(Tipo_de_contagem="Contagem Estimada","E","S"))</f>
        <v>D</v>
      </c>
      <c r="O132" s="187" t="str">
        <f t="shared" si="30"/>
        <v>D</v>
      </c>
      <c r="P132" s="187">
        <f t="shared" si="31"/>
        <v>1</v>
      </c>
      <c r="Q132" s="187">
        <f>IFERROR(VLOOKUP(E132,Tabela_Deflator:E$43,5,FALSE),1)</f>
        <v>1</v>
      </c>
      <c r="R132" s="188" t="str">
        <f t="shared" si="32"/>
        <v/>
      </c>
      <c r="S132" s="237" t="str">
        <f t="shared" ref="S132:S195" si="39">IF(D132="N/A","",IF(D132="","",IFERROR(IF(D132="INM",P132*J132,VLOOKUP(O132,Tabela_Pontuação,2,FALSE)),0)))</f>
        <v/>
      </c>
      <c r="T132" s="237" t="str">
        <f t="shared" si="37"/>
        <v/>
      </c>
      <c r="U132" s="189"/>
      <c r="V132" s="167"/>
      <c r="W132" s="165"/>
      <c r="X132" s="164"/>
      <c r="Y132" s="164"/>
      <c r="Z132" s="164"/>
      <c r="AA132" s="174"/>
      <c r="AB132" s="164"/>
      <c r="AC132" s="174"/>
      <c r="AD132" s="184"/>
      <c r="AE132" s="190" t="str">
        <f t="shared" si="33"/>
        <v/>
      </c>
      <c r="AF132" s="190" t="str">
        <f t="shared" si="34"/>
        <v/>
      </c>
      <c r="AG132" s="190" t="str">
        <f t="shared" ref="AG132:AG195" si="40">IF(N132="S",X132,CONCATENATE(X132,AE132,N132))</f>
        <v>D</v>
      </c>
      <c r="AH132" s="190">
        <f>IFERROR(VLOOKUP(Y132,SISP_Deflatores_e_INMs!B$4:F$49,3,FALSE),1)</f>
        <v>1</v>
      </c>
      <c r="AI132" s="190">
        <f>IFERROR(VLOOKUP(Y132,SISP_Deflatores_e_INMs!B$4:G$49,5,FALSE),1)</f>
        <v>1</v>
      </c>
      <c r="AJ132" s="191" t="str">
        <f t="shared" si="35"/>
        <v/>
      </c>
      <c r="AK132" s="237" t="str">
        <f t="shared" ref="AK132:AK195" si="41">IFERROR(IF(X132="INM",AH132*AD132,VLOOKUP(AG132,Tabela_Pontuação,2,FALSE)),"")</f>
        <v/>
      </c>
      <c r="AL132" s="237" t="str">
        <f t="shared" si="36"/>
        <v/>
      </c>
      <c r="AM132" s="192" t="e">
        <f t="shared" ref="AM132:AM195" si="42">IF(S132&lt;=0,0,AK132-S132)</f>
        <v>#VALUE!</v>
      </c>
      <c r="AN132" s="193" t="e">
        <f t="shared" ref="AN132:AN195" si="43">AM132/S132</f>
        <v>#VALUE!</v>
      </c>
      <c r="AO132" s="193" t="e">
        <f t="shared" ref="AO132:AO195" si="44">IF(T132&lt;=0,0,AL132-T132)</f>
        <v>#VALUE!</v>
      </c>
      <c r="AP132" s="193"/>
      <c r="AQ132" s="204"/>
      <c r="AR132" s="204"/>
      <c r="AS132" s="204"/>
      <c r="AT132" s="205"/>
      <c r="AU132"/>
    </row>
    <row r="133" spans="2:47" ht="15" customHeight="1" x14ac:dyDescent="0.25">
      <c r="B133" s="206"/>
      <c r="C133" s="185"/>
      <c r="D133" s="164"/>
      <c r="E133" s="174"/>
      <c r="F133" s="164"/>
      <c r="G133" s="174"/>
      <c r="H133" s="164"/>
      <c r="I133" s="174"/>
      <c r="J133" s="184"/>
      <c r="K133" s="186"/>
      <c r="L133" s="187" t="str">
        <f t="shared" ref="L133:L196" si="45">IF(OR(ISBLANK(F133),ISBLANK(H133)),IF(OR(D133="ALI",D133="AIE"),"L",IF(ISBLANK(D133),"","A")),IF(D133="EE",IF(H133&gt;=3,IF(F133&gt;=5,"H","A"),IF(H133&gt;=2,IF(F133&gt;=16,"H",IF(F133&lt;=4,"L","A")),IF(F133&lt;=15,"L","A"))),IF(OR(D133="SE",D133="CE"),IF(H133&gt;=4,IF(F133&gt;=6,"H","A"),IF(H133&gt;=2,IF(F133&gt;=20,"H",IF(F133&lt;=5,"L","A")),IF(F133&lt;=19,"L","A"))),IF(OR(D133="ALI",D133="AIE"),IF(H133&gt;=6,IF(F133&gt;=20,"H","A"),IF(H133&gt;=2,IF(F133&gt;=51,"H",IF(F133&lt;=19,"L","A")),IF(F133&lt;=50,"L","A")))))))</f>
        <v/>
      </c>
      <c r="M133" s="187" t="str">
        <f t="shared" ref="M133:M196" si="46">CONCATENATE(D133,L133)</f>
        <v/>
      </c>
      <c r="N133" s="187" t="str">
        <f t="shared" si="38"/>
        <v>D</v>
      </c>
      <c r="O133" s="187" t="str">
        <f t="shared" ref="O133:O196" si="47">IF(N133="S",D133,CONCATENATE(D133,L133,N133))</f>
        <v>D</v>
      </c>
      <c r="P133" s="187">
        <f t="shared" ref="P133:P196" si="48">IFERROR(VLOOKUP(E133,Tabela_Deflator,3,FALSE),1)</f>
        <v>1</v>
      </c>
      <c r="Q133" s="187">
        <f>IFERROR(VLOOKUP(E133,Tabela_Deflator:E$43,5,FALSE),1)</f>
        <v>1</v>
      </c>
      <c r="R133" s="188" t="str">
        <f t="shared" ref="R133:R196" si="49">IF(OR(D133="INM",D133="N/A"),"",IF(L133="L","Baixa",IF(L133="A","Média",IF(L133="","","Alta"))))</f>
        <v/>
      </c>
      <c r="S133" s="237" t="str">
        <f t="shared" si="39"/>
        <v/>
      </c>
      <c r="T133" s="237" t="str">
        <f t="shared" si="37"/>
        <v/>
      </c>
      <c r="U133" s="189"/>
      <c r="V133" s="167"/>
      <c r="W133" s="165"/>
      <c r="X133" s="164"/>
      <c r="Y133" s="164"/>
      <c r="Z133" s="164"/>
      <c r="AA133" s="174"/>
      <c r="AB133" s="164"/>
      <c r="AC133" s="174"/>
      <c r="AD133" s="184"/>
      <c r="AE133" s="190" t="str">
        <f t="shared" ref="AE133:AE196" si="50">IF(OR(ISBLANK(Z133),ISBLANK(AB133)),IF(OR(X133="ALI",X133="AIE"),"L",IF(ISBLANK(X133),"","A")),IF(X133="EE",IF(AB133&gt;=3,IF(Z133&gt;=5,"H","A"),IF(AB133&gt;=2,IF(Z133&gt;=16,"H",IF(Z133&lt;=4,"L","A")),IF(Z133&lt;=15,"L","A"))),IF(OR(X133="SE",X133="CE"),IF(AB133&gt;=4,IF(Z133&gt;=6,"H","A"),IF(AB133&gt;=2,IF(Z133&gt;=20,"H",IF(Z133&lt;=5,"L","A")),IF(Z133&lt;=19,"L","A"))),IF(OR(X133="ALI",X133="AIE"),IF(AB133&gt;=6,IF(Z133&gt;=20,"H","A"),IF(AB133&gt;=2,IF(Z133&gt;=51,"H",IF(Z133&lt;=19,"L","A")),IF(Z133&lt;=50,"L","A")))))))</f>
        <v/>
      </c>
      <c r="AF133" s="190" t="str">
        <f t="shared" ref="AF133:AF196" si="51">CONCATENATE(X133,AE133)</f>
        <v/>
      </c>
      <c r="AG133" s="190" t="str">
        <f t="shared" si="40"/>
        <v>D</v>
      </c>
      <c r="AH133" s="190">
        <f>IFERROR(VLOOKUP(Y133,SISP_Deflatores_e_INMs!B$4:F$49,3,FALSE),1)</f>
        <v>1</v>
      </c>
      <c r="AI133" s="190">
        <f>IFERROR(VLOOKUP(Y133,SISP_Deflatores_e_INMs!B$4:G$49,5,FALSE),1)</f>
        <v>1</v>
      </c>
      <c r="AJ133" s="191" t="str">
        <f t="shared" ref="AJ133:AJ196" si="52">IF(OR(X133="INM",X133="N/A"),"",IF(AE133="L","Baixa",IF(AE133="A","Média",IF(AE133="","","Alta"))))</f>
        <v/>
      </c>
      <c r="AK133" s="237" t="str">
        <f t="shared" si="41"/>
        <v/>
      </c>
      <c r="AL133" s="237" t="str">
        <f t="shared" ref="AL133:AL196" si="53">IFERROR(IF(OR(ISBLANK(V133),V133="NOK"),"",IF(X133="INM",(1*AH133)*AD133,AK133*AH133)),"")</f>
        <v/>
      </c>
      <c r="AM133" s="192" t="e">
        <f t="shared" si="42"/>
        <v>#VALUE!</v>
      </c>
      <c r="AN133" s="193" t="e">
        <f t="shared" si="43"/>
        <v>#VALUE!</v>
      </c>
      <c r="AO133" s="193" t="e">
        <f t="shared" si="44"/>
        <v>#VALUE!</v>
      </c>
      <c r="AP133" s="193"/>
      <c r="AQ133" s="204"/>
      <c r="AR133" s="204"/>
      <c r="AS133" s="204"/>
      <c r="AT133" s="205"/>
      <c r="AU133"/>
    </row>
    <row r="134" spans="2:47" ht="15" customHeight="1" x14ac:dyDescent="0.25">
      <c r="B134" s="206"/>
      <c r="C134" s="185"/>
      <c r="D134" s="164"/>
      <c r="E134" s="174"/>
      <c r="F134" s="164"/>
      <c r="G134" s="174"/>
      <c r="H134" s="164"/>
      <c r="I134" s="174"/>
      <c r="J134" s="184"/>
      <c r="K134" s="186"/>
      <c r="L134" s="187" t="str">
        <f t="shared" si="45"/>
        <v/>
      </c>
      <c r="M134" s="187" t="str">
        <f t="shared" si="46"/>
        <v/>
      </c>
      <c r="N134" s="187" t="str">
        <f t="shared" si="38"/>
        <v>D</v>
      </c>
      <c r="O134" s="187" t="str">
        <f t="shared" si="47"/>
        <v>D</v>
      </c>
      <c r="P134" s="187">
        <f t="shared" si="48"/>
        <v>1</v>
      </c>
      <c r="Q134" s="187">
        <f>IFERROR(VLOOKUP(E134,Tabela_Deflator:E$43,5,FALSE),1)</f>
        <v>1</v>
      </c>
      <c r="R134" s="188" t="str">
        <f t="shared" si="49"/>
        <v/>
      </c>
      <c r="S134" s="237" t="str">
        <f t="shared" si="39"/>
        <v/>
      </c>
      <c r="T134" s="237" t="str">
        <f t="shared" ref="T134:T197" si="54" xml:space="preserve"> IF(D134="N/A","",IF(D134="","",IF(D134="INM",(1*P134)*J134,S134*P134)))</f>
        <v/>
      </c>
      <c r="U134" s="189"/>
      <c r="V134" s="167"/>
      <c r="W134" s="165"/>
      <c r="X134" s="164"/>
      <c r="Y134" s="164"/>
      <c r="Z134" s="164"/>
      <c r="AA134" s="174"/>
      <c r="AB134" s="164"/>
      <c r="AC134" s="174"/>
      <c r="AD134" s="184"/>
      <c r="AE134" s="190" t="str">
        <f t="shared" si="50"/>
        <v/>
      </c>
      <c r="AF134" s="190" t="str">
        <f t="shared" si="51"/>
        <v/>
      </c>
      <c r="AG134" s="190" t="str">
        <f t="shared" si="40"/>
        <v>D</v>
      </c>
      <c r="AH134" s="190">
        <f>IFERROR(VLOOKUP(Y134,SISP_Deflatores_e_INMs!B$4:F$49,3,FALSE),1)</f>
        <v>1</v>
      </c>
      <c r="AI134" s="190">
        <f>IFERROR(VLOOKUP(Y134,SISP_Deflatores_e_INMs!B$4:G$49,5,FALSE),1)</f>
        <v>1</v>
      </c>
      <c r="AJ134" s="191" t="str">
        <f t="shared" si="52"/>
        <v/>
      </c>
      <c r="AK134" s="237" t="str">
        <f t="shared" si="41"/>
        <v/>
      </c>
      <c r="AL134" s="237" t="str">
        <f t="shared" si="53"/>
        <v/>
      </c>
      <c r="AM134" s="192" t="e">
        <f t="shared" si="42"/>
        <v>#VALUE!</v>
      </c>
      <c r="AN134" s="193" t="e">
        <f t="shared" si="43"/>
        <v>#VALUE!</v>
      </c>
      <c r="AO134" s="193" t="e">
        <f t="shared" si="44"/>
        <v>#VALUE!</v>
      </c>
      <c r="AP134" s="193"/>
      <c r="AQ134" s="204"/>
      <c r="AR134" s="204"/>
      <c r="AS134" s="204"/>
      <c r="AT134" s="205"/>
      <c r="AU134"/>
    </row>
    <row r="135" spans="2:47" ht="15" customHeight="1" x14ac:dyDescent="0.25">
      <c r="B135" s="206"/>
      <c r="C135" s="185"/>
      <c r="D135" s="164"/>
      <c r="E135" s="174"/>
      <c r="F135" s="164"/>
      <c r="G135" s="174"/>
      <c r="H135" s="164"/>
      <c r="I135" s="174"/>
      <c r="J135" s="184"/>
      <c r="K135" s="186"/>
      <c r="L135" s="187" t="str">
        <f t="shared" si="45"/>
        <v/>
      </c>
      <c r="M135" s="187" t="str">
        <f t="shared" si="46"/>
        <v/>
      </c>
      <c r="N135" s="187" t="str">
        <f t="shared" si="38"/>
        <v>D</v>
      </c>
      <c r="O135" s="187" t="str">
        <f t="shared" si="47"/>
        <v>D</v>
      </c>
      <c r="P135" s="187">
        <f t="shared" si="48"/>
        <v>1</v>
      </c>
      <c r="Q135" s="187">
        <f>IFERROR(VLOOKUP(E135,Tabela_Deflator:E$43,5,FALSE),1)</f>
        <v>1</v>
      </c>
      <c r="R135" s="188" t="str">
        <f t="shared" si="49"/>
        <v/>
      </c>
      <c r="S135" s="237" t="str">
        <f t="shared" si="39"/>
        <v/>
      </c>
      <c r="T135" s="237" t="str">
        <f t="shared" si="54"/>
        <v/>
      </c>
      <c r="U135" s="189"/>
      <c r="V135" s="167"/>
      <c r="W135" s="165"/>
      <c r="X135" s="164"/>
      <c r="Y135" s="164"/>
      <c r="Z135" s="164"/>
      <c r="AA135" s="174"/>
      <c r="AB135" s="164"/>
      <c r="AC135" s="174"/>
      <c r="AD135" s="184"/>
      <c r="AE135" s="190" t="str">
        <f t="shared" si="50"/>
        <v/>
      </c>
      <c r="AF135" s="190" t="str">
        <f t="shared" si="51"/>
        <v/>
      </c>
      <c r="AG135" s="190" t="str">
        <f t="shared" si="40"/>
        <v>D</v>
      </c>
      <c r="AH135" s="190">
        <f>IFERROR(VLOOKUP(Y135,SISP_Deflatores_e_INMs!B$4:F$49,3,FALSE),1)</f>
        <v>1</v>
      </c>
      <c r="AI135" s="190">
        <f>IFERROR(VLOOKUP(Y135,SISP_Deflatores_e_INMs!B$4:G$49,5,FALSE),1)</f>
        <v>1</v>
      </c>
      <c r="AJ135" s="191" t="str">
        <f t="shared" si="52"/>
        <v/>
      </c>
      <c r="AK135" s="237" t="str">
        <f t="shared" si="41"/>
        <v/>
      </c>
      <c r="AL135" s="237" t="str">
        <f t="shared" si="53"/>
        <v/>
      </c>
      <c r="AM135" s="192" t="e">
        <f t="shared" si="42"/>
        <v>#VALUE!</v>
      </c>
      <c r="AN135" s="193" t="e">
        <f t="shared" si="43"/>
        <v>#VALUE!</v>
      </c>
      <c r="AO135" s="193" t="e">
        <f t="shared" si="44"/>
        <v>#VALUE!</v>
      </c>
      <c r="AP135" s="193"/>
      <c r="AQ135" s="204"/>
      <c r="AR135" s="204"/>
      <c r="AS135" s="204"/>
      <c r="AT135" s="205"/>
      <c r="AU135"/>
    </row>
    <row r="136" spans="2:47" ht="15" customHeight="1" x14ac:dyDescent="0.25">
      <c r="B136" s="206"/>
      <c r="C136" s="185"/>
      <c r="D136" s="164"/>
      <c r="E136" s="174"/>
      <c r="F136" s="164"/>
      <c r="G136" s="174"/>
      <c r="H136" s="164"/>
      <c r="I136" s="174"/>
      <c r="J136" s="184"/>
      <c r="K136" s="186"/>
      <c r="L136" s="187" t="str">
        <f t="shared" si="45"/>
        <v/>
      </c>
      <c r="M136" s="187" t="str">
        <f t="shared" si="46"/>
        <v/>
      </c>
      <c r="N136" s="187" t="str">
        <f t="shared" si="38"/>
        <v>D</v>
      </c>
      <c r="O136" s="187" t="str">
        <f t="shared" si="47"/>
        <v>D</v>
      </c>
      <c r="P136" s="187">
        <f t="shared" si="48"/>
        <v>1</v>
      </c>
      <c r="Q136" s="187">
        <f>IFERROR(VLOOKUP(E136,Tabela_Deflator:E$43,5,FALSE),1)</f>
        <v>1</v>
      </c>
      <c r="R136" s="188" t="str">
        <f t="shared" si="49"/>
        <v/>
      </c>
      <c r="S136" s="237" t="str">
        <f t="shared" si="39"/>
        <v/>
      </c>
      <c r="T136" s="237" t="str">
        <f t="shared" si="54"/>
        <v/>
      </c>
      <c r="U136" s="189"/>
      <c r="V136" s="167"/>
      <c r="W136" s="165"/>
      <c r="X136" s="164"/>
      <c r="Y136" s="164"/>
      <c r="Z136" s="164"/>
      <c r="AA136" s="174"/>
      <c r="AB136" s="164"/>
      <c r="AC136" s="174"/>
      <c r="AD136" s="184"/>
      <c r="AE136" s="190" t="str">
        <f t="shared" si="50"/>
        <v/>
      </c>
      <c r="AF136" s="190" t="str">
        <f t="shared" si="51"/>
        <v/>
      </c>
      <c r="AG136" s="190" t="str">
        <f t="shared" si="40"/>
        <v>D</v>
      </c>
      <c r="AH136" s="190">
        <f>IFERROR(VLOOKUP(Y136,SISP_Deflatores_e_INMs!B$4:F$49,3,FALSE),1)</f>
        <v>1</v>
      </c>
      <c r="AI136" s="190">
        <f>IFERROR(VLOOKUP(Y136,SISP_Deflatores_e_INMs!B$4:G$49,5,FALSE),1)</f>
        <v>1</v>
      </c>
      <c r="AJ136" s="191" t="str">
        <f t="shared" si="52"/>
        <v/>
      </c>
      <c r="AK136" s="237" t="str">
        <f t="shared" si="41"/>
        <v/>
      </c>
      <c r="AL136" s="237" t="str">
        <f t="shared" si="53"/>
        <v/>
      </c>
      <c r="AM136" s="192" t="e">
        <f t="shared" si="42"/>
        <v>#VALUE!</v>
      </c>
      <c r="AN136" s="193" t="e">
        <f t="shared" si="43"/>
        <v>#VALUE!</v>
      </c>
      <c r="AO136" s="193" t="e">
        <f t="shared" si="44"/>
        <v>#VALUE!</v>
      </c>
      <c r="AP136" s="193"/>
      <c r="AQ136" s="204"/>
      <c r="AR136" s="204"/>
      <c r="AS136" s="204"/>
      <c r="AT136" s="205"/>
      <c r="AU136"/>
    </row>
    <row r="137" spans="2:47" ht="15" customHeight="1" x14ac:dyDescent="0.25">
      <c r="B137" s="206"/>
      <c r="C137" s="185"/>
      <c r="D137" s="164"/>
      <c r="E137" s="174"/>
      <c r="F137" s="164"/>
      <c r="G137" s="174"/>
      <c r="H137" s="164"/>
      <c r="I137" s="174"/>
      <c r="J137" s="184"/>
      <c r="K137" s="186"/>
      <c r="L137" s="187" t="str">
        <f t="shared" si="45"/>
        <v/>
      </c>
      <c r="M137" s="187" t="str">
        <f t="shared" si="46"/>
        <v/>
      </c>
      <c r="N137" s="187" t="str">
        <f t="shared" si="38"/>
        <v>D</v>
      </c>
      <c r="O137" s="187" t="str">
        <f t="shared" si="47"/>
        <v>D</v>
      </c>
      <c r="P137" s="187">
        <f t="shared" si="48"/>
        <v>1</v>
      </c>
      <c r="Q137" s="187">
        <f>IFERROR(VLOOKUP(E137,Tabela_Deflator:E$43,5,FALSE),1)</f>
        <v>1</v>
      </c>
      <c r="R137" s="188" t="str">
        <f t="shared" si="49"/>
        <v/>
      </c>
      <c r="S137" s="237" t="str">
        <f t="shared" si="39"/>
        <v/>
      </c>
      <c r="T137" s="237" t="str">
        <f t="shared" si="54"/>
        <v/>
      </c>
      <c r="U137" s="189"/>
      <c r="V137" s="167"/>
      <c r="W137" s="165"/>
      <c r="X137" s="164"/>
      <c r="Y137" s="164"/>
      <c r="Z137" s="164"/>
      <c r="AA137" s="174"/>
      <c r="AB137" s="164"/>
      <c r="AC137" s="174"/>
      <c r="AD137" s="184"/>
      <c r="AE137" s="190" t="str">
        <f t="shared" si="50"/>
        <v/>
      </c>
      <c r="AF137" s="190" t="str">
        <f t="shared" si="51"/>
        <v/>
      </c>
      <c r="AG137" s="190" t="str">
        <f t="shared" si="40"/>
        <v>D</v>
      </c>
      <c r="AH137" s="190">
        <f>IFERROR(VLOOKUP(Y137,SISP_Deflatores_e_INMs!B$4:F$49,3,FALSE),1)</f>
        <v>1</v>
      </c>
      <c r="AI137" s="190">
        <f>IFERROR(VLOOKUP(Y137,SISP_Deflatores_e_INMs!B$4:G$49,5,FALSE),1)</f>
        <v>1</v>
      </c>
      <c r="AJ137" s="191" t="str">
        <f t="shared" si="52"/>
        <v/>
      </c>
      <c r="AK137" s="237" t="str">
        <f t="shared" si="41"/>
        <v/>
      </c>
      <c r="AL137" s="237" t="str">
        <f t="shared" si="53"/>
        <v/>
      </c>
      <c r="AM137" s="192" t="e">
        <f t="shared" si="42"/>
        <v>#VALUE!</v>
      </c>
      <c r="AN137" s="193" t="e">
        <f t="shared" si="43"/>
        <v>#VALUE!</v>
      </c>
      <c r="AO137" s="193" t="e">
        <f t="shared" si="44"/>
        <v>#VALUE!</v>
      </c>
      <c r="AP137" s="193"/>
      <c r="AQ137" s="204"/>
      <c r="AR137" s="204"/>
      <c r="AS137" s="204"/>
      <c r="AT137" s="205"/>
      <c r="AU137"/>
    </row>
    <row r="138" spans="2:47" ht="15" customHeight="1" x14ac:dyDescent="0.25">
      <c r="B138" s="206"/>
      <c r="C138" s="185"/>
      <c r="D138" s="164"/>
      <c r="E138" s="174"/>
      <c r="F138" s="164"/>
      <c r="G138" s="174"/>
      <c r="H138" s="164"/>
      <c r="I138" s="174"/>
      <c r="J138" s="184"/>
      <c r="K138" s="186"/>
      <c r="L138" s="187" t="str">
        <f t="shared" si="45"/>
        <v/>
      </c>
      <c r="M138" s="187" t="str">
        <f t="shared" si="46"/>
        <v/>
      </c>
      <c r="N138" s="187" t="str">
        <f t="shared" si="38"/>
        <v>D</v>
      </c>
      <c r="O138" s="187" t="str">
        <f t="shared" si="47"/>
        <v>D</v>
      </c>
      <c r="P138" s="187">
        <f t="shared" si="48"/>
        <v>1</v>
      </c>
      <c r="Q138" s="187">
        <f>IFERROR(VLOOKUP(E138,Tabela_Deflator:E$43,5,FALSE),1)</f>
        <v>1</v>
      </c>
      <c r="R138" s="188" t="str">
        <f t="shared" si="49"/>
        <v/>
      </c>
      <c r="S138" s="237" t="str">
        <f t="shared" si="39"/>
        <v/>
      </c>
      <c r="T138" s="237" t="str">
        <f t="shared" si="54"/>
        <v/>
      </c>
      <c r="U138" s="189"/>
      <c r="V138" s="167"/>
      <c r="W138" s="165"/>
      <c r="X138" s="164"/>
      <c r="Y138" s="164"/>
      <c r="Z138" s="164"/>
      <c r="AA138" s="174"/>
      <c r="AB138" s="164"/>
      <c r="AC138" s="174"/>
      <c r="AD138" s="184"/>
      <c r="AE138" s="190" t="str">
        <f t="shared" si="50"/>
        <v/>
      </c>
      <c r="AF138" s="190" t="str">
        <f t="shared" si="51"/>
        <v/>
      </c>
      <c r="AG138" s="190" t="str">
        <f t="shared" si="40"/>
        <v>D</v>
      </c>
      <c r="AH138" s="190">
        <f>IFERROR(VLOOKUP(Y138,SISP_Deflatores_e_INMs!B$4:F$49,3,FALSE),1)</f>
        <v>1</v>
      </c>
      <c r="AI138" s="190">
        <f>IFERROR(VLOOKUP(Y138,SISP_Deflatores_e_INMs!B$4:G$49,5,FALSE),1)</f>
        <v>1</v>
      </c>
      <c r="AJ138" s="191" t="str">
        <f t="shared" si="52"/>
        <v/>
      </c>
      <c r="AK138" s="237" t="str">
        <f t="shared" si="41"/>
        <v/>
      </c>
      <c r="AL138" s="237" t="str">
        <f t="shared" si="53"/>
        <v/>
      </c>
      <c r="AM138" s="192" t="e">
        <f t="shared" si="42"/>
        <v>#VALUE!</v>
      </c>
      <c r="AN138" s="193" t="e">
        <f t="shared" si="43"/>
        <v>#VALUE!</v>
      </c>
      <c r="AO138" s="193" t="e">
        <f t="shared" si="44"/>
        <v>#VALUE!</v>
      </c>
      <c r="AP138" s="193"/>
      <c r="AQ138" s="204"/>
      <c r="AR138" s="204"/>
      <c r="AS138" s="204"/>
      <c r="AT138" s="205"/>
      <c r="AU138"/>
    </row>
    <row r="139" spans="2:47" ht="15" customHeight="1" x14ac:dyDescent="0.25">
      <c r="B139" s="206"/>
      <c r="C139" s="185"/>
      <c r="D139" s="164"/>
      <c r="E139" s="174"/>
      <c r="F139" s="164"/>
      <c r="G139" s="174"/>
      <c r="H139" s="164"/>
      <c r="I139" s="174"/>
      <c r="J139" s="184"/>
      <c r="K139" s="186"/>
      <c r="L139" s="187" t="str">
        <f t="shared" si="45"/>
        <v/>
      </c>
      <c r="M139" s="187" t="str">
        <f t="shared" si="46"/>
        <v/>
      </c>
      <c r="N139" s="187" t="str">
        <f t="shared" si="38"/>
        <v>D</v>
      </c>
      <c r="O139" s="187" t="str">
        <f t="shared" si="47"/>
        <v>D</v>
      </c>
      <c r="P139" s="187">
        <f t="shared" si="48"/>
        <v>1</v>
      </c>
      <c r="Q139" s="187">
        <f>IFERROR(VLOOKUP(E139,Tabela_Deflator:E$43,5,FALSE),1)</f>
        <v>1</v>
      </c>
      <c r="R139" s="188" t="str">
        <f t="shared" si="49"/>
        <v/>
      </c>
      <c r="S139" s="237" t="str">
        <f t="shared" si="39"/>
        <v/>
      </c>
      <c r="T139" s="237" t="str">
        <f t="shared" si="54"/>
        <v/>
      </c>
      <c r="U139" s="189"/>
      <c r="V139" s="167"/>
      <c r="W139" s="165"/>
      <c r="X139" s="164"/>
      <c r="Y139" s="164"/>
      <c r="Z139" s="164"/>
      <c r="AA139" s="174"/>
      <c r="AB139" s="164"/>
      <c r="AC139" s="174"/>
      <c r="AD139" s="184"/>
      <c r="AE139" s="190" t="str">
        <f t="shared" si="50"/>
        <v/>
      </c>
      <c r="AF139" s="190" t="str">
        <f t="shared" si="51"/>
        <v/>
      </c>
      <c r="AG139" s="190" t="str">
        <f t="shared" si="40"/>
        <v>D</v>
      </c>
      <c r="AH139" s="190">
        <f>IFERROR(VLOOKUP(Y139,SISP_Deflatores_e_INMs!B$4:F$49,3,FALSE),1)</f>
        <v>1</v>
      </c>
      <c r="AI139" s="190">
        <f>IFERROR(VLOOKUP(Y139,SISP_Deflatores_e_INMs!B$4:G$49,5,FALSE),1)</f>
        <v>1</v>
      </c>
      <c r="AJ139" s="191" t="str">
        <f t="shared" si="52"/>
        <v/>
      </c>
      <c r="AK139" s="237" t="str">
        <f t="shared" si="41"/>
        <v/>
      </c>
      <c r="AL139" s="237" t="str">
        <f t="shared" si="53"/>
        <v/>
      </c>
      <c r="AM139" s="192" t="e">
        <f t="shared" si="42"/>
        <v>#VALUE!</v>
      </c>
      <c r="AN139" s="193" t="e">
        <f t="shared" si="43"/>
        <v>#VALUE!</v>
      </c>
      <c r="AO139" s="193" t="e">
        <f t="shared" si="44"/>
        <v>#VALUE!</v>
      </c>
      <c r="AP139" s="193"/>
      <c r="AQ139" s="204"/>
      <c r="AR139" s="204"/>
      <c r="AS139" s="204"/>
      <c r="AT139" s="205"/>
      <c r="AU139"/>
    </row>
    <row r="140" spans="2:47" ht="15" customHeight="1" x14ac:dyDescent="0.25">
      <c r="B140" s="206"/>
      <c r="C140" s="185"/>
      <c r="D140" s="164"/>
      <c r="E140" s="174"/>
      <c r="F140" s="164"/>
      <c r="G140" s="174"/>
      <c r="H140" s="164"/>
      <c r="I140" s="174"/>
      <c r="J140" s="184"/>
      <c r="K140" s="186"/>
      <c r="L140" s="187" t="str">
        <f t="shared" si="45"/>
        <v/>
      </c>
      <c r="M140" s="187" t="str">
        <f t="shared" si="46"/>
        <v/>
      </c>
      <c r="N140" s="187" t="str">
        <f t="shared" si="38"/>
        <v>D</v>
      </c>
      <c r="O140" s="187" t="str">
        <f t="shared" si="47"/>
        <v>D</v>
      </c>
      <c r="P140" s="187">
        <f t="shared" si="48"/>
        <v>1</v>
      </c>
      <c r="Q140" s="187">
        <f>IFERROR(VLOOKUP(E140,Tabela_Deflator:E$43,5,FALSE),1)</f>
        <v>1</v>
      </c>
      <c r="R140" s="188" t="str">
        <f t="shared" si="49"/>
        <v/>
      </c>
      <c r="S140" s="237" t="str">
        <f t="shared" si="39"/>
        <v/>
      </c>
      <c r="T140" s="237" t="str">
        <f t="shared" si="54"/>
        <v/>
      </c>
      <c r="U140" s="189"/>
      <c r="V140" s="167"/>
      <c r="W140" s="165"/>
      <c r="X140" s="164"/>
      <c r="Y140" s="164"/>
      <c r="Z140" s="164"/>
      <c r="AA140" s="174"/>
      <c r="AB140" s="164"/>
      <c r="AC140" s="174"/>
      <c r="AD140" s="184"/>
      <c r="AE140" s="190" t="str">
        <f t="shared" si="50"/>
        <v/>
      </c>
      <c r="AF140" s="190" t="str">
        <f t="shared" si="51"/>
        <v/>
      </c>
      <c r="AG140" s="190" t="str">
        <f t="shared" si="40"/>
        <v>D</v>
      </c>
      <c r="AH140" s="190">
        <f>IFERROR(VLOOKUP(Y140,SISP_Deflatores_e_INMs!B$4:F$49,3,FALSE),1)</f>
        <v>1</v>
      </c>
      <c r="AI140" s="190">
        <f>IFERROR(VLOOKUP(Y140,SISP_Deflatores_e_INMs!B$4:G$49,5,FALSE),1)</f>
        <v>1</v>
      </c>
      <c r="AJ140" s="191" t="str">
        <f t="shared" si="52"/>
        <v/>
      </c>
      <c r="AK140" s="237" t="str">
        <f t="shared" si="41"/>
        <v/>
      </c>
      <c r="AL140" s="237" t="str">
        <f t="shared" si="53"/>
        <v/>
      </c>
      <c r="AM140" s="192" t="e">
        <f t="shared" si="42"/>
        <v>#VALUE!</v>
      </c>
      <c r="AN140" s="193" t="e">
        <f t="shared" si="43"/>
        <v>#VALUE!</v>
      </c>
      <c r="AO140" s="193" t="e">
        <f t="shared" si="44"/>
        <v>#VALUE!</v>
      </c>
      <c r="AP140" s="193"/>
      <c r="AQ140" s="204"/>
      <c r="AR140" s="204"/>
      <c r="AS140" s="204"/>
      <c r="AT140" s="205"/>
      <c r="AU140"/>
    </row>
    <row r="141" spans="2:47" ht="15" customHeight="1" x14ac:dyDescent="0.25">
      <c r="B141" s="206"/>
      <c r="C141" s="185"/>
      <c r="D141" s="164"/>
      <c r="E141" s="174"/>
      <c r="F141" s="164"/>
      <c r="G141" s="174"/>
      <c r="H141" s="164"/>
      <c r="I141" s="174"/>
      <c r="J141" s="184"/>
      <c r="K141" s="186"/>
      <c r="L141" s="187" t="str">
        <f t="shared" si="45"/>
        <v/>
      </c>
      <c r="M141" s="187" t="str">
        <f t="shared" si="46"/>
        <v/>
      </c>
      <c r="N141" s="187" t="str">
        <f t="shared" si="38"/>
        <v>D</v>
      </c>
      <c r="O141" s="187" t="str">
        <f t="shared" si="47"/>
        <v>D</v>
      </c>
      <c r="P141" s="187">
        <f t="shared" si="48"/>
        <v>1</v>
      </c>
      <c r="Q141" s="187">
        <f>IFERROR(VLOOKUP(E141,Tabela_Deflator:E$43,5,FALSE),1)</f>
        <v>1</v>
      </c>
      <c r="R141" s="188" t="str">
        <f t="shared" si="49"/>
        <v/>
      </c>
      <c r="S141" s="237" t="str">
        <f t="shared" si="39"/>
        <v/>
      </c>
      <c r="T141" s="237" t="str">
        <f t="shared" si="54"/>
        <v/>
      </c>
      <c r="U141" s="189"/>
      <c r="V141" s="167"/>
      <c r="W141" s="165"/>
      <c r="X141" s="164"/>
      <c r="Y141" s="164"/>
      <c r="Z141" s="164"/>
      <c r="AA141" s="174"/>
      <c r="AB141" s="164"/>
      <c r="AC141" s="174"/>
      <c r="AD141" s="184"/>
      <c r="AE141" s="190" t="str">
        <f t="shared" si="50"/>
        <v/>
      </c>
      <c r="AF141" s="190" t="str">
        <f t="shared" si="51"/>
        <v/>
      </c>
      <c r="AG141" s="190" t="str">
        <f t="shared" si="40"/>
        <v>D</v>
      </c>
      <c r="AH141" s="190">
        <f>IFERROR(VLOOKUP(Y141,SISP_Deflatores_e_INMs!B$4:F$49,3,FALSE),1)</f>
        <v>1</v>
      </c>
      <c r="AI141" s="190">
        <f>IFERROR(VLOOKUP(Y141,SISP_Deflatores_e_INMs!B$4:G$49,5,FALSE),1)</f>
        <v>1</v>
      </c>
      <c r="AJ141" s="191" t="str">
        <f t="shared" si="52"/>
        <v/>
      </c>
      <c r="AK141" s="237" t="str">
        <f t="shared" si="41"/>
        <v/>
      </c>
      <c r="AL141" s="237" t="str">
        <f t="shared" si="53"/>
        <v/>
      </c>
      <c r="AM141" s="192" t="e">
        <f t="shared" si="42"/>
        <v>#VALUE!</v>
      </c>
      <c r="AN141" s="193" t="e">
        <f t="shared" si="43"/>
        <v>#VALUE!</v>
      </c>
      <c r="AO141" s="193" t="e">
        <f t="shared" si="44"/>
        <v>#VALUE!</v>
      </c>
      <c r="AP141" s="193"/>
      <c r="AQ141" s="204"/>
      <c r="AR141" s="204"/>
      <c r="AS141" s="204"/>
      <c r="AT141" s="205"/>
      <c r="AU141"/>
    </row>
    <row r="142" spans="2:47" ht="15" customHeight="1" x14ac:dyDescent="0.25">
      <c r="B142" s="206"/>
      <c r="C142" s="185"/>
      <c r="D142" s="164"/>
      <c r="E142" s="174"/>
      <c r="F142" s="164"/>
      <c r="G142" s="174"/>
      <c r="H142" s="164"/>
      <c r="I142" s="174"/>
      <c r="J142" s="184"/>
      <c r="K142" s="186"/>
      <c r="L142" s="187" t="str">
        <f t="shared" si="45"/>
        <v/>
      </c>
      <c r="M142" s="187" t="str">
        <f t="shared" si="46"/>
        <v/>
      </c>
      <c r="N142" s="187" t="str">
        <f t="shared" si="38"/>
        <v>D</v>
      </c>
      <c r="O142" s="187" t="str">
        <f t="shared" si="47"/>
        <v>D</v>
      </c>
      <c r="P142" s="187">
        <f t="shared" si="48"/>
        <v>1</v>
      </c>
      <c r="Q142" s="187">
        <f>IFERROR(VLOOKUP(E142,Tabela_Deflator:E$43,5,FALSE),1)</f>
        <v>1</v>
      </c>
      <c r="R142" s="188" t="str">
        <f t="shared" si="49"/>
        <v/>
      </c>
      <c r="S142" s="237" t="str">
        <f t="shared" si="39"/>
        <v/>
      </c>
      <c r="T142" s="237" t="str">
        <f t="shared" si="54"/>
        <v/>
      </c>
      <c r="U142" s="189"/>
      <c r="V142" s="167"/>
      <c r="W142" s="165"/>
      <c r="X142" s="164"/>
      <c r="Y142" s="164"/>
      <c r="Z142" s="164"/>
      <c r="AA142" s="174"/>
      <c r="AB142" s="164"/>
      <c r="AC142" s="174"/>
      <c r="AD142" s="184"/>
      <c r="AE142" s="190" t="str">
        <f t="shared" si="50"/>
        <v/>
      </c>
      <c r="AF142" s="190" t="str">
        <f t="shared" si="51"/>
        <v/>
      </c>
      <c r="AG142" s="190" t="str">
        <f t="shared" si="40"/>
        <v>D</v>
      </c>
      <c r="AH142" s="190">
        <f>IFERROR(VLOOKUP(Y142,SISP_Deflatores_e_INMs!B$4:F$49,3,FALSE),1)</f>
        <v>1</v>
      </c>
      <c r="AI142" s="190">
        <f>IFERROR(VLOOKUP(Y142,SISP_Deflatores_e_INMs!B$4:G$49,5,FALSE),1)</f>
        <v>1</v>
      </c>
      <c r="AJ142" s="191" t="str">
        <f t="shared" si="52"/>
        <v/>
      </c>
      <c r="AK142" s="237" t="str">
        <f t="shared" si="41"/>
        <v/>
      </c>
      <c r="AL142" s="237" t="str">
        <f t="shared" si="53"/>
        <v/>
      </c>
      <c r="AM142" s="192" t="e">
        <f t="shared" si="42"/>
        <v>#VALUE!</v>
      </c>
      <c r="AN142" s="193" t="e">
        <f t="shared" si="43"/>
        <v>#VALUE!</v>
      </c>
      <c r="AO142" s="193" t="e">
        <f t="shared" si="44"/>
        <v>#VALUE!</v>
      </c>
      <c r="AP142" s="193"/>
      <c r="AQ142" s="204"/>
      <c r="AR142" s="204"/>
      <c r="AS142" s="204"/>
      <c r="AT142" s="205"/>
      <c r="AU142"/>
    </row>
    <row r="143" spans="2:47" ht="15" customHeight="1" x14ac:dyDescent="0.25">
      <c r="B143" s="206"/>
      <c r="C143" s="185"/>
      <c r="D143" s="164"/>
      <c r="E143" s="174"/>
      <c r="F143" s="164"/>
      <c r="G143" s="174"/>
      <c r="H143" s="164"/>
      <c r="I143" s="174"/>
      <c r="J143" s="184"/>
      <c r="K143" s="186"/>
      <c r="L143" s="187" t="str">
        <f t="shared" si="45"/>
        <v/>
      </c>
      <c r="M143" s="187" t="str">
        <f t="shared" si="46"/>
        <v/>
      </c>
      <c r="N143" s="187" t="str">
        <f t="shared" si="38"/>
        <v>D</v>
      </c>
      <c r="O143" s="187" t="str">
        <f t="shared" si="47"/>
        <v>D</v>
      </c>
      <c r="P143" s="187">
        <f t="shared" si="48"/>
        <v>1</v>
      </c>
      <c r="Q143" s="187">
        <f>IFERROR(VLOOKUP(E143,Tabela_Deflator:E$43,5,FALSE),1)</f>
        <v>1</v>
      </c>
      <c r="R143" s="188" t="str">
        <f t="shared" si="49"/>
        <v/>
      </c>
      <c r="S143" s="237" t="str">
        <f t="shared" si="39"/>
        <v/>
      </c>
      <c r="T143" s="237" t="str">
        <f t="shared" si="54"/>
        <v/>
      </c>
      <c r="U143" s="189"/>
      <c r="V143" s="167"/>
      <c r="W143" s="165"/>
      <c r="X143" s="164"/>
      <c r="Y143" s="164"/>
      <c r="Z143" s="164"/>
      <c r="AA143" s="174"/>
      <c r="AB143" s="164"/>
      <c r="AC143" s="174"/>
      <c r="AD143" s="184"/>
      <c r="AE143" s="190" t="str">
        <f t="shared" si="50"/>
        <v/>
      </c>
      <c r="AF143" s="190" t="str">
        <f t="shared" si="51"/>
        <v/>
      </c>
      <c r="AG143" s="190" t="str">
        <f t="shared" si="40"/>
        <v>D</v>
      </c>
      <c r="AH143" s="190">
        <f>IFERROR(VLOOKUP(Y143,SISP_Deflatores_e_INMs!B$4:F$49,3,FALSE),1)</f>
        <v>1</v>
      </c>
      <c r="AI143" s="190">
        <f>IFERROR(VLOOKUP(Y143,SISP_Deflatores_e_INMs!B$4:G$49,5,FALSE),1)</f>
        <v>1</v>
      </c>
      <c r="AJ143" s="191" t="str">
        <f t="shared" si="52"/>
        <v/>
      </c>
      <c r="AK143" s="237" t="str">
        <f t="shared" si="41"/>
        <v/>
      </c>
      <c r="AL143" s="237" t="str">
        <f t="shared" si="53"/>
        <v/>
      </c>
      <c r="AM143" s="192" t="e">
        <f t="shared" si="42"/>
        <v>#VALUE!</v>
      </c>
      <c r="AN143" s="193" t="e">
        <f t="shared" si="43"/>
        <v>#VALUE!</v>
      </c>
      <c r="AO143" s="193" t="e">
        <f t="shared" si="44"/>
        <v>#VALUE!</v>
      </c>
      <c r="AP143" s="193"/>
      <c r="AQ143" s="204"/>
      <c r="AR143" s="204"/>
      <c r="AS143" s="204"/>
      <c r="AT143" s="205"/>
      <c r="AU143"/>
    </row>
    <row r="144" spans="2:47" ht="15" customHeight="1" x14ac:dyDescent="0.25">
      <c r="B144" s="206"/>
      <c r="C144" s="185"/>
      <c r="D144" s="164"/>
      <c r="E144" s="174"/>
      <c r="F144" s="164"/>
      <c r="G144" s="174"/>
      <c r="H144" s="164"/>
      <c r="I144" s="174"/>
      <c r="J144" s="184"/>
      <c r="K144" s="186"/>
      <c r="L144" s="187" t="str">
        <f t="shared" si="45"/>
        <v/>
      </c>
      <c r="M144" s="187" t="str">
        <f t="shared" si="46"/>
        <v/>
      </c>
      <c r="N144" s="187" t="str">
        <f t="shared" si="38"/>
        <v>D</v>
      </c>
      <c r="O144" s="187" t="str">
        <f t="shared" si="47"/>
        <v>D</v>
      </c>
      <c r="P144" s="187">
        <f t="shared" si="48"/>
        <v>1</v>
      </c>
      <c r="Q144" s="187">
        <f>IFERROR(VLOOKUP(E144,Tabela_Deflator:E$43,5,FALSE),1)</f>
        <v>1</v>
      </c>
      <c r="R144" s="188" t="str">
        <f t="shared" si="49"/>
        <v/>
      </c>
      <c r="S144" s="237" t="str">
        <f t="shared" si="39"/>
        <v/>
      </c>
      <c r="T144" s="237" t="str">
        <f t="shared" si="54"/>
        <v/>
      </c>
      <c r="U144" s="189"/>
      <c r="V144" s="167"/>
      <c r="W144" s="165"/>
      <c r="X144" s="164"/>
      <c r="Y144" s="164"/>
      <c r="Z144" s="164"/>
      <c r="AA144" s="174"/>
      <c r="AB144" s="164"/>
      <c r="AC144" s="174"/>
      <c r="AD144" s="184"/>
      <c r="AE144" s="190" t="str">
        <f t="shared" si="50"/>
        <v/>
      </c>
      <c r="AF144" s="190" t="str">
        <f t="shared" si="51"/>
        <v/>
      </c>
      <c r="AG144" s="190" t="str">
        <f t="shared" si="40"/>
        <v>D</v>
      </c>
      <c r="AH144" s="190">
        <f>IFERROR(VLOOKUP(Y144,SISP_Deflatores_e_INMs!B$4:F$49,3,FALSE),1)</f>
        <v>1</v>
      </c>
      <c r="AI144" s="190">
        <f>IFERROR(VLOOKUP(Y144,SISP_Deflatores_e_INMs!B$4:G$49,5,FALSE),1)</f>
        <v>1</v>
      </c>
      <c r="AJ144" s="191" t="str">
        <f t="shared" si="52"/>
        <v/>
      </c>
      <c r="AK144" s="237" t="str">
        <f t="shared" si="41"/>
        <v/>
      </c>
      <c r="AL144" s="237" t="str">
        <f t="shared" si="53"/>
        <v/>
      </c>
      <c r="AM144" s="192" t="e">
        <f t="shared" si="42"/>
        <v>#VALUE!</v>
      </c>
      <c r="AN144" s="193" t="e">
        <f t="shared" si="43"/>
        <v>#VALUE!</v>
      </c>
      <c r="AO144" s="193" t="e">
        <f t="shared" si="44"/>
        <v>#VALUE!</v>
      </c>
      <c r="AP144" s="193"/>
      <c r="AQ144" s="204"/>
      <c r="AR144" s="204"/>
      <c r="AS144" s="204"/>
      <c r="AT144" s="205"/>
      <c r="AU144"/>
    </row>
    <row r="145" spans="2:47" ht="15" customHeight="1" x14ac:dyDescent="0.25">
      <c r="B145" s="206"/>
      <c r="C145" s="185"/>
      <c r="D145" s="164"/>
      <c r="E145" s="174"/>
      <c r="F145" s="164"/>
      <c r="G145" s="174"/>
      <c r="H145" s="164"/>
      <c r="I145" s="174"/>
      <c r="J145" s="184"/>
      <c r="K145" s="186"/>
      <c r="L145" s="187" t="str">
        <f t="shared" si="45"/>
        <v/>
      </c>
      <c r="M145" s="187" t="str">
        <f t="shared" si="46"/>
        <v/>
      </c>
      <c r="N145" s="187" t="str">
        <f t="shared" si="38"/>
        <v>D</v>
      </c>
      <c r="O145" s="187" t="str">
        <f t="shared" si="47"/>
        <v>D</v>
      </c>
      <c r="P145" s="187">
        <f t="shared" si="48"/>
        <v>1</v>
      </c>
      <c r="Q145" s="187">
        <f>IFERROR(VLOOKUP(E145,Tabela_Deflator:E$43,5,FALSE),1)</f>
        <v>1</v>
      </c>
      <c r="R145" s="188" t="str">
        <f t="shared" si="49"/>
        <v/>
      </c>
      <c r="S145" s="237" t="str">
        <f t="shared" si="39"/>
        <v/>
      </c>
      <c r="T145" s="237" t="str">
        <f t="shared" si="54"/>
        <v/>
      </c>
      <c r="U145" s="189"/>
      <c r="V145" s="167"/>
      <c r="W145" s="165"/>
      <c r="X145" s="164"/>
      <c r="Y145" s="164"/>
      <c r="Z145" s="164"/>
      <c r="AA145" s="174"/>
      <c r="AB145" s="164"/>
      <c r="AC145" s="174"/>
      <c r="AD145" s="184"/>
      <c r="AE145" s="190" t="str">
        <f t="shared" si="50"/>
        <v/>
      </c>
      <c r="AF145" s="190" t="str">
        <f t="shared" si="51"/>
        <v/>
      </c>
      <c r="AG145" s="190" t="str">
        <f t="shared" si="40"/>
        <v>D</v>
      </c>
      <c r="AH145" s="190">
        <f>IFERROR(VLOOKUP(Y145,SISP_Deflatores_e_INMs!B$4:F$49,3,FALSE),1)</f>
        <v>1</v>
      </c>
      <c r="AI145" s="190">
        <f>IFERROR(VLOOKUP(Y145,SISP_Deflatores_e_INMs!B$4:G$49,5,FALSE),1)</f>
        <v>1</v>
      </c>
      <c r="AJ145" s="191" t="str">
        <f t="shared" si="52"/>
        <v/>
      </c>
      <c r="AK145" s="237" t="str">
        <f t="shared" si="41"/>
        <v/>
      </c>
      <c r="AL145" s="237" t="str">
        <f t="shared" si="53"/>
        <v/>
      </c>
      <c r="AM145" s="192" t="e">
        <f t="shared" si="42"/>
        <v>#VALUE!</v>
      </c>
      <c r="AN145" s="193" t="e">
        <f t="shared" si="43"/>
        <v>#VALUE!</v>
      </c>
      <c r="AO145" s="193" t="e">
        <f t="shared" si="44"/>
        <v>#VALUE!</v>
      </c>
      <c r="AP145" s="193"/>
      <c r="AQ145" s="204"/>
      <c r="AR145" s="204"/>
      <c r="AS145" s="204"/>
      <c r="AT145" s="205"/>
      <c r="AU145"/>
    </row>
    <row r="146" spans="2:47" ht="15" customHeight="1" x14ac:dyDescent="0.25">
      <c r="B146" s="206"/>
      <c r="C146" s="185"/>
      <c r="D146" s="164"/>
      <c r="E146" s="174"/>
      <c r="F146" s="164"/>
      <c r="G146" s="174"/>
      <c r="H146" s="164"/>
      <c r="I146" s="174"/>
      <c r="J146" s="184"/>
      <c r="K146" s="186"/>
      <c r="L146" s="187" t="str">
        <f t="shared" si="45"/>
        <v/>
      </c>
      <c r="M146" s="187" t="str">
        <f t="shared" si="46"/>
        <v/>
      </c>
      <c r="N146" s="187" t="str">
        <f t="shared" si="38"/>
        <v>D</v>
      </c>
      <c r="O146" s="187" t="str">
        <f t="shared" si="47"/>
        <v>D</v>
      </c>
      <c r="P146" s="187">
        <f t="shared" si="48"/>
        <v>1</v>
      </c>
      <c r="Q146" s="187">
        <f>IFERROR(VLOOKUP(E146,Tabela_Deflator:E$43,5,FALSE),1)</f>
        <v>1</v>
      </c>
      <c r="R146" s="188" t="str">
        <f t="shared" si="49"/>
        <v/>
      </c>
      <c r="S146" s="237" t="str">
        <f t="shared" si="39"/>
        <v/>
      </c>
      <c r="T146" s="237" t="str">
        <f t="shared" si="54"/>
        <v/>
      </c>
      <c r="U146" s="189"/>
      <c r="V146" s="167"/>
      <c r="W146" s="165"/>
      <c r="X146" s="164"/>
      <c r="Y146" s="164"/>
      <c r="Z146" s="164"/>
      <c r="AA146" s="174"/>
      <c r="AB146" s="164"/>
      <c r="AC146" s="174"/>
      <c r="AD146" s="184"/>
      <c r="AE146" s="190" t="str">
        <f t="shared" si="50"/>
        <v/>
      </c>
      <c r="AF146" s="190" t="str">
        <f t="shared" si="51"/>
        <v/>
      </c>
      <c r="AG146" s="190" t="str">
        <f t="shared" si="40"/>
        <v>D</v>
      </c>
      <c r="AH146" s="190">
        <f>IFERROR(VLOOKUP(Y146,SISP_Deflatores_e_INMs!B$4:F$49,3,FALSE),1)</f>
        <v>1</v>
      </c>
      <c r="AI146" s="190">
        <f>IFERROR(VLOOKUP(Y146,SISP_Deflatores_e_INMs!B$4:G$49,5,FALSE),1)</f>
        <v>1</v>
      </c>
      <c r="AJ146" s="191" t="str">
        <f t="shared" si="52"/>
        <v/>
      </c>
      <c r="AK146" s="237" t="str">
        <f t="shared" si="41"/>
        <v/>
      </c>
      <c r="AL146" s="237" t="str">
        <f t="shared" si="53"/>
        <v/>
      </c>
      <c r="AM146" s="192" t="e">
        <f t="shared" si="42"/>
        <v>#VALUE!</v>
      </c>
      <c r="AN146" s="193" t="e">
        <f t="shared" si="43"/>
        <v>#VALUE!</v>
      </c>
      <c r="AO146" s="193" t="e">
        <f t="shared" si="44"/>
        <v>#VALUE!</v>
      </c>
      <c r="AP146" s="193"/>
      <c r="AQ146" s="204"/>
      <c r="AR146" s="204"/>
      <c r="AS146" s="204"/>
      <c r="AT146" s="205"/>
      <c r="AU146"/>
    </row>
    <row r="147" spans="2:47" ht="15" customHeight="1" x14ac:dyDescent="0.25">
      <c r="B147" s="206"/>
      <c r="C147" s="185"/>
      <c r="D147" s="164"/>
      <c r="E147" s="174"/>
      <c r="F147" s="164"/>
      <c r="G147" s="174"/>
      <c r="H147" s="164"/>
      <c r="I147" s="174"/>
      <c r="J147" s="184"/>
      <c r="K147" s="186"/>
      <c r="L147" s="187" t="str">
        <f t="shared" si="45"/>
        <v/>
      </c>
      <c r="M147" s="187" t="str">
        <f t="shared" si="46"/>
        <v/>
      </c>
      <c r="N147" s="187" t="str">
        <f t="shared" si="38"/>
        <v>D</v>
      </c>
      <c r="O147" s="187" t="str">
        <f t="shared" si="47"/>
        <v>D</v>
      </c>
      <c r="P147" s="187">
        <f t="shared" si="48"/>
        <v>1</v>
      </c>
      <c r="Q147" s="187">
        <f>IFERROR(VLOOKUP(E147,Tabela_Deflator:E$43,5,FALSE),1)</f>
        <v>1</v>
      </c>
      <c r="R147" s="188" t="str">
        <f t="shared" si="49"/>
        <v/>
      </c>
      <c r="S147" s="237" t="str">
        <f t="shared" si="39"/>
        <v/>
      </c>
      <c r="T147" s="237" t="str">
        <f t="shared" si="54"/>
        <v/>
      </c>
      <c r="U147" s="189"/>
      <c r="V147" s="167"/>
      <c r="W147" s="165"/>
      <c r="X147" s="164"/>
      <c r="Y147" s="164"/>
      <c r="Z147" s="164"/>
      <c r="AA147" s="174"/>
      <c r="AB147" s="164"/>
      <c r="AC147" s="174"/>
      <c r="AD147" s="184"/>
      <c r="AE147" s="190" t="str">
        <f t="shared" si="50"/>
        <v/>
      </c>
      <c r="AF147" s="190" t="str">
        <f t="shared" si="51"/>
        <v/>
      </c>
      <c r="AG147" s="190" t="str">
        <f t="shared" si="40"/>
        <v>D</v>
      </c>
      <c r="AH147" s="190">
        <f>IFERROR(VLOOKUP(Y147,SISP_Deflatores_e_INMs!B$4:F$49,3,FALSE),1)</f>
        <v>1</v>
      </c>
      <c r="AI147" s="190">
        <f>IFERROR(VLOOKUP(Y147,SISP_Deflatores_e_INMs!B$4:G$49,5,FALSE),1)</f>
        <v>1</v>
      </c>
      <c r="AJ147" s="191" t="str">
        <f t="shared" si="52"/>
        <v/>
      </c>
      <c r="AK147" s="237" t="str">
        <f t="shared" si="41"/>
        <v/>
      </c>
      <c r="AL147" s="237" t="str">
        <f t="shared" si="53"/>
        <v/>
      </c>
      <c r="AM147" s="192" t="e">
        <f t="shared" si="42"/>
        <v>#VALUE!</v>
      </c>
      <c r="AN147" s="193" t="e">
        <f t="shared" si="43"/>
        <v>#VALUE!</v>
      </c>
      <c r="AO147" s="193" t="e">
        <f t="shared" si="44"/>
        <v>#VALUE!</v>
      </c>
      <c r="AP147" s="193"/>
      <c r="AQ147" s="204"/>
      <c r="AR147" s="204"/>
      <c r="AS147" s="204"/>
      <c r="AT147" s="205"/>
      <c r="AU147"/>
    </row>
    <row r="148" spans="2:47" ht="15" customHeight="1" x14ac:dyDescent="0.25">
      <c r="B148" s="206"/>
      <c r="C148" s="185"/>
      <c r="D148" s="164"/>
      <c r="E148" s="174"/>
      <c r="F148" s="164"/>
      <c r="G148" s="174"/>
      <c r="H148" s="164"/>
      <c r="I148" s="174"/>
      <c r="J148" s="184"/>
      <c r="K148" s="186"/>
      <c r="L148" s="187" t="str">
        <f t="shared" si="45"/>
        <v/>
      </c>
      <c r="M148" s="187" t="str">
        <f t="shared" si="46"/>
        <v/>
      </c>
      <c r="N148" s="187" t="str">
        <f t="shared" si="38"/>
        <v>D</v>
      </c>
      <c r="O148" s="187" t="str">
        <f t="shared" si="47"/>
        <v>D</v>
      </c>
      <c r="P148" s="187">
        <f t="shared" si="48"/>
        <v>1</v>
      </c>
      <c r="Q148" s="187">
        <f>IFERROR(VLOOKUP(E148,Tabela_Deflator:E$43,5,FALSE),1)</f>
        <v>1</v>
      </c>
      <c r="R148" s="188" t="str">
        <f t="shared" si="49"/>
        <v/>
      </c>
      <c r="S148" s="237" t="str">
        <f t="shared" si="39"/>
        <v/>
      </c>
      <c r="T148" s="237" t="str">
        <f t="shared" si="54"/>
        <v/>
      </c>
      <c r="U148" s="189"/>
      <c r="V148" s="167"/>
      <c r="W148" s="165"/>
      <c r="X148" s="164"/>
      <c r="Y148" s="164"/>
      <c r="Z148" s="164"/>
      <c r="AA148" s="174"/>
      <c r="AB148" s="164"/>
      <c r="AC148" s="174"/>
      <c r="AD148" s="184"/>
      <c r="AE148" s="190" t="str">
        <f t="shared" si="50"/>
        <v/>
      </c>
      <c r="AF148" s="190" t="str">
        <f t="shared" si="51"/>
        <v/>
      </c>
      <c r="AG148" s="190" t="str">
        <f t="shared" si="40"/>
        <v>D</v>
      </c>
      <c r="AH148" s="190">
        <f>IFERROR(VLOOKUP(Y148,SISP_Deflatores_e_INMs!B$4:F$49,3,FALSE),1)</f>
        <v>1</v>
      </c>
      <c r="AI148" s="190">
        <f>IFERROR(VLOOKUP(Y148,SISP_Deflatores_e_INMs!B$4:G$49,5,FALSE),1)</f>
        <v>1</v>
      </c>
      <c r="AJ148" s="191" t="str">
        <f t="shared" si="52"/>
        <v/>
      </c>
      <c r="AK148" s="237" t="str">
        <f t="shared" si="41"/>
        <v/>
      </c>
      <c r="AL148" s="237" t="str">
        <f t="shared" si="53"/>
        <v/>
      </c>
      <c r="AM148" s="192" t="e">
        <f t="shared" si="42"/>
        <v>#VALUE!</v>
      </c>
      <c r="AN148" s="193" t="e">
        <f t="shared" si="43"/>
        <v>#VALUE!</v>
      </c>
      <c r="AO148" s="193" t="e">
        <f t="shared" si="44"/>
        <v>#VALUE!</v>
      </c>
      <c r="AP148" s="193"/>
      <c r="AQ148" s="204"/>
      <c r="AR148" s="204"/>
      <c r="AS148" s="204"/>
      <c r="AT148" s="205"/>
      <c r="AU148"/>
    </row>
    <row r="149" spans="2:47" ht="15" customHeight="1" x14ac:dyDescent="0.25">
      <c r="B149" s="206"/>
      <c r="C149" s="185"/>
      <c r="D149" s="164"/>
      <c r="E149" s="174"/>
      <c r="F149" s="164"/>
      <c r="G149" s="174"/>
      <c r="H149" s="164"/>
      <c r="I149" s="174"/>
      <c r="J149" s="184"/>
      <c r="K149" s="186"/>
      <c r="L149" s="187" t="str">
        <f t="shared" si="45"/>
        <v/>
      </c>
      <c r="M149" s="187" t="str">
        <f t="shared" si="46"/>
        <v/>
      </c>
      <c r="N149" s="187" t="str">
        <f t="shared" si="38"/>
        <v>D</v>
      </c>
      <c r="O149" s="187" t="str">
        <f t="shared" si="47"/>
        <v>D</v>
      </c>
      <c r="P149" s="187">
        <f t="shared" si="48"/>
        <v>1</v>
      </c>
      <c r="Q149" s="187">
        <f>IFERROR(VLOOKUP(E149,Tabela_Deflator:E$43,5,FALSE),1)</f>
        <v>1</v>
      </c>
      <c r="R149" s="188" t="str">
        <f t="shared" si="49"/>
        <v/>
      </c>
      <c r="S149" s="237" t="str">
        <f t="shared" si="39"/>
        <v/>
      </c>
      <c r="T149" s="237" t="str">
        <f t="shared" si="54"/>
        <v/>
      </c>
      <c r="U149" s="189"/>
      <c r="V149" s="167"/>
      <c r="W149" s="165"/>
      <c r="X149" s="164"/>
      <c r="Y149" s="164"/>
      <c r="Z149" s="164"/>
      <c r="AA149" s="174"/>
      <c r="AB149" s="164"/>
      <c r="AC149" s="174"/>
      <c r="AD149" s="184"/>
      <c r="AE149" s="190" t="str">
        <f t="shared" si="50"/>
        <v/>
      </c>
      <c r="AF149" s="190" t="str">
        <f t="shared" si="51"/>
        <v/>
      </c>
      <c r="AG149" s="190" t="str">
        <f t="shared" si="40"/>
        <v>D</v>
      </c>
      <c r="AH149" s="190">
        <f>IFERROR(VLOOKUP(Y149,SISP_Deflatores_e_INMs!B$4:F$49,3,FALSE),1)</f>
        <v>1</v>
      </c>
      <c r="AI149" s="190">
        <f>IFERROR(VLOOKUP(Y149,SISP_Deflatores_e_INMs!B$4:G$49,5,FALSE),1)</f>
        <v>1</v>
      </c>
      <c r="AJ149" s="191" t="str">
        <f t="shared" si="52"/>
        <v/>
      </c>
      <c r="AK149" s="237" t="str">
        <f t="shared" si="41"/>
        <v/>
      </c>
      <c r="AL149" s="237" t="str">
        <f t="shared" si="53"/>
        <v/>
      </c>
      <c r="AM149" s="192" t="e">
        <f t="shared" si="42"/>
        <v>#VALUE!</v>
      </c>
      <c r="AN149" s="193" t="e">
        <f t="shared" si="43"/>
        <v>#VALUE!</v>
      </c>
      <c r="AO149" s="193" t="e">
        <f t="shared" si="44"/>
        <v>#VALUE!</v>
      </c>
      <c r="AP149" s="193"/>
      <c r="AQ149" s="204"/>
      <c r="AR149" s="204"/>
      <c r="AS149" s="204"/>
      <c r="AT149" s="205"/>
      <c r="AU149"/>
    </row>
    <row r="150" spans="2:47" ht="15" customHeight="1" x14ac:dyDescent="0.25">
      <c r="B150" s="206"/>
      <c r="C150" s="185"/>
      <c r="D150" s="164"/>
      <c r="E150" s="174"/>
      <c r="F150" s="164"/>
      <c r="G150" s="174"/>
      <c r="H150" s="164"/>
      <c r="I150" s="174"/>
      <c r="J150" s="184"/>
      <c r="K150" s="186"/>
      <c r="L150" s="187" t="str">
        <f t="shared" si="45"/>
        <v/>
      </c>
      <c r="M150" s="187" t="str">
        <f t="shared" si="46"/>
        <v/>
      </c>
      <c r="N150" s="187" t="str">
        <f t="shared" si="38"/>
        <v>D</v>
      </c>
      <c r="O150" s="187" t="str">
        <f t="shared" si="47"/>
        <v>D</v>
      </c>
      <c r="P150" s="187">
        <f t="shared" si="48"/>
        <v>1</v>
      </c>
      <c r="Q150" s="187">
        <f>IFERROR(VLOOKUP(E150,Tabela_Deflator:E$43,5,FALSE),1)</f>
        <v>1</v>
      </c>
      <c r="R150" s="188" t="str">
        <f t="shared" si="49"/>
        <v/>
      </c>
      <c r="S150" s="237" t="str">
        <f t="shared" si="39"/>
        <v/>
      </c>
      <c r="T150" s="237" t="str">
        <f t="shared" si="54"/>
        <v/>
      </c>
      <c r="U150" s="189"/>
      <c r="V150" s="167"/>
      <c r="W150" s="165"/>
      <c r="X150" s="164"/>
      <c r="Y150" s="164"/>
      <c r="Z150" s="164"/>
      <c r="AA150" s="174"/>
      <c r="AB150" s="164"/>
      <c r="AC150" s="174"/>
      <c r="AD150" s="184"/>
      <c r="AE150" s="190" t="str">
        <f t="shared" si="50"/>
        <v/>
      </c>
      <c r="AF150" s="190" t="str">
        <f t="shared" si="51"/>
        <v/>
      </c>
      <c r="AG150" s="190" t="str">
        <f t="shared" si="40"/>
        <v>D</v>
      </c>
      <c r="AH150" s="190">
        <f>IFERROR(VLOOKUP(Y150,SISP_Deflatores_e_INMs!B$4:F$49,3,FALSE),1)</f>
        <v>1</v>
      </c>
      <c r="AI150" s="190">
        <f>IFERROR(VLOOKUP(Y150,SISP_Deflatores_e_INMs!B$4:G$49,5,FALSE),1)</f>
        <v>1</v>
      </c>
      <c r="AJ150" s="191" t="str">
        <f t="shared" si="52"/>
        <v/>
      </c>
      <c r="AK150" s="237" t="str">
        <f t="shared" si="41"/>
        <v/>
      </c>
      <c r="AL150" s="237" t="str">
        <f t="shared" si="53"/>
        <v/>
      </c>
      <c r="AM150" s="192" t="e">
        <f t="shared" si="42"/>
        <v>#VALUE!</v>
      </c>
      <c r="AN150" s="193" t="e">
        <f t="shared" si="43"/>
        <v>#VALUE!</v>
      </c>
      <c r="AO150" s="193" t="e">
        <f t="shared" si="44"/>
        <v>#VALUE!</v>
      </c>
      <c r="AP150" s="193"/>
      <c r="AQ150" s="204"/>
      <c r="AR150" s="204"/>
      <c r="AS150" s="204"/>
      <c r="AT150" s="205"/>
      <c r="AU150"/>
    </row>
    <row r="151" spans="2:47" ht="15" customHeight="1" x14ac:dyDescent="0.25">
      <c r="B151" s="206"/>
      <c r="C151" s="185"/>
      <c r="D151" s="164"/>
      <c r="E151" s="174"/>
      <c r="F151" s="164"/>
      <c r="G151" s="174"/>
      <c r="H151" s="164"/>
      <c r="I151" s="174"/>
      <c r="J151" s="184"/>
      <c r="K151" s="186"/>
      <c r="L151" s="187" t="str">
        <f t="shared" si="45"/>
        <v/>
      </c>
      <c r="M151" s="187" t="str">
        <f t="shared" si="46"/>
        <v/>
      </c>
      <c r="N151" s="187" t="str">
        <f t="shared" si="38"/>
        <v>D</v>
      </c>
      <c r="O151" s="187" t="str">
        <f t="shared" si="47"/>
        <v>D</v>
      </c>
      <c r="P151" s="187">
        <f t="shared" si="48"/>
        <v>1</v>
      </c>
      <c r="Q151" s="187">
        <f>IFERROR(VLOOKUP(E151,Tabela_Deflator:E$43,5,FALSE),1)</f>
        <v>1</v>
      </c>
      <c r="R151" s="188" t="str">
        <f t="shared" si="49"/>
        <v/>
      </c>
      <c r="S151" s="237" t="str">
        <f t="shared" si="39"/>
        <v/>
      </c>
      <c r="T151" s="237" t="str">
        <f t="shared" si="54"/>
        <v/>
      </c>
      <c r="U151" s="189"/>
      <c r="V151" s="167"/>
      <c r="W151" s="165"/>
      <c r="X151" s="164"/>
      <c r="Y151" s="164"/>
      <c r="Z151" s="164"/>
      <c r="AA151" s="174"/>
      <c r="AB151" s="164"/>
      <c r="AC151" s="174"/>
      <c r="AD151" s="184"/>
      <c r="AE151" s="190" t="str">
        <f t="shared" si="50"/>
        <v/>
      </c>
      <c r="AF151" s="190" t="str">
        <f t="shared" si="51"/>
        <v/>
      </c>
      <c r="AG151" s="190" t="str">
        <f t="shared" si="40"/>
        <v>D</v>
      </c>
      <c r="AH151" s="190">
        <f>IFERROR(VLOOKUP(Y151,SISP_Deflatores_e_INMs!B$4:F$49,3,FALSE),1)</f>
        <v>1</v>
      </c>
      <c r="AI151" s="190">
        <f>IFERROR(VLOOKUP(Y151,SISP_Deflatores_e_INMs!B$4:G$49,5,FALSE),1)</f>
        <v>1</v>
      </c>
      <c r="AJ151" s="191" t="str">
        <f t="shared" si="52"/>
        <v/>
      </c>
      <c r="AK151" s="237" t="str">
        <f t="shared" si="41"/>
        <v/>
      </c>
      <c r="AL151" s="237" t="str">
        <f t="shared" si="53"/>
        <v/>
      </c>
      <c r="AM151" s="192" t="e">
        <f t="shared" si="42"/>
        <v>#VALUE!</v>
      </c>
      <c r="AN151" s="193" t="e">
        <f t="shared" si="43"/>
        <v>#VALUE!</v>
      </c>
      <c r="AO151" s="193" t="e">
        <f t="shared" si="44"/>
        <v>#VALUE!</v>
      </c>
      <c r="AP151" s="193"/>
      <c r="AQ151" s="204"/>
      <c r="AR151" s="204"/>
      <c r="AS151" s="204"/>
      <c r="AT151" s="205"/>
      <c r="AU151"/>
    </row>
    <row r="152" spans="2:47" ht="15" customHeight="1" x14ac:dyDescent="0.25">
      <c r="B152" s="206"/>
      <c r="C152" s="185"/>
      <c r="D152" s="164"/>
      <c r="E152" s="174"/>
      <c r="F152" s="164"/>
      <c r="G152" s="174"/>
      <c r="H152" s="164"/>
      <c r="I152" s="174"/>
      <c r="J152" s="184"/>
      <c r="K152" s="186"/>
      <c r="L152" s="187" t="str">
        <f t="shared" si="45"/>
        <v/>
      </c>
      <c r="M152" s="187" t="str">
        <f t="shared" si="46"/>
        <v/>
      </c>
      <c r="N152" s="187" t="str">
        <f t="shared" si="38"/>
        <v>D</v>
      </c>
      <c r="O152" s="187" t="str">
        <f t="shared" si="47"/>
        <v>D</v>
      </c>
      <c r="P152" s="187">
        <f t="shared" si="48"/>
        <v>1</v>
      </c>
      <c r="Q152" s="187">
        <f>IFERROR(VLOOKUP(E152,Tabela_Deflator:E$43,5,FALSE),1)</f>
        <v>1</v>
      </c>
      <c r="R152" s="188" t="str">
        <f t="shared" si="49"/>
        <v/>
      </c>
      <c r="S152" s="237" t="str">
        <f t="shared" si="39"/>
        <v/>
      </c>
      <c r="T152" s="237" t="str">
        <f t="shared" si="54"/>
        <v/>
      </c>
      <c r="U152" s="189"/>
      <c r="V152" s="167"/>
      <c r="W152" s="165"/>
      <c r="X152" s="164"/>
      <c r="Y152" s="164"/>
      <c r="Z152" s="164"/>
      <c r="AA152" s="174"/>
      <c r="AB152" s="164"/>
      <c r="AC152" s="174"/>
      <c r="AD152" s="184"/>
      <c r="AE152" s="190" t="str">
        <f t="shared" si="50"/>
        <v/>
      </c>
      <c r="AF152" s="190" t="str">
        <f t="shared" si="51"/>
        <v/>
      </c>
      <c r="AG152" s="190" t="str">
        <f t="shared" si="40"/>
        <v>D</v>
      </c>
      <c r="AH152" s="190">
        <f>IFERROR(VLOOKUP(Y152,SISP_Deflatores_e_INMs!B$4:F$49,3,FALSE),1)</f>
        <v>1</v>
      </c>
      <c r="AI152" s="190">
        <f>IFERROR(VLOOKUP(Y152,SISP_Deflatores_e_INMs!B$4:G$49,5,FALSE),1)</f>
        <v>1</v>
      </c>
      <c r="AJ152" s="191" t="str">
        <f t="shared" si="52"/>
        <v/>
      </c>
      <c r="AK152" s="237" t="str">
        <f t="shared" si="41"/>
        <v/>
      </c>
      <c r="AL152" s="237" t="str">
        <f t="shared" si="53"/>
        <v/>
      </c>
      <c r="AM152" s="192" t="e">
        <f t="shared" si="42"/>
        <v>#VALUE!</v>
      </c>
      <c r="AN152" s="193" t="e">
        <f t="shared" si="43"/>
        <v>#VALUE!</v>
      </c>
      <c r="AO152" s="193" t="e">
        <f t="shared" si="44"/>
        <v>#VALUE!</v>
      </c>
      <c r="AP152" s="193"/>
      <c r="AQ152" s="204"/>
      <c r="AR152" s="204"/>
      <c r="AS152" s="204"/>
      <c r="AT152" s="205"/>
      <c r="AU152"/>
    </row>
    <row r="153" spans="2:47" ht="15" customHeight="1" x14ac:dyDescent="0.25">
      <c r="B153" s="206"/>
      <c r="C153" s="185"/>
      <c r="D153" s="164"/>
      <c r="E153" s="174"/>
      <c r="F153" s="164"/>
      <c r="G153" s="174"/>
      <c r="H153" s="164"/>
      <c r="I153" s="174"/>
      <c r="J153" s="184"/>
      <c r="K153" s="186"/>
      <c r="L153" s="187" t="str">
        <f t="shared" si="45"/>
        <v/>
      </c>
      <c r="M153" s="187" t="str">
        <f t="shared" si="46"/>
        <v/>
      </c>
      <c r="N153" s="187" t="str">
        <f t="shared" si="38"/>
        <v>D</v>
      </c>
      <c r="O153" s="187" t="str">
        <f t="shared" si="47"/>
        <v>D</v>
      </c>
      <c r="P153" s="187">
        <f t="shared" si="48"/>
        <v>1</v>
      </c>
      <c r="Q153" s="187">
        <f>IFERROR(VLOOKUP(E153,Tabela_Deflator:E$43,5,FALSE),1)</f>
        <v>1</v>
      </c>
      <c r="R153" s="188" t="str">
        <f t="shared" si="49"/>
        <v/>
      </c>
      <c r="S153" s="237" t="str">
        <f t="shared" si="39"/>
        <v/>
      </c>
      <c r="T153" s="237" t="str">
        <f t="shared" si="54"/>
        <v/>
      </c>
      <c r="U153" s="189"/>
      <c r="V153" s="167"/>
      <c r="W153" s="165"/>
      <c r="X153" s="164"/>
      <c r="Y153" s="164"/>
      <c r="Z153" s="164"/>
      <c r="AA153" s="174"/>
      <c r="AB153" s="164"/>
      <c r="AC153" s="174"/>
      <c r="AD153" s="184"/>
      <c r="AE153" s="190" t="str">
        <f t="shared" si="50"/>
        <v/>
      </c>
      <c r="AF153" s="190" t="str">
        <f t="shared" si="51"/>
        <v/>
      </c>
      <c r="AG153" s="190" t="str">
        <f t="shared" si="40"/>
        <v>D</v>
      </c>
      <c r="AH153" s="190">
        <f>IFERROR(VLOOKUP(Y153,SISP_Deflatores_e_INMs!B$4:F$49,3,FALSE),1)</f>
        <v>1</v>
      </c>
      <c r="AI153" s="190">
        <f>IFERROR(VLOOKUP(Y153,SISP_Deflatores_e_INMs!B$4:G$49,5,FALSE),1)</f>
        <v>1</v>
      </c>
      <c r="AJ153" s="191" t="str">
        <f t="shared" si="52"/>
        <v/>
      </c>
      <c r="AK153" s="237" t="str">
        <f t="shared" si="41"/>
        <v/>
      </c>
      <c r="AL153" s="237" t="str">
        <f t="shared" si="53"/>
        <v/>
      </c>
      <c r="AM153" s="192" t="e">
        <f t="shared" si="42"/>
        <v>#VALUE!</v>
      </c>
      <c r="AN153" s="193" t="e">
        <f t="shared" si="43"/>
        <v>#VALUE!</v>
      </c>
      <c r="AO153" s="193" t="e">
        <f t="shared" si="44"/>
        <v>#VALUE!</v>
      </c>
      <c r="AP153" s="193"/>
      <c r="AQ153" s="204"/>
      <c r="AR153" s="204"/>
      <c r="AS153" s="204"/>
      <c r="AT153" s="205"/>
      <c r="AU153"/>
    </row>
    <row r="154" spans="2:47" ht="15" customHeight="1" x14ac:dyDescent="0.25">
      <c r="B154" s="206"/>
      <c r="C154" s="185"/>
      <c r="D154" s="164"/>
      <c r="E154" s="174"/>
      <c r="F154" s="164"/>
      <c r="G154" s="174"/>
      <c r="H154" s="164"/>
      <c r="I154" s="174"/>
      <c r="J154" s="184"/>
      <c r="K154" s="186"/>
      <c r="L154" s="187" t="str">
        <f t="shared" si="45"/>
        <v/>
      </c>
      <c r="M154" s="187" t="str">
        <f t="shared" si="46"/>
        <v/>
      </c>
      <c r="N154" s="187" t="str">
        <f t="shared" si="38"/>
        <v>D</v>
      </c>
      <c r="O154" s="187" t="str">
        <f t="shared" si="47"/>
        <v>D</v>
      </c>
      <c r="P154" s="187">
        <f t="shared" si="48"/>
        <v>1</v>
      </c>
      <c r="Q154" s="187">
        <f>IFERROR(VLOOKUP(E154,Tabela_Deflator:E$43,5,FALSE),1)</f>
        <v>1</v>
      </c>
      <c r="R154" s="188" t="str">
        <f t="shared" si="49"/>
        <v/>
      </c>
      <c r="S154" s="237" t="str">
        <f t="shared" si="39"/>
        <v/>
      </c>
      <c r="T154" s="237" t="str">
        <f t="shared" si="54"/>
        <v/>
      </c>
      <c r="U154" s="189"/>
      <c r="V154" s="167"/>
      <c r="W154" s="165"/>
      <c r="X154" s="164"/>
      <c r="Y154" s="164"/>
      <c r="Z154" s="164"/>
      <c r="AA154" s="174"/>
      <c r="AB154" s="164"/>
      <c r="AC154" s="174"/>
      <c r="AD154" s="184"/>
      <c r="AE154" s="190" t="str">
        <f t="shared" si="50"/>
        <v/>
      </c>
      <c r="AF154" s="190" t="str">
        <f t="shared" si="51"/>
        <v/>
      </c>
      <c r="AG154" s="190" t="str">
        <f t="shared" si="40"/>
        <v>D</v>
      </c>
      <c r="AH154" s="190">
        <f>IFERROR(VLOOKUP(Y154,SISP_Deflatores_e_INMs!B$4:F$49,3,FALSE),1)</f>
        <v>1</v>
      </c>
      <c r="AI154" s="190">
        <f>IFERROR(VLOOKUP(Y154,SISP_Deflatores_e_INMs!B$4:G$49,5,FALSE),1)</f>
        <v>1</v>
      </c>
      <c r="AJ154" s="191" t="str">
        <f t="shared" si="52"/>
        <v/>
      </c>
      <c r="AK154" s="237" t="str">
        <f t="shared" si="41"/>
        <v/>
      </c>
      <c r="AL154" s="237" t="str">
        <f t="shared" si="53"/>
        <v/>
      </c>
      <c r="AM154" s="192" t="e">
        <f t="shared" si="42"/>
        <v>#VALUE!</v>
      </c>
      <c r="AN154" s="193" t="e">
        <f t="shared" si="43"/>
        <v>#VALUE!</v>
      </c>
      <c r="AO154" s="193" t="e">
        <f t="shared" si="44"/>
        <v>#VALUE!</v>
      </c>
      <c r="AP154" s="193"/>
      <c r="AQ154" s="204"/>
      <c r="AR154" s="204"/>
      <c r="AS154" s="204"/>
      <c r="AT154" s="205"/>
      <c r="AU154"/>
    </row>
    <row r="155" spans="2:47" ht="15" customHeight="1" x14ac:dyDescent="0.25">
      <c r="B155" s="206"/>
      <c r="C155" s="185"/>
      <c r="D155" s="164"/>
      <c r="E155" s="174"/>
      <c r="F155" s="164"/>
      <c r="G155" s="174"/>
      <c r="H155" s="164"/>
      <c r="I155" s="174"/>
      <c r="J155" s="184"/>
      <c r="K155" s="186"/>
      <c r="L155" s="187" t="str">
        <f t="shared" si="45"/>
        <v/>
      </c>
      <c r="M155" s="187" t="str">
        <f t="shared" si="46"/>
        <v/>
      </c>
      <c r="N155" s="187" t="str">
        <f t="shared" si="38"/>
        <v>D</v>
      </c>
      <c r="O155" s="187" t="str">
        <f t="shared" si="47"/>
        <v>D</v>
      </c>
      <c r="P155" s="187">
        <f t="shared" si="48"/>
        <v>1</v>
      </c>
      <c r="Q155" s="187">
        <f>IFERROR(VLOOKUP(E155,Tabela_Deflator:E$43,5,FALSE),1)</f>
        <v>1</v>
      </c>
      <c r="R155" s="188" t="str">
        <f t="shared" si="49"/>
        <v/>
      </c>
      <c r="S155" s="237" t="str">
        <f t="shared" si="39"/>
        <v/>
      </c>
      <c r="T155" s="237" t="str">
        <f t="shared" si="54"/>
        <v/>
      </c>
      <c r="U155" s="189"/>
      <c r="V155" s="167"/>
      <c r="W155" s="165"/>
      <c r="X155" s="164"/>
      <c r="Y155" s="164"/>
      <c r="Z155" s="164"/>
      <c r="AA155" s="174"/>
      <c r="AB155" s="164"/>
      <c r="AC155" s="174"/>
      <c r="AD155" s="184"/>
      <c r="AE155" s="190" t="str">
        <f t="shared" si="50"/>
        <v/>
      </c>
      <c r="AF155" s="190" t="str">
        <f t="shared" si="51"/>
        <v/>
      </c>
      <c r="AG155" s="190" t="str">
        <f t="shared" si="40"/>
        <v>D</v>
      </c>
      <c r="AH155" s="190">
        <f>IFERROR(VLOOKUP(Y155,SISP_Deflatores_e_INMs!B$4:F$49,3,FALSE),1)</f>
        <v>1</v>
      </c>
      <c r="AI155" s="190">
        <f>IFERROR(VLOOKUP(Y155,SISP_Deflatores_e_INMs!B$4:G$49,5,FALSE),1)</f>
        <v>1</v>
      </c>
      <c r="AJ155" s="191" t="str">
        <f t="shared" si="52"/>
        <v/>
      </c>
      <c r="AK155" s="237" t="str">
        <f t="shared" si="41"/>
        <v/>
      </c>
      <c r="AL155" s="237" t="str">
        <f t="shared" si="53"/>
        <v/>
      </c>
      <c r="AM155" s="192" t="e">
        <f t="shared" si="42"/>
        <v>#VALUE!</v>
      </c>
      <c r="AN155" s="193" t="e">
        <f t="shared" si="43"/>
        <v>#VALUE!</v>
      </c>
      <c r="AO155" s="193" t="e">
        <f t="shared" si="44"/>
        <v>#VALUE!</v>
      </c>
      <c r="AP155" s="193"/>
      <c r="AQ155" s="204"/>
      <c r="AR155" s="204"/>
      <c r="AS155" s="204"/>
      <c r="AT155" s="205"/>
      <c r="AU155"/>
    </row>
    <row r="156" spans="2:47" ht="15" customHeight="1" x14ac:dyDescent="0.25">
      <c r="B156" s="206"/>
      <c r="C156" s="185"/>
      <c r="D156" s="164"/>
      <c r="E156" s="174"/>
      <c r="F156" s="164"/>
      <c r="G156" s="174"/>
      <c r="H156" s="164"/>
      <c r="I156" s="174"/>
      <c r="J156" s="184"/>
      <c r="K156" s="186"/>
      <c r="L156" s="187" t="str">
        <f t="shared" si="45"/>
        <v/>
      </c>
      <c r="M156" s="187" t="str">
        <f t="shared" si="46"/>
        <v/>
      </c>
      <c r="N156" s="187" t="str">
        <f t="shared" si="38"/>
        <v>D</v>
      </c>
      <c r="O156" s="187" t="str">
        <f t="shared" si="47"/>
        <v>D</v>
      </c>
      <c r="P156" s="187">
        <f t="shared" si="48"/>
        <v>1</v>
      </c>
      <c r="Q156" s="187">
        <f>IFERROR(VLOOKUP(E156,Tabela_Deflator:E$43,5,FALSE),1)</f>
        <v>1</v>
      </c>
      <c r="R156" s="188" t="str">
        <f t="shared" si="49"/>
        <v/>
      </c>
      <c r="S156" s="237" t="str">
        <f t="shared" si="39"/>
        <v/>
      </c>
      <c r="T156" s="237" t="str">
        <f t="shared" si="54"/>
        <v/>
      </c>
      <c r="U156" s="189"/>
      <c r="V156" s="167"/>
      <c r="W156" s="165"/>
      <c r="X156" s="164"/>
      <c r="Y156" s="164"/>
      <c r="Z156" s="164"/>
      <c r="AA156" s="174"/>
      <c r="AB156" s="164"/>
      <c r="AC156" s="174"/>
      <c r="AD156" s="184"/>
      <c r="AE156" s="190" t="str">
        <f t="shared" si="50"/>
        <v/>
      </c>
      <c r="AF156" s="190" t="str">
        <f t="shared" si="51"/>
        <v/>
      </c>
      <c r="AG156" s="190" t="str">
        <f t="shared" si="40"/>
        <v>D</v>
      </c>
      <c r="AH156" s="190">
        <f>IFERROR(VLOOKUP(Y156,SISP_Deflatores_e_INMs!B$4:F$49,3,FALSE),1)</f>
        <v>1</v>
      </c>
      <c r="AI156" s="190">
        <f>IFERROR(VLOOKUP(Y156,SISP_Deflatores_e_INMs!B$4:G$49,5,FALSE),1)</f>
        <v>1</v>
      </c>
      <c r="AJ156" s="191" t="str">
        <f t="shared" si="52"/>
        <v/>
      </c>
      <c r="AK156" s="237" t="str">
        <f t="shared" si="41"/>
        <v/>
      </c>
      <c r="AL156" s="237" t="str">
        <f t="shared" si="53"/>
        <v/>
      </c>
      <c r="AM156" s="192" t="e">
        <f t="shared" si="42"/>
        <v>#VALUE!</v>
      </c>
      <c r="AN156" s="193" t="e">
        <f t="shared" si="43"/>
        <v>#VALUE!</v>
      </c>
      <c r="AO156" s="193" t="e">
        <f t="shared" si="44"/>
        <v>#VALUE!</v>
      </c>
      <c r="AP156" s="193"/>
      <c r="AQ156" s="204"/>
      <c r="AR156" s="204"/>
      <c r="AS156" s="204"/>
      <c r="AT156" s="205"/>
      <c r="AU156"/>
    </row>
    <row r="157" spans="2:47" ht="15" customHeight="1" x14ac:dyDescent="0.25">
      <c r="B157" s="206"/>
      <c r="C157" s="185"/>
      <c r="D157" s="164"/>
      <c r="E157" s="174"/>
      <c r="F157" s="164"/>
      <c r="G157" s="174"/>
      <c r="H157" s="164"/>
      <c r="I157" s="174"/>
      <c r="J157" s="184"/>
      <c r="K157" s="186"/>
      <c r="L157" s="187" t="str">
        <f t="shared" si="45"/>
        <v/>
      </c>
      <c r="M157" s="187" t="str">
        <f t="shared" si="46"/>
        <v/>
      </c>
      <c r="N157" s="187" t="str">
        <f t="shared" si="38"/>
        <v>D</v>
      </c>
      <c r="O157" s="187" t="str">
        <f t="shared" si="47"/>
        <v>D</v>
      </c>
      <c r="P157" s="187">
        <f t="shared" si="48"/>
        <v>1</v>
      </c>
      <c r="Q157" s="187">
        <f>IFERROR(VLOOKUP(E157,Tabela_Deflator:E$43,5,FALSE),1)</f>
        <v>1</v>
      </c>
      <c r="R157" s="188" t="str">
        <f t="shared" si="49"/>
        <v/>
      </c>
      <c r="S157" s="237" t="str">
        <f t="shared" si="39"/>
        <v/>
      </c>
      <c r="T157" s="237" t="str">
        <f t="shared" si="54"/>
        <v/>
      </c>
      <c r="U157" s="189"/>
      <c r="V157" s="167"/>
      <c r="W157" s="165"/>
      <c r="X157" s="164"/>
      <c r="Y157" s="164"/>
      <c r="Z157" s="164"/>
      <c r="AA157" s="174"/>
      <c r="AB157" s="164"/>
      <c r="AC157" s="174"/>
      <c r="AD157" s="184"/>
      <c r="AE157" s="190" t="str">
        <f t="shared" si="50"/>
        <v/>
      </c>
      <c r="AF157" s="190" t="str">
        <f t="shared" si="51"/>
        <v/>
      </c>
      <c r="AG157" s="190" t="str">
        <f t="shared" si="40"/>
        <v>D</v>
      </c>
      <c r="AH157" s="190">
        <f>IFERROR(VLOOKUP(Y157,SISP_Deflatores_e_INMs!B$4:F$49,3,FALSE),1)</f>
        <v>1</v>
      </c>
      <c r="AI157" s="190">
        <f>IFERROR(VLOOKUP(Y157,SISP_Deflatores_e_INMs!B$4:G$49,5,FALSE),1)</f>
        <v>1</v>
      </c>
      <c r="AJ157" s="191" t="str">
        <f t="shared" si="52"/>
        <v/>
      </c>
      <c r="AK157" s="237" t="str">
        <f t="shared" si="41"/>
        <v/>
      </c>
      <c r="AL157" s="237" t="str">
        <f t="shared" si="53"/>
        <v/>
      </c>
      <c r="AM157" s="192" t="e">
        <f t="shared" si="42"/>
        <v>#VALUE!</v>
      </c>
      <c r="AN157" s="193" t="e">
        <f t="shared" si="43"/>
        <v>#VALUE!</v>
      </c>
      <c r="AO157" s="193" t="e">
        <f t="shared" si="44"/>
        <v>#VALUE!</v>
      </c>
      <c r="AP157" s="193"/>
      <c r="AQ157" s="204"/>
      <c r="AR157" s="204"/>
      <c r="AS157" s="204"/>
      <c r="AT157" s="205"/>
      <c r="AU157"/>
    </row>
    <row r="158" spans="2:47" ht="15" customHeight="1" x14ac:dyDescent="0.25">
      <c r="B158" s="206"/>
      <c r="C158" s="185"/>
      <c r="D158" s="164"/>
      <c r="E158" s="174"/>
      <c r="F158" s="164"/>
      <c r="G158" s="174"/>
      <c r="H158" s="164"/>
      <c r="I158" s="174"/>
      <c r="J158" s="184"/>
      <c r="K158" s="186"/>
      <c r="L158" s="187" t="str">
        <f t="shared" si="45"/>
        <v/>
      </c>
      <c r="M158" s="187" t="str">
        <f t="shared" si="46"/>
        <v/>
      </c>
      <c r="N158" s="187" t="str">
        <f t="shared" si="38"/>
        <v>D</v>
      </c>
      <c r="O158" s="187" t="str">
        <f t="shared" si="47"/>
        <v>D</v>
      </c>
      <c r="P158" s="187">
        <f t="shared" si="48"/>
        <v>1</v>
      </c>
      <c r="Q158" s="187">
        <f>IFERROR(VLOOKUP(E158,Tabela_Deflator:E$43,5,FALSE),1)</f>
        <v>1</v>
      </c>
      <c r="R158" s="188" t="str">
        <f t="shared" si="49"/>
        <v/>
      </c>
      <c r="S158" s="237" t="str">
        <f t="shared" si="39"/>
        <v/>
      </c>
      <c r="T158" s="237" t="str">
        <f t="shared" si="54"/>
        <v/>
      </c>
      <c r="U158" s="189"/>
      <c r="V158" s="167"/>
      <c r="W158" s="165"/>
      <c r="X158" s="164"/>
      <c r="Y158" s="164"/>
      <c r="Z158" s="164"/>
      <c r="AA158" s="174"/>
      <c r="AB158" s="164"/>
      <c r="AC158" s="174"/>
      <c r="AD158" s="184"/>
      <c r="AE158" s="190" t="str">
        <f t="shared" si="50"/>
        <v/>
      </c>
      <c r="AF158" s="190" t="str">
        <f t="shared" si="51"/>
        <v/>
      </c>
      <c r="AG158" s="190" t="str">
        <f t="shared" si="40"/>
        <v>D</v>
      </c>
      <c r="AH158" s="190">
        <f>IFERROR(VLOOKUP(Y158,SISP_Deflatores_e_INMs!B$4:F$49,3,FALSE),1)</f>
        <v>1</v>
      </c>
      <c r="AI158" s="190">
        <f>IFERROR(VLOOKUP(Y158,SISP_Deflatores_e_INMs!B$4:G$49,5,FALSE),1)</f>
        <v>1</v>
      </c>
      <c r="AJ158" s="191" t="str">
        <f t="shared" si="52"/>
        <v/>
      </c>
      <c r="AK158" s="237" t="str">
        <f t="shared" si="41"/>
        <v/>
      </c>
      <c r="AL158" s="237" t="str">
        <f t="shared" si="53"/>
        <v/>
      </c>
      <c r="AM158" s="192" t="e">
        <f t="shared" si="42"/>
        <v>#VALUE!</v>
      </c>
      <c r="AN158" s="193" t="e">
        <f t="shared" si="43"/>
        <v>#VALUE!</v>
      </c>
      <c r="AO158" s="193" t="e">
        <f t="shared" si="44"/>
        <v>#VALUE!</v>
      </c>
      <c r="AP158" s="193"/>
      <c r="AQ158" s="204"/>
      <c r="AR158" s="204"/>
      <c r="AS158" s="204"/>
      <c r="AT158" s="205"/>
      <c r="AU158"/>
    </row>
    <row r="159" spans="2:47" ht="15" customHeight="1" x14ac:dyDescent="0.25">
      <c r="B159" s="206"/>
      <c r="C159" s="185"/>
      <c r="D159" s="164"/>
      <c r="E159" s="174"/>
      <c r="F159" s="164"/>
      <c r="G159" s="174"/>
      <c r="H159" s="164"/>
      <c r="I159" s="174"/>
      <c r="J159" s="184"/>
      <c r="K159" s="186"/>
      <c r="L159" s="187" t="str">
        <f t="shared" si="45"/>
        <v/>
      </c>
      <c r="M159" s="187" t="str">
        <f t="shared" si="46"/>
        <v/>
      </c>
      <c r="N159" s="187" t="str">
        <f t="shared" si="38"/>
        <v>D</v>
      </c>
      <c r="O159" s="187" t="str">
        <f t="shared" si="47"/>
        <v>D</v>
      </c>
      <c r="P159" s="187">
        <f t="shared" si="48"/>
        <v>1</v>
      </c>
      <c r="Q159" s="187">
        <f>IFERROR(VLOOKUP(E159,Tabela_Deflator:E$43,5,FALSE),1)</f>
        <v>1</v>
      </c>
      <c r="R159" s="188" t="str">
        <f t="shared" si="49"/>
        <v/>
      </c>
      <c r="S159" s="237" t="str">
        <f t="shared" si="39"/>
        <v/>
      </c>
      <c r="T159" s="237" t="str">
        <f t="shared" si="54"/>
        <v/>
      </c>
      <c r="U159" s="189"/>
      <c r="V159" s="167"/>
      <c r="W159" s="165"/>
      <c r="X159" s="164"/>
      <c r="Y159" s="164"/>
      <c r="Z159" s="164"/>
      <c r="AA159" s="174"/>
      <c r="AB159" s="164"/>
      <c r="AC159" s="174"/>
      <c r="AD159" s="184"/>
      <c r="AE159" s="190" t="str">
        <f t="shared" si="50"/>
        <v/>
      </c>
      <c r="AF159" s="190" t="str">
        <f t="shared" si="51"/>
        <v/>
      </c>
      <c r="AG159" s="190" t="str">
        <f t="shared" si="40"/>
        <v>D</v>
      </c>
      <c r="AH159" s="190">
        <f>IFERROR(VLOOKUP(Y159,SISP_Deflatores_e_INMs!B$4:F$49,3,FALSE),1)</f>
        <v>1</v>
      </c>
      <c r="AI159" s="190">
        <f>IFERROR(VLOOKUP(Y159,SISP_Deflatores_e_INMs!B$4:G$49,5,FALSE),1)</f>
        <v>1</v>
      </c>
      <c r="AJ159" s="191" t="str">
        <f t="shared" si="52"/>
        <v/>
      </c>
      <c r="AK159" s="237" t="str">
        <f t="shared" si="41"/>
        <v/>
      </c>
      <c r="AL159" s="237" t="str">
        <f t="shared" si="53"/>
        <v/>
      </c>
      <c r="AM159" s="192" t="e">
        <f t="shared" si="42"/>
        <v>#VALUE!</v>
      </c>
      <c r="AN159" s="193" t="e">
        <f t="shared" si="43"/>
        <v>#VALUE!</v>
      </c>
      <c r="AO159" s="193" t="e">
        <f t="shared" si="44"/>
        <v>#VALUE!</v>
      </c>
      <c r="AP159" s="193"/>
      <c r="AQ159" s="204"/>
      <c r="AR159" s="204"/>
      <c r="AS159" s="204"/>
      <c r="AT159" s="205"/>
      <c r="AU159"/>
    </row>
    <row r="160" spans="2:47" ht="15" customHeight="1" x14ac:dyDescent="0.25">
      <c r="B160" s="206"/>
      <c r="C160" s="185"/>
      <c r="D160" s="164"/>
      <c r="E160" s="174"/>
      <c r="F160" s="164"/>
      <c r="G160" s="174"/>
      <c r="H160" s="164"/>
      <c r="I160" s="174"/>
      <c r="J160" s="184"/>
      <c r="K160" s="186"/>
      <c r="L160" s="187" t="str">
        <f t="shared" si="45"/>
        <v/>
      </c>
      <c r="M160" s="187" t="str">
        <f t="shared" si="46"/>
        <v/>
      </c>
      <c r="N160" s="187" t="str">
        <f t="shared" si="38"/>
        <v>D</v>
      </c>
      <c r="O160" s="187" t="str">
        <f t="shared" si="47"/>
        <v>D</v>
      </c>
      <c r="P160" s="187">
        <f t="shared" si="48"/>
        <v>1</v>
      </c>
      <c r="Q160" s="187">
        <f>IFERROR(VLOOKUP(E160,Tabela_Deflator:E$43,5,FALSE),1)</f>
        <v>1</v>
      </c>
      <c r="R160" s="188" t="str">
        <f t="shared" si="49"/>
        <v/>
      </c>
      <c r="S160" s="237" t="str">
        <f t="shared" si="39"/>
        <v/>
      </c>
      <c r="T160" s="237" t="str">
        <f t="shared" si="54"/>
        <v/>
      </c>
      <c r="U160" s="189"/>
      <c r="V160" s="167"/>
      <c r="W160" s="165"/>
      <c r="X160" s="164"/>
      <c r="Y160" s="164"/>
      <c r="Z160" s="164"/>
      <c r="AA160" s="174"/>
      <c r="AB160" s="164"/>
      <c r="AC160" s="174"/>
      <c r="AD160" s="184"/>
      <c r="AE160" s="190" t="str">
        <f t="shared" si="50"/>
        <v/>
      </c>
      <c r="AF160" s="190" t="str">
        <f t="shared" si="51"/>
        <v/>
      </c>
      <c r="AG160" s="190" t="str">
        <f t="shared" si="40"/>
        <v>D</v>
      </c>
      <c r="AH160" s="190">
        <f>IFERROR(VLOOKUP(Y160,SISP_Deflatores_e_INMs!B$4:F$49,3,FALSE),1)</f>
        <v>1</v>
      </c>
      <c r="AI160" s="190">
        <f>IFERROR(VLOOKUP(Y160,SISP_Deflatores_e_INMs!B$4:G$49,5,FALSE),1)</f>
        <v>1</v>
      </c>
      <c r="AJ160" s="191" t="str">
        <f t="shared" si="52"/>
        <v/>
      </c>
      <c r="AK160" s="237" t="str">
        <f t="shared" si="41"/>
        <v/>
      </c>
      <c r="AL160" s="237" t="str">
        <f t="shared" si="53"/>
        <v/>
      </c>
      <c r="AM160" s="192" t="e">
        <f t="shared" si="42"/>
        <v>#VALUE!</v>
      </c>
      <c r="AN160" s="193" t="e">
        <f t="shared" si="43"/>
        <v>#VALUE!</v>
      </c>
      <c r="AO160" s="193" t="e">
        <f t="shared" si="44"/>
        <v>#VALUE!</v>
      </c>
      <c r="AP160" s="193"/>
      <c r="AQ160" s="204"/>
      <c r="AR160" s="204"/>
      <c r="AS160" s="204"/>
      <c r="AT160" s="205"/>
      <c r="AU160"/>
    </row>
    <row r="161" spans="2:47" ht="15" customHeight="1" x14ac:dyDescent="0.25">
      <c r="B161" s="206"/>
      <c r="C161" s="185"/>
      <c r="D161" s="164"/>
      <c r="E161" s="174"/>
      <c r="F161" s="164"/>
      <c r="G161" s="174"/>
      <c r="H161" s="164"/>
      <c r="I161" s="174"/>
      <c r="J161" s="184"/>
      <c r="K161" s="186"/>
      <c r="L161" s="187" t="str">
        <f t="shared" si="45"/>
        <v/>
      </c>
      <c r="M161" s="187" t="str">
        <f t="shared" si="46"/>
        <v/>
      </c>
      <c r="N161" s="187" t="str">
        <f t="shared" si="38"/>
        <v>D</v>
      </c>
      <c r="O161" s="187" t="str">
        <f t="shared" si="47"/>
        <v>D</v>
      </c>
      <c r="P161" s="187">
        <f t="shared" si="48"/>
        <v>1</v>
      </c>
      <c r="Q161" s="187">
        <f>IFERROR(VLOOKUP(E161,Tabela_Deflator:E$43,5,FALSE),1)</f>
        <v>1</v>
      </c>
      <c r="R161" s="188" t="str">
        <f t="shared" si="49"/>
        <v/>
      </c>
      <c r="S161" s="237" t="str">
        <f t="shared" si="39"/>
        <v/>
      </c>
      <c r="T161" s="237" t="str">
        <f t="shared" si="54"/>
        <v/>
      </c>
      <c r="U161" s="189"/>
      <c r="V161" s="167"/>
      <c r="W161" s="165"/>
      <c r="X161" s="164"/>
      <c r="Y161" s="164"/>
      <c r="Z161" s="164"/>
      <c r="AA161" s="174"/>
      <c r="AB161" s="164"/>
      <c r="AC161" s="174"/>
      <c r="AD161" s="184"/>
      <c r="AE161" s="190" t="str">
        <f t="shared" si="50"/>
        <v/>
      </c>
      <c r="AF161" s="190" t="str">
        <f t="shared" si="51"/>
        <v/>
      </c>
      <c r="AG161" s="190" t="str">
        <f t="shared" si="40"/>
        <v>D</v>
      </c>
      <c r="AH161" s="190">
        <f>IFERROR(VLOOKUP(Y161,SISP_Deflatores_e_INMs!B$4:F$49,3,FALSE),1)</f>
        <v>1</v>
      </c>
      <c r="AI161" s="190">
        <f>IFERROR(VLOOKUP(Y161,SISP_Deflatores_e_INMs!B$4:G$49,5,FALSE),1)</f>
        <v>1</v>
      </c>
      <c r="AJ161" s="191" t="str">
        <f t="shared" si="52"/>
        <v/>
      </c>
      <c r="AK161" s="237" t="str">
        <f t="shared" si="41"/>
        <v/>
      </c>
      <c r="AL161" s="237" t="str">
        <f t="shared" si="53"/>
        <v/>
      </c>
      <c r="AM161" s="192" t="e">
        <f t="shared" si="42"/>
        <v>#VALUE!</v>
      </c>
      <c r="AN161" s="193" t="e">
        <f t="shared" si="43"/>
        <v>#VALUE!</v>
      </c>
      <c r="AO161" s="193" t="e">
        <f t="shared" si="44"/>
        <v>#VALUE!</v>
      </c>
      <c r="AP161" s="193"/>
      <c r="AQ161" s="204"/>
      <c r="AR161" s="204"/>
      <c r="AS161" s="204"/>
      <c r="AT161" s="205"/>
      <c r="AU161"/>
    </row>
    <row r="162" spans="2:47" ht="15" customHeight="1" x14ac:dyDescent="0.25">
      <c r="B162" s="206"/>
      <c r="C162" s="185"/>
      <c r="D162" s="164"/>
      <c r="E162" s="174"/>
      <c r="F162" s="164"/>
      <c r="G162" s="174"/>
      <c r="H162" s="164"/>
      <c r="I162" s="174"/>
      <c r="J162" s="184"/>
      <c r="K162" s="186"/>
      <c r="L162" s="187" t="str">
        <f t="shared" si="45"/>
        <v/>
      </c>
      <c r="M162" s="187" t="str">
        <f t="shared" si="46"/>
        <v/>
      </c>
      <c r="N162" s="187" t="str">
        <f t="shared" si="38"/>
        <v>D</v>
      </c>
      <c r="O162" s="187" t="str">
        <f t="shared" si="47"/>
        <v>D</v>
      </c>
      <c r="P162" s="187">
        <f t="shared" si="48"/>
        <v>1</v>
      </c>
      <c r="Q162" s="187">
        <f>IFERROR(VLOOKUP(E162,Tabela_Deflator:E$43,5,FALSE),1)</f>
        <v>1</v>
      </c>
      <c r="R162" s="188" t="str">
        <f t="shared" si="49"/>
        <v/>
      </c>
      <c r="S162" s="237" t="str">
        <f t="shared" si="39"/>
        <v/>
      </c>
      <c r="T162" s="237" t="str">
        <f t="shared" si="54"/>
        <v/>
      </c>
      <c r="U162" s="189"/>
      <c r="V162" s="167"/>
      <c r="W162" s="165"/>
      <c r="X162" s="164"/>
      <c r="Y162" s="164"/>
      <c r="Z162" s="164"/>
      <c r="AA162" s="174"/>
      <c r="AB162" s="164"/>
      <c r="AC162" s="174"/>
      <c r="AD162" s="184"/>
      <c r="AE162" s="190" t="str">
        <f t="shared" si="50"/>
        <v/>
      </c>
      <c r="AF162" s="190" t="str">
        <f t="shared" si="51"/>
        <v/>
      </c>
      <c r="AG162" s="190" t="str">
        <f t="shared" si="40"/>
        <v>D</v>
      </c>
      <c r="AH162" s="190">
        <f>IFERROR(VLOOKUP(Y162,SISP_Deflatores_e_INMs!B$4:F$49,3,FALSE),1)</f>
        <v>1</v>
      </c>
      <c r="AI162" s="190">
        <f>IFERROR(VLOOKUP(Y162,SISP_Deflatores_e_INMs!B$4:G$49,5,FALSE),1)</f>
        <v>1</v>
      </c>
      <c r="AJ162" s="191" t="str">
        <f t="shared" si="52"/>
        <v/>
      </c>
      <c r="AK162" s="237" t="str">
        <f t="shared" si="41"/>
        <v/>
      </c>
      <c r="AL162" s="237" t="str">
        <f t="shared" si="53"/>
        <v/>
      </c>
      <c r="AM162" s="192" t="e">
        <f t="shared" si="42"/>
        <v>#VALUE!</v>
      </c>
      <c r="AN162" s="193" t="e">
        <f t="shared" si="43"/>
        <v>#VALUE!</v>
      </c>
      <c r="AO162" s="193" t="e">
        <f t="shared" si="44"/>
        <v>#VALUE!</v>
      </c>
      <c r="AP162" s="193"/>
      <c r="AQ162" s="204"/>
      <c r="AR162" s="204"/>
      <c r="AS162" s="204"/>
      <c r="AT162" s="205"/>
      <c r="AU162"/>
    </row>
    <row r="163" spans="2:47" ht="15" customHeight="1" x14ac:dyDescent="0.25">
      <c r="B163" s="206"/>
      <c r="C163" s="185"/>
      <c r="D163" s="164"/>
      <c r="E163" s="174"/>
      <c r="F163" s="164"/>
      <c r="G163" s="174"/>
      <c r="H163" s="164"/>
      <c r="I163" s="174"/>
      <c r="J163" s="184"/>
      <c r="K163" s="186"/>
      <c r="L163" s="187" t="str">
        <f t="shared" si="45"/>
        <v/>
      </c>
      <c r="M163" s="187" t="str">
        <f t="shared" si="46"/>
        <v/>
      </c>
      <c r="N163" s="187" t="str">
        <f t="shared" si="38"/>
        <v>D</v>
      </c>
      <c r="O163" s="187" t="str">
        <f t="shared" si="47"/>
        <v>D</v>
      </c>
      <c r="P163" s="187">
        <f t="shared" si="48"/>
        <v>1</v>
      </c>
      <c r="Q163" s="187">
        <f>IFERROR(VLOOKUP(E163,Tabela_Deflator:E$43,5,FALSE),1)</f>
        <v>1</v>
      </c>
      <c r="R163" s="188" t="str">
        <f t="shared" si="49"/>
        <v/>
      </c>
      <c r="S163" s="237" t="str">
        <f t="shared" si="39"/>
        <v/>
      </c>
      <c r="T163" s="237" t="str">
        <f t="shared" si="54"/>
        <v/>
      </c>
      <c r="U163" s="189"/>
      <c r="V163" s="167"/>
      <c r="W163" s="165"/>
      <c r="X163" s="164"/>
      <c r="Y163" s="164"/>
      <c r="Z163" s="164"/>
      <c r="AA163" s="174"/>
      <c r="AB163" s="164"/>
      <c r="AC163" s="174"/>
      <c r="AD163" s="184"/>
      <c r="AE163" s="190" t="str">
        <f t="shared" si="50"/>
        <v/>
      </c>
      <c r="AF163" s="190" t="str">
        <f t="shared" si="51"/>
        <v/>
      </c>
      <c r="AG163" s="190" t="str">
        <f t="shared" si="40"/>
        <v>D</v>
      </c>
      <c r="AH163" s="190">
        <f>IFERROR(VLOOKUP(Y163,SISP_Deflatores_e_INMs!B$4:F$49,3,FALSE),1)</f>
        <v>1</v>
      </c>
      <c r="AI163" s="190">
        <f>IFERROR(VLOOKUP(Y163,SISP_Deflatores_e_INMs!B$4:G$49,5,FALSE),1)</f>
        <v>1</v>
      </c>
      <c r="AJ163" s="191" t="str">
        <f t="shared" si="52"/>
        <v/>
      </c>
      <c r="AK163" s="237" t="str">
        <f t="shared" si="41"/>
        <v/>
      </c>
      <c r="AL163" s="237" t="str">
        <f t="shared" si="53"/>
        <v/>
      </c>
      <c r="AM163" s="192" t="e">
        <f t="shared" si="42"/>
        <v>#VALUE!</v>
      </c>
      <c r="AN163" s="193" t="e">
        <f t="shared" si="43"/>
        <v>#VALUE!</v>
      </c>
      <c r="AO163" s="193" t="e">
        <f t="shared" si="44"/>
        <v>#VALUE!</v>
      </c>
      <c r="AP163" s="193"/>
      <c r="AQ163" s="204"/>
      <c r="AR163" s="204"/>
      <c r="AS163" s="204"/>
      <c r="AT163" s="205"/>
      <c r="AU163"/>
    </row>
    <row r="164" spans="2:47" ht="15" customHeight="1" x14ac:dyDescent="0.25">
      <c r="B164" s="206"/>
      <c r="C164" s="185"/>
      <c r="D164" s="164"/>
      <c r="E164" s="174"/>
      <c r="F164" s="164"/>
      <c r="G164" s="174"/>
      <c r="H164" s="164"/>
      <c r="I164" s="174"/>
      <c r="J164" s="184"/>
      <c r="K164" s="186"/>
      <c r="L164" s="187" t="str">
        <f t="shared" si="45"/>
        <v/>
      </c>
      <c r="M164" s="187" t="str">
        <f t="shared" si="46"/>
        <v/>
      </c>
      <c r="N164" s="187" t="str">
        <f t="shared" si="38"/>
        <v>D</v>
      </c>
      <c r="O164" s="187" t="str">
        <f t="shared" si="47"/>
        <v>D</v>
      </c>
      <c r="P164" s="187">
        <f t="shared" si="48"/>
        <v>1</v>
      </c>
      <c r="Q164" s="187">
        <f>IFERROR(VLOOKUP(E164,Tabela_Deflator:E$43,5,FALSE),1)</f>
        <v>1</v>
      </c>
      <c r="R164" s="188" t="str">
        <f t="shared" si="49"/>
        <v/>
      </c>
      <c r="S164" s="237" t="str">
        <f t="shared" si="39"/>
        <v/>
      </c>
      <c r="T164" s="237" t="str">
        <f t="shared" si="54"/>
        <v/>
      </c>
      <c r="U164" s="189"/>
      <c r="V164" s="167"/>
      <c r="W164" s="165"/>
      <c r="X164" s="164"/>
      <c r="Y164" s="164"/>
      <c r="Z164" s="164"/>
      <c r="AA164" s="174"/>
      <c r="AB164" s="164"/>
      <c r="AC164" s="174"/>
      <c r="AD164" s="184"/>
      <c r="AE164" s="190" t="str">
        <f t="shared" si="50"/>
        <v/>
      </c>
      <c r="AF164" s="190" t="str">
        <f t="shared" si="51"/>
        <v/>
      </c>
      <c r="AG164" s="190" t="str">
        <f t="shared" si="40"/>
        <v>D</v>
      </c>
      <c r="AH164" s="190">
        <f>IFERROR(VLOOKUP(Y164,SISP_Deflatores_e_INMs!B$4:F$49,3,FALSE),1)</f>
        <v>1</v>
      </c>
      <c r="AI164" s="190">
        <f>IFERROR(VLOOKUP(Y164,SISP_Deflatores_e_INMs!B$4:G$49,5,FALSE),1)</f>
        <v>1</v>
      </c>
      <c r="AJ164" s="191" t="str">
        <f t="shared" si="52"/>
        <v/>
      </c>
      <c r="AK164" s="237" t="str">
        <f t="shared" si="41"/>
        <v/>
      </c>
      <c r="AL164" s="237" t="str">
        <f t="shared" si="53"/>
        <v/>
      </c>
      <c r="AM164" s="192" t="e">
        <f t="shared" si="42"/>
        <v>#VALUE!</v>
      </c>
      <c r="AN164" s="193" t="e">
        <f t="shared" si="43"/>
        <v>#VALUE!</v>
      </c>
      <c r="AO164" s="193" t="e">
        <f t="shared" si="44"/>
        <v>#VALUE!</v>
      </c>
      <c r="AP164" s="193"/>
      <c r="AQ164" s="204"/>
      <c r="AR164" s="204"/>
      <c r="AS164" s="204"/>
      <c r="AT164" s="205"/>
      <c r="AU164"/>
    </row>
    <row r="165" spans="2:47" ht="15" customHeight="1" x14ac:dyDescent="0.25">
      <c r="B165" s="206"/>
      <c r="C165" s="185"/>
      <c r="D165" s="164"/>
      <c r="E165" s="174"/>
      <c r="F165" s="164"/>
      <c r="G165" s="174"/>
      <c r="H165" s="164"/>
      <c r="I165" s="174"/>
      <c r="J165" s="184"/>
      <c r="K165" s="186"/>
      <c r="L165" s="187" t="str">
        <f t="shared" si="45"/>
        <v/>
      </c>
      <c r="M165" s="187" t="str">
        <f t="shared" si="46"/>
        <v/>
      </c>
      <c r="N165" s="187" t="str">
        <f t="shared" si="38"/>
        <v>D</v>
      </c>
      <c r="O165" s="187" t="str">
        <f t="shared" si="47"/>
        <v>D</v>
      </c>
      <c r="P165" s="187">
        <f t="shared" si="48"/>
        <v>1</v>
      </c>
      <c r="Q165" s="187">
        <f>IFERROR(VLOOKUP(E165,Tabela_Deflator:E$43,5,FALSE),1)</f>
        <v>1</v>
      </c>
      <c r="R165" s="188" t="str">
        <f t="shared" si="49"/>
        <v/>
      </c>
      <c r="S165" s="237" t="str">
        <f t="shared" si="39"/>
        <v/>
      </c>
      <c r="T165" s="237" t="str">
        <f t="shared" si="54"/>
        <v/>
      </c>
      <c r="U165" s="189"/>
      <c r="V165" s="167"/>
      <c r="W165" s="165"/>
      <c r="X165" s="164"/>
      <c r="Y165" s="164"/>
      <c r="Z165" s="164"/>
      <c r="AA165" s="174"/>
      <c r="AB165" s="164"/>
      <c r="AC165" s="174"/>
      <c r="AD165" s="184"/>
      <c r="AE165" s="190" t="str">
        <f t="shared" si="50"/>
        <v/>
      </c>
      <c r="AF165" s="190" t="str">
        <f t="shared" si="51"/>
        <v/>
      </c>
      <c r="AG165" s="190" t="str">
        <f t="shared" si="40"/>
        <v>D</v>
      </c>
      <c r="AH165" s="190">
        <f>IFERROR(VLOOKUP(Y165,SISP_Deflatores_e_INMs!B$4:F$49,3,FALSE),1)</f>
        <v>1</v>
      </c>
      <c r="AI165" s="190">
        <f>IFERROR(VLOOKUP(Y165,SISP_Deflatores_e_INMs!B$4:G$49,5,FALSE),1)</f>
        <v>1</v>
      </c>
      <c r="AJ165" s="191" t="str">
        <f t="shared" si="52"/>
        <v/>
      </c>
      <c r="AK165" s="237" t="str">
        <f t="shared" si="41"/>
        <v/>
      </c>
      <c r="AL165" s="237" t="str">
        <f t="shared" si="53"/>
        <v/>
      </c>
      <c r="AM165" s="192" t="e">
        <f t="shared" si="42"/>
        <v>#VALUE!</v>
      </c>
      <c r="AN165" s="193" t="e">
        <f t="shared" si="43"/>
        <v>#VALUE!</v>
      </c>
      <c r="AO165" s="193" t="e">
        <f t="shared" si="44"/>
        <v>#VALUE!</v>
      </c>
      <c r="AP165" s="193"/>
      <c r="AQ165" s="204"/>
      <c r="AR165" s="204"/>
      <c r="AS165" s="204"/>
      <c r="AT165" s="205"/>
      <c r="AU165"/>
    </row>
    <row r="166" spans="2:47" ht="15" customHeight="1" x14ac:dyDescent="0.25">
      <c r="B166" s="206"/>
      <c r="C166" s="185"/>
      <c r="D166" s="164"/>
      <c r="E166" s="174"/>
      <c r="F166" s="164"/>
      <c r="G166" s="174"/>
      <c r="H166" s="164"/>
      <c r="I166" s="174"/>
      <c r="J166" s="184"/>
      <c r="K166" s="186"/>
      <c r="L166" s="187" t="str">
        <f t="shared" si="45"/>
        <v/>
      </c>
      <c r="M166" s="187" t="str">
        <f t="shared" si="46"/>
        <v/>
      </c>
      <c r="N166" s="187" t="str">
        <f t="shared" si="38"/>
        <v>D</v>
      </c>
      <c r="O166" s="187" t="str">
        <f t="shared" si="47"/>
        <v>D</v>
      </c>
      <c r="P166" s="187">
        <f t="shared" si="48"/>
        <v>1</v>
      </c>
      <c r="Q166" s="187">
        <f>IFERROR(VLOOKUP(E166,Tabela_Deflator:E$43,5,FALSE),1)</f>
        <v>1</v>
      </c>
      <c r="R166" s="188" t="str">
        <f t="shared" si="49"/>
        <v/>
      </c>
      <c r="S166" s="237" t="str">
        <f t="shared" si="39"/>
        <v/>
      </c>
      <c r="T166" s="237" t="str">
        <f t="shared" si="54"/>
        <v/>
      </c>
      <c r="U166" s="189"/>
      <c r="V166" s="167"/>
      <c r="W166" s="165"/>
      <c r="X166" s="164"/>
      <c r="Y166" s="164"/>
      <c r="Z166" s="164"/>
      <c r="AA166" s="174"/>
      <c r="AB166" s="164"/>
      <c r="AC166" s="174"/>
      <c r="AD166" s="184"/>
      <c r="AE166" s="190" t="str">
        <f t="shared" si="50"/>
        <v/>
      </c>
      <c r="AF166" s="190" t="str">
        <f t="shared" si="51"/>
        <v/>
      </c>
      <c r="AG166" s="190" t="str">
        <f t="shared" si="40"/>
        <v>D</v>
      </c>
      <c r="AH166" s="190">
        <f>IFERROR(VLOOKUP(Y166,SISP_Deflatores_e_INMs!B$4:F$49,3,FALSE),1)</f>
        <v>1</v>
      </c>
      <c r="AI166" s="190">
        <f>IFERROR(VLOOKUP(Y166,SISP_Deflatores_e_INMs!B$4:G$49,5,FALSE),1)</f>
        <v>1</v>
      </c>
      <c r="AJ166" s="191" t="str">
        <f t="shared" si="52"/>
        <v/>
      </c>
      <c r="AK166" s="237" t="str">
        <f t="shared" si="41"/>
        <v/>
      </c>
      <c r="AL166" s="237" t="str">
        <f t="shared" si="53"/>
        <v/>
      </c>
      <c r="AM166" s="192" t="e">
        <f t="shared" si="42"/>
        <v>#VALUE!</v>
      </c>
      <c r="AN166" s="193" t="e">
        <f t="shared" si="43"/>
        <v>#VALUE!</v>
      </c>
      <c r="AO166" s="193" t="e">
        <f t="shared" si="44"/>
        <v>#VALUE!</v>
      </c>
      <c r="AP166" s="193"/>
      <c r="AQ166" s="204"/>
      <c r="AR166" s="204"/>
      <c r="AS166" s="204"/>
      <c r="AT166" s="205"/>
      <c r="AU166"/>
    </row>
    <row r="167" spans="2:47" ht="15" customHeight="1" x14ac:dyDescent="0.25">
      <c r="B167" s="206"/>
      <c r="C167" s="185"/>
      <c r="D167" s="164"/>
      <c r="E167" s="174"/>
      <c r="F167" s="164"/>
      <c r="G167" s="174"/>
      <c r="H167" s="164"/>
      <c r="I167" s="174"/>
      <c r="J167" s="184"/>
      <c r="K167" s="186"/>
      <c r="L167" s="187" t="str">
        <f t="shared" si="45"/>
        <v/>
      </c>
      <c r="M167" s="187" t="str">
        <f t="shared" si="46"/>
        <v/>
      </c>
      <c r="N167" s="187" t="str">
        <f t="shared" si="38"/>
        <v>D</v>
      </c>
      <c r="O167" s="187" t="str">
        <f t="shared" si="47"/>
        <v>D</v>
      </c>
      <c r="P167" s="187">
        <f t="shared" si="48"/>
        <v>1</v>
      </c>
      <c r="Q167" s="187">
        <f>IFERROR(VLOOKUP(E167,Tabela_Deflator:E$43,5,FALSE),1)</f>
        <v>1</v>
      </c>
      <c r="R167" s="188" t="str">
        <f t="shared" si="49"/>
        <v/>
      </c>
      <c r="S167" s="237" t="str">
        <f t="shared" si="39"/>
        <v/>
      </c>
      <c r="T167" s="237" t="str">
        <f t="shared" si="54"/>
        <v/>
      </c>
      <c r="U167" s="189"/>
      <c r="V167" s="167"/>
      <c r="W167" s="165"/>
      <c r="X167" s="164"/>
      <c r="Y167" s="164"/>
      <c r="Z167" s="164"/>
      <c r="AA167" s="174"/>
      <c r="AB167" s="164"/>
      <c r="AC167" s="174"/>
      <c r="AD167" s="184"/>
      <c r="AE167" s="190" t="str">
        <f t="shared" si="50"/>
        <v/>
      </c>
      <c r="AF167" s="190" t="str">
        <f t="shared" si="51"/>
        <v/>
      </c>
      <c r="AG167" s="190" t="str">
        <f t="shared" si="40"/>
        <v>D</v>
      </c>
      <c r="AH167" s="190">
        <f>IFERROR(VLOOKUP(Y167,SISP_Deflatores_e_INMs!B$4:F$49,3,FALSE),1)</f>
        <v>1</v>
      </c>
      <c r="AI167" s="190">
        <f>IFERROR(VLOOKUP(Y167,SISP_Deflatores_e_INMs!B$4:G$49,5,FALSE),1)</f>
        <v>1</v>
      </c>
      <c r="AJ167" s="191" t="str">
        <f t="shared" si="52"/>
        <v/>
      </c>
      <c r="AK167" s="237" t="str">
        <f t="shared" si="41"/>
        <v/>
      </c>
      <c r="AL167" s="237" t="str">
        <f t="shared" si="53"/>
        <v/>
      </c>
      <c r="AM167" s="192" t="e">
        <f t="shared" si="42"/>
        <v>#VALUE!</v>
      </c>
      <c r="AN167" s="193" t="e">
        <f t="shared" si="43"/>
        <v>#VALUE!</v>
      </c>
      <c r="AO167" s="193" t="e">
        <f t="shared" si="44"/>
        <v>#VALUE!</v>
      </c>
      <c r="AP167" s="193"/>
      <c r="AQ167" s="204"/>
      <c r="AR167" s="204"/>
      <c r="AS167" s="204"/>
      <c r="AT167" s="205"/>
      <c r="AU167"/>
    </row>
    <row r="168" spans="2:47" ht="15" customHeight="1" x14ac:dyDescent="0.25">
      <c r="B168" s="206"/>
      <c r="C168" s="185"/>
      <c r="D168" s="164"/>
      <c r="E168" s="174"/>
      <c r="F168" s="164"/>
      <c r="G168" s="174"/>
      <c r="H168" s="164"/>
      <c r="I168" s="174"/>
      <c r="J168" s="184"/>
      <c r="K168" s="186"/>
      <c r="L168" s="187" t="str">
        <f t="shared" si="45"/>
        <v/>
      </c>
      <c r="M168" s="187" t="str">
        <f t="shared" si="46"/>
        <v/>
      </c>
      <c r="N168" s="187" t="str">
        <f t="shared" si="38"/>
        <v>D</v>
      </c>
      <c r="O168" s="187" t="str">
        <f t="shared" si="47"/>
        <v>D</v>
      </c>
      <c r="P168" s="187">
        <f t="shared" si="48"/>
        <v>1</v>
      </c>
      <c r="Q168" s="187">
        <f>IFERROR(VLOOKUP(E168,Tabela_Deflator:E$43,5,FALSE),1)</f>
        <v>1</v>
      </c>
      <c r="R168" s="188" t="str">
        <f t="shared" si="49"/>
        <v/>
      </c>
      <c r="S168" s="237" t="str">
        <f t="shared" si="39"/>
        <v/>
      </c>
      <c r="T168" s="237" t="str">
        <f t="shared" si="54"/>
        <v/>
      </c>
      <c r="U168" s="189"/>
      <c r="V168" s="167"/>
      <c r="W168" s="165"/>
      <c r="X168" s="164"/>
      <c r="Y168" s="164"/>
      <c r="Z168" s="164"/>
      <c r="AA168" s="174"/>
      <c r="AB168" s="164"/>
      <c r="AC168" s="174"/>
      <c r="AD168" s="184"/>
      <c r="AE168" s="190" t="str">
        <f t="shared" si="50"/>
        <v/>
      </c>
      <c r="AF168" s="190" t="str">
        <f t="shared" si="51"/>
        <v/>
      </c>
      <c r="AG168" s="190" t="str">
        <f t="shared" si="40"/>
        <v>D</v>
      </c>
      <c r="AH168" s="190">
        <f>IFERROR(VLOOKUP(Y168,SISP_Deflatores_e_INMs!B$4:F$49,3,FALSE),1)</f>
        <v>1</v>
      </c>
      <c r="AI168" s="190">
        <f>IFERROR(VLOOKUP(Y168,SISP_Deflatores_e_INMs!B$4:G$49,5,FALSE),1)</f>
        <v>1</v>
      </c>
      <c r="AJ168" s="191" t="str">
        <f t="shared" si="52"/>
        <v/>
      </c>
      <c r="AK168" s="237" t="str">
        <f t="shared" si="41"/>
        <v/>
      </c>
      <c r="AL168" s="237" t="str">
        <f t="shared" si="53"/>
        <v/>
      </c>
      <c r="AM168" s="192" t="e">
        <f t="shared" si="42"/>
        <v>#VALUE!</v>
      </c>
      <c r="AN168" s="193" t="e">
        <f t="shared" si="43"/>
        <v>#VALUE!</v>
      </c>
      <c r="AO168" s="193" t="e">
        <f t="shared" si="44"/>
        <v>#VALUE!</v>
      </c>
      <c r="AP168" s="193"/>
      <c r="AQ168" s="204"/>
      <c r="AR168" s="204"/>
      <c r="AS168" s="204"/>
      <c r="AT168" s="205"/>
      <c r="AU168"/>
    </row>
    <row r="169" spans="2:47" ht="15" customHeight="1" x14ac:dyDescent="0.25">
      <c r="B169" s="206"/>
      <c r="C169" s="185"/>
      <c r="D169" s="164"/>
      <c r="E169" s="174"/>
      <c r="F169" s="164"/>
      <c r="G169" s="174"/>
      <c r="H169" s="164"/>
      <c r="I169" s="174"/>
      <c r="J169" s="184"/>
      <c r="K169" s="186"/>
      <c r="L169" s="187" t="str">
        <f t="shared" si="45"/>
        <v/>
      </c>
      <c r="M169" s="187" t="str">
        <f t="shared" si="46"/>
        <v/>
      </c>
      <c r="N169" s="187" t="str">
        <f t="shared" si="38"/>
        <v>D</v>
      </c>
      <c r="O169" s="187" t="str">
        <f t="shared" si="47"/>
        <v>D</v>
      </c>
      <c r="P169" s="187">
        <f t="shared" si="48"/>
        <v>1</v>
      </c>
      <c r="Q169" s="187">
        <f>IFERROR(VLOOKUP(E169,Tabela_Deflator:E$43,5,FALSE),1)</f>
        <v>1</v>
      </c>
      <c r="R169" s="188" t="str">
        <f t="shared" si="49"/>
        <v/>
      </c>
      <c r="S169" s="237" t="str">
        <f t="shared" si="39"/>
        <v/>
      </c>
      <c r="T169" s="237" t="str">
        <f t="shared" si="54"/>
        <v/>
      </c>
      <c r="U169" s="189"/>
      <c r="V169" s="167"/>
      <c r="W169" s="165"/>
      <c r="X169" s="164"/>
      <c r="Y169" s="164"/>
      <c r="Z169" s="164"/>
      <c r="AA169" s="174"/>
      <c r="AB169" s="164"/>
      <c r="AC169" s="174"/>
      <c r="AD169" s="184"/>
      <c r="AE169" s="190" t="str">
        <f t="shared" si="50"/>
        <v/>
      </c>
      <c r="AF169" s="190" t="str">
        <f t="shared" si="51"/>
        <v/>
      </c>
      <c r="AG169" s="190" t="str">
        <f t="shared" si="40"/>
        <v>D</v>
      </c>
      <c r="AH169" s="190">
        <f>IFERROR(VLOOKUP(Y169,SISP_Deflatores_e_INMs!B$4:F$49,3,FALSE),1)</f>
        <v>1</v>
      </c>
      <c r="AI169" s="190">
        <f>IFERROR(VLOOKUP(Y169,SISP_Deflatores_e_INMs!B$4:G$49,5,FALSE),1)</f>
        <v>1</v>
      </c>
      <c r="AJ169" s="191" t="str">
        <f t="shared" si="52"/>
        <v/>
      </c>
      <c r="AK169" s="237" t="str">
        <f t="shared" si="41"/>
        <v/>
      </c>
      <c r="AL169" s="237" t="str">
        <f t="shared" si="53"/>
        <v/>
      </c>
      <c r="AM169" s="192" t="e">
        <f t="shared" si="42"/>
        <v>#VALUE!</v>
      </c>
      <c r="AN169" s="193" t="e">
        <f t="shared" si="43"/>
        <v>#VALUE!</v>
      </c>
      <c r="AO169" s="193" t="e">
        <f t="shared" si="44"/>
        <v>#VALUE!</v>
      </c>
      <c r="AP169" s="193"/>
      <c r="AQ169" s="204"/>
      <c r="AR169" s="204"/>
      <c r="AS169" s="204"/>
      <c r="AT169" s="205"/>
      <c r="AU169"/>
    </row>
    <row r="170" spans="2:47" ht="15" customHeight="1" x14ac:dyDescent="0.25">
      <c r="B170" s="206"/>
      <c r="C170" s="185"/>
      <c r="D170" s="164"/>
      <c r="E170" s="174"/>
      <c r="F170" s="164"/>
      <c r="G170" s="174"/>
      <c r="H170" s="164"/>
      <c r="I170" s="174"/>
      <c r="J170" s="184"/>
      <c r="K170" s="186"/>
      <c r="L170" s="187" t="str">
        <f t="shared" si="45"/>
        <v/>
      </c>
      <c r="M170" s="187" t="str">
        <f t="shared" si="46"/>
        <v/>
      </c>
      <c r="N170" s="187" t="str">
        <f t="shared" si="38"/>
        <v>D</v>
      </c>
      <c r="O170" s="187" t="str">
        <f t="shared" si="47"/>
        <v>D</v>
      </c>
      <c r="P170" s="187">
        <f t="shared" si="48"/>
        <v>1</v>
      </c>
      <c r="Q170" s="187">
        <f>IFERROR(VLOOKUP(E170,Tabela_Deflator:E$43,5,FALSE),1)</f>
        <v>1</v>
      </c>
      <c r="R170" s="188" t="str">
        <f t="shared" si="49"/>
        <v/>
      </c>
      <c r="S170" s="237" t="str">
        <f t="shared" si="39"/>
        <v/>
      </c>
      <c r="T170" s="237" t="str">
        <f t="shared" si="54"/>
        <v/>
      </c>
      <c r="U170" s="189"/>
      <c r="V170" s="167"/>
      <c r="W170" s="165"/>
      <c r="X170" s="164"/>
      <c r="Y170" s="164"/>
      <c r="Z170" s="164"/>
      <c r="AA170" s="174"/>
      <c r="AB170" s="164"/>
      <c r="AC170" s="174"/>
      <c r="AD170" s="184"/>
      <c r="AE170" s="190" t="str">
        <f t="shared" si="50"/>
        <v/>
      </c>
      <c r="AF170" s="190" t="str">
        <f t="shared" si="51"/>
        <v/>
      </c>
      <c r="AG170" s="190" t="str">
        <f t="shared" si="40"/>
        <v>D</v>
      </c>
      <c r="AH170" s="190">
        <f>IFERROR(VLOOKUP(Y170,SISP_Deflatores_e_INMs!B$4:F$49,3,FALSE),1)</f>
        <v>1</v>
      </c>
      <c r="AI170" s="190">
        <f>IFERROR(VLOOKUP(Y170,SISP_Deflatores_e_INMs!B$4:G$49,5,FALSE),1)</f>
        <v>1</v>
      </c>
      <c r="AJ170" s="191" t="str">
        <f t="shared" si="52"/>
        <v/>
      </c>
      <c r="AK170" s="237" t="str">
        <f t="shared" si="41"/>
        <v/>
      </c>
      <c r="AL170" s="237" t="str">
        <f t="shared" si="53"/>
        <v/>
      </c>
      <c r="AM170" s="192" t="e">
        <f t="shared" si="42"/>
        <v>#VALUE!</v>
      </c>
      <c r="AN170" s="193" t="e">
        <f t="shared" si="43"/>
        <v>#VALUE!</v>
      </c>
      <c r="AO170" s="193" t="e">
        <f t="shared" si="44"/>
        <v>#VALUE!</v>
      </c>
      <c r="AP170" s="193"/>
      <c r="AQ170" s="204"/>
      <c r="AR170" s="204"/>
      <c r="AS170" s="204"/>
      <c r="AT170" s="205"/>
      <c r="AU170"/>
    </row>
    <row r="171" spans="2:47" ht="15" customHeight="1" x14ac:dyDescent="0.25">
      <c r="B171" s="206"/>
      <c r="C171" s="185"/>
      <c r="D171" s="164"/>
      <c r="E171" s="174"/>
      <c r="F171" s="164"/>
      <c r="G171" s="174"/>
      <c r="H171" s="164"/>
      <c r="I171" s="174"/>
      <c r="J171" s="184"/>
      <c r="K171" s="186"/>
      <c r="L171" s="187" t="str">
        <f t="shared" si="45"/>
        <v/>
      </c>
      <c r="M171" s="187" t="str">
        <f t="shared" si="46"/>
        <v/>
      </c>
      <c r="N171" s="187" t="str">
        <f t="shared" si="38"/>
        <v>D</v>
      </c>
      <c r="O171" s="187" t="str">
        <f t="shared" si="47"/>
        <v>D</v>
      </c>
      <c r="P171" s="187">
        <f t="shared" si="48"/>
        <v>1</v>
      </c>
      <c r="Q171" s="187">
        <f>IFERROR(VLOOKUP(E171,Tabela_Deflator:E$43,5,FALSE),1)</f>
        <v>1</v>
      </c>
      <c r="R171" s="188" t="str">
        <f t="shared" si="49"/>
        <v/>
      </c>
      <c r="S171" s="237" t="str">
        <f t="shared" si="39"/>
        <v/>
      </c>
      <c r="T171" s="237" t="str">
        <f t="shared" si="54"/>
        <v/>
      </c>
      <c r="U171" s="189"/>
      <c r="V171" s="167"/>
      <c r="W171" s="165"/>
      <c r="X171" s="164"/>
      <c r="Y171" s="164"/>
      <c r="Z171" s="164"/>
      <c r="AA171" s="174"/>
      <c r="AB171" s="164"/>
      <c r="AC171" s="174"/>
      <c r="AD171" s="184"/>
      <c r="AE171" s="190" t="str">
        <f t="shared" si="50"/>
        <v/>
      </c>
      <c r="AF171" s="190" t="str">
        <f t="shared" si="51"/>
        <v/>
      </c>
      <c r="AG171" s="190" t="str">
        <f t="shared" si="40"/>
        <v>D</v>
      </c>
      <c r="AH171" s="190">
        <f>IFERROR(VLOOKUP(Y171,SISP_Deflatores_e_INMs!B$4:F$49,3,FALSE),1)</f>
        <v>1</v>
      </c>
      <c r="AI171" s="190">
        <f>IFERROR(VLOOKUP(Y171,SISP_Deflatores_e_INMs!B$4:G$49,5,FALSE),1)</f>
        <v>1</v>
      </c>
      <c r="AJ171" s="191" t="str">
        <f t="shared" si="52"/>
        <v/>
      </c>
      <c r="AK171" s="237" t="str">
        <f t="shared" si="41"/>
        <v/>
      </c>
      <c r="AL171" s="237" t="str">
        <f t="shared" si="53"/>
        <v/>
      </c>
      <c r="AM171" s="192" t="e">
        <f t="shared" si="42"/>
        <v>#VALUE!</v>
      </c>
      <c r="AN171" s="193" t="e">
        <f t="shared" si="43"/>
        <v>#VALUE!</v>
      </c>
      <c r="AO171" s="193" t="e">
        <f t="shared" si="44"/>
        <v>#VALUE!</v>
      </c>
      <c r="AP171" s="193"/>
      <c r="AQ171" s="204"/>
      <c r="AR171" s="204"/>
      <c r="AS171" s="204"/>
      <c r="AT171" s="205"/>
      <c r="AU171"/>
    </row>
    <row r="172" spans="2:47" ht="15" customHeight="1" x14ac:dyDescent="0.25">
      <c r="B172" s="206"/>
      <c r="C172" s="185"/>
      <c r="D172" s="164"/>
      <c r="E172" s="174"/>
      <c r="F172" s="164"/>
      <c r="G172" s="174"/>
      <c r="H172" s="164"/>
      <c r="I172" s="174"/>
      <c r="J172" s="184"/>
      <c r="K172" s="186"/>
      <c r="L172" s="187" t="str">
        <f t="shared" si="45"/>
        <v/>
      </c>
      <c r="M172" s="187" t="str">
        <f t="shared" si="46"/>
        <v/>
      </c>
      <c r="N172" s="187" t="str">
        <f t="shared" si="38"/>
        <v>D</v>
      </c>
      <c r="O172" s="187" t="str">
        <f t="shared" si="47"/>
        <v>D</v>
      </c>
      <c r="P172" s="187">
        <f t="shared" si="48"/>
        <v>1</v>
      </c>
      <c r="Q172" s="187">
        <f>IFERROR(VLOOKUP(E172,Tabela_Deflator:E$43,5,FALSE),1)</f>
        <v>1</v>
      </c>
      <c r="R172" s="188" t="str">
        <f t="shared" si="49"/>
        <v/>
      </c>
      <c r="S172" s="237" t="str">
        <f t="shared" si="39"/>
        <v/>
      </c>
      <c r="T172" s="237" t="str">
        <f t="shared" si="54"/>
        <v/>
      </c>
      <c r="U172" s="189"/>
      <c r="V172" s="167"/>
      <c r="W172" s="165"/>
      <c r="X172" s="164"/>
      <c r="Y172" s="164"/>
      <c r="Z172" s="164"/>
      <c r="AA172" s="174"/>
      <c r="AB172" s="164"/>
      <c r="AC172" s="174"/>
      <c r="AD172" s="184"/>
      <c r="AE172" s="190" t="str">
        <f t="shared" si="50"/>
        <v/>
      </c>
      <c r="AF172" s="190" t="str">
        <f t="shared" si="51"/>
        <v/>
      </c>
      <c r="AG172" s="190" t="str">
        <f t="shared" si="40"/>
        <v>D</v>
      </c>
      <c r="AH172" s="190">
        <f>IFERROR(VLOOKUP(Y172,SISP_Deflatores_e_INMs!B$4:F$49,3,FALSE),1)</f>
        <v>1</v>
      </c>
      <c r="AI172" s="190">
        <f>IFERROR(VLOOKUP(Y172,SISP_Deflatores_e_INMs!B$4:G$49,5,FALSE),1)</f>
        <v>1</v>
      </c>
      <c r="AJ172" s="191" t="str">
        <f t="shared" si="52"/>
        <v/>
      </c>
      <c r="AK172" s="237" t="str">
        <f t="shared" si="41"/>
        <v/>
      </c>
      <c r="AL172" s="237" t="str">
        <f t="shared" si="53"/>
        <v/>
      </c>
      <c r="AM172" s="192" t="e">
        <f t="shared" si="42"/>
        <v>#VALUE!</v>
      </c>
      <c r="AN172" s="193" t="e">
        <f t="shared" si="43"/>
        <v>#VALUE!</v>
      </c>
      <c r="AO172" s="193" t="e">
        <f t="shared" si="44"/>
        <v>#VALUE!</v>
      </c>
      <c r="AP172" s="193"/>
      <c r="AQ172" s="204"/>
      <c r="AR172" s="204"/>
      <c r="AS172" s="204"/>
      <c r="AT172" s="205"/>
      <c r="AU172"/>
    </row>
    <row r="173" spans="2:47" ht="15" customHeight="1" x14ac:dyDescent="0.25">
      <c r="B173" s="206"/>
      <c r="C173" s="185"/>
      <c r="D173" s="164"/>
      <c r="E173" s="174"/>
      <c r="F173" s="164"/>
      <c r="G173" s="174"/>
      <c r="H173" s="164"/>
      <c r="I173" s="174"/>
      <c r="J173" s="184"/>
      <c r="K173" s="186"/>
      <c r="L173" s="187" t="str">
        <f t="shared" si="45"/>
        <v/>
      </c>
      <c r="M173" s="187" t="str">
        <f t="shared" si="46"/>
        <v/>
      </c>
      <c r="N173" s="187" t="str">
        <f t="shared" si="38"/>
        <v>D</v>
      </c>
      <c r="O173" s="187" t="str">
        <f t="shared" si="47"/>
        <v>D</v>
      </c>
      <c r="P173" s="187">
        <f t="shared" si="48"/>
        <v>1</v>
      </c>
      <c r="Q173" s="187">
        <f>IFERROR(VLOOKUP(E173,Tabela_Deflator:E$43,5,FALSE),1)</f>
        <v>1</v>
      </c>
      <c r="R173" s="188" t="str">
        <f t="shared" si="49"/>
        <v/>
      </c>
      <c r="S173" s="237" t="str">
        <f t="shared" si="39"/>
        <v/>
      </c>
      <c r="T173" s="237" t="str">
        <f t="shared" si="54"/>
        <v/>
      </c>
      <c r="U173" s="189"/>
      <c r="V173" s="167"/>
      <c r="W173" s="165"/>
      <c r="X173" s="164"/>
      <c r="Y173" s="164"/>
      <c r="Z173" s="164"/>
      <c r="AA173" s="174"/>
      <c r="AB173" s="164"/>
      <c r="AC173" s="174"/>
      <c r="AD173" s="184"/>
      <c r="AE173" s="190" t="str">
        <f t="shared" si="50"/>
        <v/>
      </c>
      <c r="AF173" s="190" t="str">
        <f t="shared" si="51"/>
        <v/>
      </c>
      <c r="AG173" s="190" t="str">
        <f t="shared" si="40"/>
        <v>D</v>
      </c>
      <c r="AH173" s="190">
        <f>IFERROR(VLOOKUP(Y173,SISP_Deflatores_e_INMs!B$4:F$49,3,FALSE),1)</f>
        <v>1</v>
      </c>
      <c r="AI173" s="190">
        <f>IFERROR(VLOOKUP(Y173,SISP_Deflatores_e_INMs!B$4:G$49,5,FALSE),1)</f>
        <v>1</v>
      </c>
      <c r="AJ173" s="191" t="str">
        <f t="shared" si="52"/>
        <v/>
      </c>
      <c r="AK173" s="237" t="str">
        <f t="shared" si="41"/>
        <v/>
      </c>
      <c r="AL173" s="237" t="str">
        <f t="shared" si="53"/>
        <v/>
      </c>
      <c r="AM173" s="192" t="e">
        <f t="shared" si="42"/>
        <v>#VALUE!</v>
      </c>
      <c r="AN173" s="193" t="e">
        <f t="shared" si="43"/>
        <v>#VALUE!</v>
      </c>
      <c r="AO173" s="193" t="e">
        <f t="shared" si="44"/>
        <v>#VALUE!</v>
      </c>
      <c r="AP173" s="193"/>
      <c r="AQ173" s="204"/>
      <c r="AR173" s="204"/>
      <c r="AS173" s="204"/>
      <c r="AT173" s="205"/>
      <c r="AU173"/>
    </row>
    <row r="174" spans="2:47" ht="15" customHeight="1" x14ac:dyDescent="0.25">
      <c r="B174" s="206"/>
      <c r="C174" s="185"/>
      <c r="D174" s="164"/>
      <c r="E174" s="174"/>
      <c r="F174" s="164"/>
      <c r="G174" s="174"/>
      <c r="H174" s="164"/>
      <c r="I174" s="174"/>
      <c r="J174" s="184"/>
      <c r="K174" s="186"/>
      <c r="L174" s="187" t="str">
        <f t="shared" si="45"/>
        <v/>
      </c>
      <c r="M174" s="187" t="str">
        <f t="shared" si="46"/>
        <v/>
      </c>
      <c r="N174" s="187" t="str">
        <f t="shared" si="38"/>
        <v>D</v>
      </c>
      <c r="O174" s="187" t="str">
        <f t="shared" si="47"/>
        <v>D</v>
      </c>
      <c r="P174" s="187">
        <f t="shared" si="48"/>
        <v>1</v>
      </c>
      <c r="Q174" s="187">
        <f>IFERROR(VLOOKUP(E174,Tabela_Deflator:E$43,5,FALSE),1)</f>
        <v>1</v>
      </c>
      <c r="R174" s="188" t="str">
        <f t="shared" si="49"/>
        <v/>
      </c>
      <c r="S174" s="237" t="str">
        <f t="shared" si="39"/>
        <v/>
      </c>
      <c r="T174" s="237" t="str">
        <f t="shared" si="54"/>
        <v/>
      </c>
      <c r="U174" s="189"/>
      <c r="V174" s="167"/>
      <c r="W174" s="165"/>
      <c r="X174" s="164"/>
      <c r="Y174" s="164"/>
      <c r="Z174" s="164"/>
      <c r="AA174" s="174"/>
      <c r="AB174" s="164"/>
      <c r="AC174" s="174"/>
      <c r="AD174" s="184"/>
      <c r="AE174" s="190" t="str">
        <f t="shared" si="50"/>
        <v/>
      </c>
      <c r="AF174" s="190" t="str">
        <f t="shared" si="51"/>
        <v/>
      </c>
      <c r="AG174" s="190" t="str">
        <f t="shared" si="40"/>
        <v>D</v>
      </c>
      <c r="AH174" s="190">
        <f>IFERROR(VLOOKUP(Y174,SISP_Deflatores_e_INMs!B$4:F$49,3,FALSE),1)</f>
        <v>1</v>
      </c>
      <c r="AI174" s="190">
        <f>IFERROR(VLOOKUP(Y174,SISP_Deflatores_e_INMs!B$4:G$49,5,FALSE),1)</f>
        <v>1</v>
      </c>
      <c r="AJ174" s="191" t="str">
        <f t="shared" si="52"/>
        <v/>
      </c>
      <c r="AK174" s="237" t="str">
        <f t="shared" si="41"/>
        <v/>
      </c>
      <c r="AL174" s="237" t="str">
        <f t="shared" si="53"/>
        <v/>
      </c>
      <c r="AM174" s="192" t="e">
        <f t="shared" si="42"/>
        <v>#VALUE!</v>
      </c>
      <c r="AN174" s="193" t="e">
        <f t="shared" si="43"/>
        <v>#VALUE!</v>
      </c>
      <c r="AO174" s="193" t="e">
        <f t="shared" si="44"/>
        <v>#VALUE!</v>
      </c>
      <c r="AP174" s="193"/>
      <c r="AQ174" s="204"/>
      <c r="AR174" s="204"/>
      <c r="AS174" s="204"/>
      <c r="AT174" s="205"/>
      <c r="AU174"/>
    </row>
    <row r="175" spans="2:47" ht="15" customHeight="1" x14ac:dyDescent="0.25">
      <c r="B175" s="206"/>
      <c r="C175" s="185"/>
      <c r="D175" s="164"/>
      <c r="E175" s="174"/>
      <c r="F175" s="164"/>
      <c r="G175" s="174"/>
      <c r="H175" s="164"/>
      <c r="I175" s="174"/>
      <c r="J175" s="184"/>
      <c r="K175" s="186"/>
      <c r="L175" s="187" t="str">
        <f t="shared" si="45"/>
        <v/>
      </c>
      <c r="M175" s="187" t="str">
        <f t="shared" si="46"/>
        <v/>
      </c>
      <c r="N175" s="187" t="str">
        <f t="shared" si="38"/>
        <v>D</v>
      </c>
      <c r="O175" s="187" t="str">
        <f t="shared" si="47"/>
        <v>D</v>
      </c>
      <c r="P175" s="187">
        <f t="shared" si="48"/>
        <v>1</v>
      </c>
      <c r="Q175" s="187">
        <f>IFERROR(VLOOKUP(E175,Tabela_Deflator:E$43,5,FALSE),1)</f>
        <v>1</v>
      </c>
      <c r="R175" s="188" t="str">
        <f t="shared" si="49"/>
        <v/>
      </c>
      <c r="S175" s="237" t="str">
        <f t="shared" si="39"/>
        <v/>
      </c>
      <c r="T175" s="237" t="str">
        <f t="shared" si="54"/>
        <v/>
      </c>
      <c r="U175" s="189"/>
      <c r="V175" s="167"/>
      <c r="W175" s="165"/>
      <c r="X175" s="164"/>
      <c r="Y175" s="164"/>
      <c r="Z175" s="164"/>
      <c r="AA175" s="174"/>
      <c r="AB175" s="164"/>
      <c r="AC175" s="174"/>
      <c r="AD175" s="184"/>
      <c r="AE175" s="190" t="str">
        <f t="shared" si="50"/>
        <v/>
      </c>
      <c r="AF175" s="190" t="str">
        <f t="shared" si="51"/>
        <v/>
      </c>
      <c r="AG175" s="190" t="str">
        <f t="shared" si="40"/>
        <v>D</v>
      </c>
      <c r="AH175" s="190">
        <f>IFERROR(VLOOKUP(Y175,SISP_Deflatores_e_INMs!B$4:F$49,3,FALSE),1)</f>
        <v>1</v>
      </c>
      <c r="AI175" s="190">
        <f>IFERROR(VLOOKUP(Y175,SISP_Deflatores_e_INMs!B$4:G$49,5,FALSE),1)</f>
        <v>1</v>
      </c>
      <c r="AJ175" s="191" t="str">
        <f t="shared" si="52"/>
        <v/>
      </c>
      <c r="AK175" s="237" t="str">
        <f t="shared" si="41"/>
        <v/>
      </c>
      <c r="AL175" s="237" t="str">
        <f t="shared" si="53"/>
        <v/>
      </c>
      <c r="AM175" s="192" t="e">
        <f t="shared" si="42"/>
        <v>#VALUE!</v>
      </c>
      <c r="AN175" s="193" t="e">
        <f t="shared" si="43"/>
        <v>#VALUE!</v>
      </c>
      <c r="AO175" s="193" t="e">
        <f t="shared" si="44"/>
        <v>#VALUE!</v>
      </c>
      <c r="AP175" s="193"/>
      <c r="AQ175" s="204"/>
      <c r="AR175" s="204"/>
      <c r="AS175" s="204"/>
      <c r="AT175" s="205"/>
      <c r="AU175"/>
    </row>
    <row r="176" spans="2:47" ht="15" customHeight="1" x14ac:dyDescent="0.25">
      <c r="B176" s="206"/>
      <c r="C176" s="185"/>
      <c r="D176" s="164"/>
      <c r="E176" s="174"/>
      <c r="F176" s="164"/>
      <c r="G176" s="174"/>
      <c r="H176" s="164"/>
      <c r="I176" s="174"/>
      <c r="J176" s="184"/>
      <c r="K176" s="186"/>
      <c r="L176" s="187" t="str">
        <f t="shared" si="45"/>
        <v/>
      </c>
      <c r="M176" s="187" t="str">
        <f t="shared" si="46"/>
        <v/>
      </c>
      <c r="N176" s="187" t="str">
        <f t="shared" si="38"/>
        <v>D</v>
      </c>
      <c r="O176" s="187" t="str">
        <f t="shared" si="47"/>
        <v>D</v>
      </c>
      <c r="P176" s="187">
        <f t="shared" si="48"/>
        <v>1</v>
      </c>
      <c r="Q176" s="187">
        <f>IFERROR(VLOOKUP(E176,Tabela_Deflator:E$43,5,FALSE),1)</f>
        <v>1</v>
      </c>
      <c r="R176" s="188" t="str">
        <f t="shared" si="49"/>
        <v/>
      </c>
      <c r="S176" s="237" t="str">
        <f t="shared" si="39"/>
        <v/>
      </c>
      <c r="T176" s="237" t="str">
        <f t="shared" si="54"/>
        <v/>
      </c>
      <c r="U176" s="189"/>
      <c r="V176" s="167"/>
      <c r="W176" s="165"/>
      <c r="X176" s="164"/>
      <c r="Y176" s="164"/>
      <c r="Z176" s="164"/>
      <c r="AA176" s="174"/>
      <c r="AB176" s="164"/>
      <c r="AC176" s="174"/>
      <c r="AD176" s="184"/>
      <c r="AE176" s="190" t="str">
        <f t="shared" si="50"/>
        <v/>
      </c>
      <c r="AF176" s="190" t="str">
        <f t="shared" si="51"/>
        <v/>
      </c>
      <c r="AG176" s="190" t="str">
        <f t="shared" si="40"/>
        <v>D</v>
      </c>
      <c r="AH176" s="190">
        <f>IFERROR(VLOOKUP(Y176,SISP_Deflatores_e_INMs!B$4:F$49,3,FALSE),1)</f>
        <v>1</v>
      </c>
      <c r="AI176" s="190">
        <f>IFERROR(VLOOKUP(Y176,SISP_Deflatores_e_INMs!B$4:G$49,5,FALSE),1)</f>
        <v>1</v>
      </c>
      <c r="AJ176" s="191" t="str">
        <f t="shared" si="52"/>
        <v/>
      </c>
      <c r="AK176" s="237" t="str">
        <f t="shared" si="41"/>
        <v/>
      </c>
      <c r="AL176" s="237" t="str">
        <f t="shared" si="53"/>
        <v/>
      </c>
      <c r="AM176" s="192" t="e">
        <f t="shared" si="42"/>
        <v>#VALUE!</v>
      </c>
      <c r="AN176" s="193" t="e">
        <f t="shared" si="43"/>
        <v>#VALUE!</v>
      </c>
      <c r="AO176" s="193" t="e">
        <f t="shared" si="44"/>
        <v>#VALUE!</v>
      </c>
      <c r="AP176" s="193"/>
      <c r="AQ176" s="204"/>
      <c r="AR176" s="204"/>
      <c r="AS176" s="204"/>
      <c r="AT176" s="205"/>
      <c r="AU176"/>
    </row>
    <row r="177" spans="2:47" ht="15" customHeight="1" x14ac:dyDescent="0.25">
      <c r="B177" s="206"/>
      <c r="C177" s="185"/>
      <c r="D177" s="164"/>
      <c r="E177" s="174"/>
      <c r="F177" s="164"/>
      <c r="G177" s="174"/>
      <c r="H177" s="164"/>
      <c r="I177" s="174"/>
      <c r="J177" s="184"/>
      <c r="K177" s="186"/>
      <c r="L177" s="187" t="str">
        <f t="shared" si="45"/>
        <v/>
      </c>
      <c r="M177" s="187" t="str">
        <f t="shared" si="46"/>
        <v/>
      </c>
      <c r="N177" s="187" t="str">
        <f t="shared" si="38"/>
        <v>D</v>
      </c>
      <c r="O177" s="187" t="str">
        <f t="shared" si="47"/>
        <v>D</v>
      </c>
      <c r="P177" s="187">
        <f t="shared" si="48"/>
        <v>1</v>
      </c>
      <c r="Q177" s="187">
        <f>IFERROR(VLOOKUP(E177,Tabela_Deflator:E$43,5,FALSE),1)</f>
        <v>1</v>
      </c>
      <c r="R177" s="188" t="str">
        <f t="shared" si="49"/>
        <v/>
      </c>
      <c r="S177" s="237" t="str">
        <f t="shared" si="39"/>
        <v/>
      </c>
      <c r="T177" s="237" t="str">
        <f t="shared" si="54"/>
        <v/>
      </c>
      <c r="U177" s="189"/>
      <c r="V177" s="167"/>
      <c r="W177" s="165"/>
      <c r="X177" s="164"/>
      <c r="Y177" s="164"/>
      <c r="Z177" s="164"/>
      <c r="AA177" s="174"/>
      <c r="AB177" s="164"/>
      <c r="AC177" s="174"/>
      <c r="AD177" s="184"/>
      <c r="AE177" s="190" t="str">
        <f t="shared" si="50"/>
        <v/>
      </c>
      <c r="AF177" s="190" t="str">
        <f t="shared" si="51"/>
        <v/>
      </c>
      <c r="AG177" s="190" t="str">
        <f t="shared" si="40"/>
        <v>D</v>
      </c>
      <c r="AH177" s="190">
        <f>IFERROR(VLOOKUP(Y177,SISP_Deflatores_e_INMs!B$4:F$49,3,FALSE),1)</f>
        <v>1</v>
      </c>
      <c r="AI177" s="190">
        <f>IFERROR(VLOOKUP(Y177,SISP_Deflatores_e_INMs!B$4:G$49,5,FALSE),1)</f>
        <v>1</v>
      </c>
      <c r="AJ177" s="191" t="str">
        <f t="shared" si="52"/>
        <v/>
      </c>
      <c r="AK177" s="237" t="str">
        <f t="shared" si="41"/>
        <v/>
      </c>
      <c r="AL177" s="237" t="str">
        <f t="shared" si="53"/>
        <v/>
      </c>
      <c r="AM177" s="192" t="e">
        <f t="shared" si="42"/>
        <v>#VALUE!</v>
      </c>
      <c r="AN177" s="193" t="e">
        <f t="shared" si="43"/>
        <v>#VALUE!</v>
      </c>
      <c r="AO177" s="193" t="e">
        <f t="shared" si="44"/>
        <v>#VALUE!</v>
      </c>
      <c r="AP177" s="193"/>
      <c r="AQ177" s="204"/>
      <c r="AR177" s="204"/>
      <c r="AS177" s="204"/>
      <c r="AT177" s="205"/>
      <c r="AU177"/>
    </row>
    <row r="178" spans="2:47" ht="15" customHeight="1" x14ac:dyDescent="0.25">
      <c r="B178" s="206"/>
      <c r="C178" s="185"/>
      <c r="D178" s="164"/>
      <c r="E178" s="174"/>
      <c r="F178" s="164"/>
      <c r="G178" s="174"/>
      <c r="H178" s="164"/>
      <c r="I178" s="174"/>
      <c r="J178" s="184"/>
      <c r="K178" s="186"/>
      <c r="L178" s="187" t="str">
        <f t="shared" si="45"/>
        <v/>
      </c>
      <c r="M178" s="187" t="str">
        <f t="shared" si="46"/>
        <v/>
      </c>
      <c r="N178" s="187" t="str">
        <f t="shared" si="38"/>
        <v>D</v>
      </c>
      <c r="O178" s="187" t="str">
        <f t="shared" si="47"/>
        <v>D</v>
      </c>
      <c r="P178" s="187">
        <f t="shared" si="48"/>
        <v>1</v>
      </c>
      <c r="Q178" s="187">
        <f>IFERROR(VLOOKUP(E178,Tabela_Deflator:E$43,5,FALSE),1)</f>
        <v>1</v>
      </c>
      <c r="R178" s="188" t="str">
        <f t="shared" si="49"/>
        <v/>
      </c>
      <c r="S178" s="237" t="str">
        <f t="shared" si="39"/>
        <v/>
      </c>
      <c r="T178" s="237" t="str">
        <f t="shared" si="54"/>
        <v/>
      </c>
      <c r="U178" s="189"/>
      <c r="V178" s="167"/>
      <c r="W178" s="165"/>
      <c r="X178" s="164"/>
      <c r="Y178" s="164"/>
      <c r="Z178" s="164"/>
      <c r="AA178" s="174"/>
      <c r="AB178" s="164"/>
      <c r="AC178" s="174"/>
      <c r="AD178" s="184"/>
      <c r="AE178" s="190" t="str">
        <f t="shared" si="50"/>
        <v/>
      </c>
      <c r="AF178" s="190" t="str">
        <f t="shared" si="51"/>
        <v/>
      </c>
      <c r="AG178" s="190" t="str">
        <f t="shared" si="40"/>
        <v>D</v>
      </c>
      <c r="AH178" s="190">
        <f>IFERROR(VLOOKUP(Y178,SISP_Deflatores_e_INMs!B$4:F$49,3,FALSE),1)</f>
        <v>1</v>
      </c>
      <c r="AI178" s="190">
        <f>IFERROR(VLOOKUP(Y178,SISP_Deflatores_e_INMs!B$4:G$49,5,FALSE),1)</f>
        <v>1</v>
      </c>
      <c r="AJ178" s="191" t="str">
        <f t="shared" si="52"/>
        <v/>
      </c>
      <c r="AK178" s="237" t="str">
        <f t="shared" si="41"/>
        <v/>
      </c>
      <c r="AL178" s="237" t="str">
        <f t="shared" si="53"/>
        <v/>
      </c>
      <c r="AM178" s="192" t="e">
        <f t="shared" si="42"/>
        <v>#VALUE!</v>
      </c>
      <c r="AN178" s="193" t="e">
        <f t="shared" si="43"/>
        <v>#VALUE!</v>
      </c>
      <c r="AO178" s="193" t="e">
        <f t="shared" si="44"/>
        <v>#VALUE!</v>
      </c>
      <c r="AP178" s="193"/>
      <c r="AQ178" s="204"/>
      <c r="AR178" s="204"/>
      <c r="AS178" s="204"/>
      <c r="AT178" s="205"/>
      <c r="AU178"/>
    </row>
    <row r="179" spans="2:47" ht="15" customHeight="1" x14ac:dyDescent="0.25">
      <c r="B179" s="206"/>
      <c r="C179" s="185"/>
      <c r="D179" s="164"/>
      <c r="E179" s="174"/>
      <c r="F179" s="164"/>
      <c r="G179" s="174"/>
      <c r="H179" s="164"/>
      <c r="I179" s="174"/>
      <c r="J179" s="184"/>
      <c r="K179" s="186"/>
      <c r="L179" s="187" t="str">
        <f t="shared" si="45"/>
        <v/>
      </c>
      <c r="M179" s="187" t="str">
        <f t="shared" si="46"/>
        <v/>
      </c>
      <c r="N179" s="187" t="str">
        <f t="shared" si="38"/>
        <v>D</v>
      </c>
      <c r="O179" s="187" t="str">
        <f t="shared" si="47"/>
        <v>D</v>
      </c>
      <c r="P179" s="187">
        <f t="shared" si="48"/>
        <v>1</v>
      </c>
      <c r="Q179" s="187">
        <f>IFERROR(VLOOKUP(E179,Tabela_Deflator:E$43,5,FALSE),1)</f>
        <v>1</v>
      </c>
      <c r="R179" s="188" t="str">
        <f t="shared" si="49"/>
        <v/>
      </c>
      <c r="S179" s="237" t="str">
        <f t="shared" si="39"/>
        <v/>
      </c>
      <c r="T179" s="237" t="str">
        <f t="shared" si="54"/>
        <v/>
      </c>
      <c r="U179" s="189"/>
      <c r="V179" s="167"/>
      <c r="W179" s="165"/>
      <c r="X179" s="164"/>
      <c r="Y179" s="164"/>
      <c r="Z179" s="164"/>
      <c r="AA179" s="174"/>
      <c r="AB179" s="164"/>
      <c r="AC179" s="174"/>
      <c r="AD179" s="184"/>
      <c r="AE179" s="190" t="str">
        <f t="shared" si="50"/>
        <v/>
      </c>
      <c r="AF179" s="190" t="str">
        <f t="shared" si="51"/>
        <v/>
      </c>
      <c r="AG179" s="190" t="str">
        <f t="shared" si="40"/>
        <v>D</v>
      </c>
      <c r="AH179" s="190">
        <f>IFERROR(VLOOKUP(Y179,SISP_Deflatores_e_INMs!B$4:F$49,3,FALSE),1)</f>
        <v>1</v>
      </c>
      <c r="AI179" s="190">
        <f>IFERROR(VLOOKUP(Y179,SISP_Deflatores_e_INMs!B$4:G$49,5,FALSE),1)</f>
        <v>1</v>
      </c>
      <c r="AJ179" s="191" t="str">
        <f t="shared" si="52"/>
        <v/>
      </c>
      <c r="AK179" s="237" t="str">
        <f t="shared" si="41"/>
        <v/>
      </c>
      <c r="AL179" s="237" t="str">
        <f t="shared" si="53"/>
        <v/>
      </c>
      <c r="AM179" s="192" t="e">
        <f t="shared" si="42"/>
        <v>#VALUE!</v>
      </c>
      <c r="AN179" s="193" t="e">
        <f t="shared" si="43"/>
        <v>#VALUE!</v>
      </c>
      <c r="AO179" s="193" t="e">
        <f t="shared" si="44"/>
        <v>#VALUE!</v>
      </c>
      <c r="AP179" s="193"/>
      <c r="AQ179" s="204"/>
      <c r="AR179" s="204"/>
      <c r="AS179" s="204"/>
      <c r="AT179" s="205"/>
      <c r="AU179"/>
    </row>
    <row r="180" spans="2:47" ht="15" customHeight="1" x14ac:dyDescent="0.25">
      <c r="B180" s="206"/>
      <c r="C180" s="185"/>
      <c r="D180" s="164"/>
      <c r="E180" s="174"/>
      <c r="F180" s="164"/>
      <c r="G180" s="174"/>
      <c r="H180" s="164"/>
      <c r="I180" s="174"/>
      <c r="J180" s="184"/>
      <c r="K180" s="186"/>
      <c r="L180" s="187" t="str">
        <f t="shared" si="45"/>
        <v/>
      </c>
      <c r="M180" s="187" t="str">
        <f t="shared" si="46"/>
        <v/>
      </c>
      <c r="N180" s="187" t="str">
        <f t="shared" si="38"/>
        <v>D</v>
      </c>
      <c r="O180" s="187" t="str">
        <f t="shared" si="47"/>
        <v>D</v>
      </c>
      <c r="P180" s="187">
        <f t="shared" si="48"/>
        <v>1</v>
      </c>
      <c r="Q180" s="187">
        <f>IFERROR(VLOOKUP(E180,Tabela_Deflator:E$43,5,FALSE),1)</f>
        <v>1</v>
      </c>
      <c r="R180" s="188" t="str">
        <f t="shared" si="49"/>
        <v/>
      </c>
      <c r="S180" s="237" t="str">
        <f t="shared" si="39"/>
        <v/>
      </c>
      <c r="T180" s="237" t="str">
        <f t="shared" si="54"/>
        <v/>
      </c>
      <c r="U180" s="189"/>
      <c r="V180" s="167"/>
      <c r="W180" s="165"/>
      <c r="X180" s="164"/>
      <c r="Y180" s="164"/>
      <c r="Z180" s="164"/>
      <c r="AA180" s="174"/>
      <c r="AB180" s="164"/>
      <c r="AC180" s="174"/>
      <c r="AD180" s="184"/>
      <c r="AE180" s="190" t="str">
        <f t="shared" si="50"/>
        <v/>
      </c>
      <c r="AF180" s="190" t="str">
        <f t="shared" si="51"/>
        <v/>
      </c>
      <c r="AG180" s="190" t="str">
        <f t="shared" si="40"/>
        <v>D</v>
      </c>
      <c r="AH180" s="190">
        <f>IFERROR(VLOOKUP(Y180,SISP_Deflatores_e_INMs!B$4:F$49,3,FALSE),1)</f>
        <v>1</v>
      </c>
      <c r="AI180" s="190">
        <f>IFERROR(VLOOKUP(Y180,SISP_Deflatores_e_INMs!B$4:G$49,5,FALSE),1)</f>
        <v>1</v>
      </c>
      <c r="AJ180" s="191" t="str">
        <f t="shared" si="52"/>
        <v/>
      </c>
      <c r="AK180" s="237" t="str">
        <f t="shared" si="41"/>
        <v/>
      </c>
      <c r="AL180" s="237" t="str">
        <f t="shared" si="53"/>
        <v/>
      </c>
      <c r="AM180" s="192" t="e">
        <f t="shared" si="42"/>
        <v>#VALUE!</v>
      </c>
      <c r="AN180" s="193" t="e">
        <f t="shared" si="43"/>
        <v>#VALUE!</v>
      </c>
      <c r="AO180" s="193" t="e">
        <f t="shared" si="44"/>
        <v>#VALUE!</v>
      </c>
      <c r="AP180" s="193"/>
      <c r="AQ180" s="204"/>
      <c r="AR180" s="204"/>
      <c r="AS180" s="204"/>
      <c r="AT180" s="205"/>
      <c r="AU180"/>
    </row>
    <row r="181" spans="2:47" ht="15" customHeight="1" x14ac:dyDescent="0.25">
      <c r="B181" s="206"/>
      <c r="C181" s="185"/>
      <c r="D181" s="164"/>
      <c r="E181" s="174"/>
      <c r="F181" s="164"/>
      <c r="G181" s="174"/>
      <c r="H181" s="164"/>
      <c r="I181" s="174"/>
      <c r="J181" s="184"/>
      <c r="K181" s="186"/>
      <c r="L181" s="187" t="str">
        <f t="shared" si="45"/>
        <v/>
      </c>
      <c r="M181" s="187" t="str">
        <f t="shared" si="46"/>
        <v/>
      </c>
      <c r="N181" s="187" t="str">
        <f t="shared" si="38"/>
        <v>D</v>
      </c>
      <c r="O181" s="187" t="str">
        <f t="shared" si="47"/>
        <v>D</v>
      </c>
      <c r="P181" s="187">
        <f t="shared" si="48"/>
        <v>1</v>
      </c>
      <c r="Q181" s="187">
        <f>IFERROR(VLOOKUP(E181,Tabela_Deflator:E$43,5,FALSE),1)</f>
        <v>1</v>
      </c>
      <c r="R181" s="188" t="str">
        <f t="shared" si="49"/>
        <v/>
      </c>
      <c r="S181" s="237" t="str">
        <f t="shared" si="39"/>
        <v/>
      </c>
      <c r="T181" s="237" t="str">
        <f t="shared" si="54"/>
        <v/>
      </c>
      <c r="U181" s="189"/>
      <c r="V181" s="167"/>
      <c r="W181" s="165"/>
      <c r="X181" s="164"/>
      <c r="Y181" s="164"/>
      <c r="Z181" s="164"/>
      <c r="AA181" s="174"/>
      <c r="AB181" s="164"/>
      <c r="AC181" s="174"/>
      <c r="AD181" s="184"/>
      <c r="AE181" s="190" t="str">
        <f t="shared" si="50"/>
        <v/>
      </c>
      <c r="AF181" s="190" t="str">
        <f t="shared" si="51"/>
        <v/>
      </c>
      <c r="AG181" s="190" t="str">
        <f t="shared" si="40"/>
        <v>D</v>
      </c>
      <c r="AH181" s="190">
        <f>IFERROR(VLOOKUP(Y181,SISP_Deflatores_e_INMs!B$4:F$49,3,FALSE),1)</f>
        <v>1</v>
      </c>
      <c r="AI181" s="190">
        <f>IFERROR(VLOOKUP(Y181,SISP_Deflatores_e_INMs!B$4:G$49,5,FALSE),1)</f>
        <v>1</v>
      </c>
      <c r="AJ181" s="191" t="str">
        <f t="shared" si="52"/>
        <v/>
      </c>
      <c r="AK181" s="237" t="str">
        <f t="shared" si="41"/>
        <v/>
      </c>
      <c r="AL181" s="237" t="str">
        <f t="shared" si="53"/>
        <v/>
      </c>
      <c r="AM181" s="192" t="e">
        <f t="shared" si="42"/>
        <v>#VALUE!</v>
      </c>
      <c r="AN181" s="193" t="e">
        <f t="shared" si="43"/>
        <v>#VALUE!</v>
      </c>
      <c r="AO181" s="193" t="e">
        <f t="shared" si="44"/>
        <v>#VALUE!</v>
      </c>
      <c r="AP181" s="193"/>
      <c r="AQ181" s="204"/>
      <c r="AR181" s="204"/>
      <c r="AS181" s="204"/>
      <c r="AT181" s="205"/>
      <c r="AU181"/>
    </row>
    <row r="182" spans="2:47" ht="15" customHeight="1" x14ac:dyDescent="0.25">
      <c r="B182" s="206"/>
      <c r="C182" s="185"/>
      <c r="D182" s="164"/>
      <c r="E182" s="174"/>
      <c r="F182" s="164"/>
      <c r="G182" s="174"/>
      <c r="H182" s="164"/>
      <c r="I182" s="174"/>
      <c r="J182" s="184"/>
      <c r="K182" s="186"/>
      <c r="L182" s="187" t="str">
        <f t="shared" si="45"/>
        <v/>
      </c>
      <c r="M182" s="187" t="str">
        <f t="shared" si="46"/>
        <v/>
      </c>
      <c r="N182" s="187" t="str">
        <f t="shared" si="38"/>
        <v>D</v>
      </c>
      <c r="O182" s="187" t="str">
        <f t="shared" si="47"/>
        <v>D</v>
      </c>
      <c r="P182" s="187">
        <f t="shared" si="48"/>
        <v>1</v>
      </c>
      <c r="Q182" s="187">
        <f>IFERROR(VLOOKUP(E182,Tabela_Deflator:E$43,5,FALSE),1)</f>
        <v>1</v>
      </c>
      <c r="R182" s="188" t="str">
        <f t="shared" si="49"/>
        <v/>
      </c>
      <c r="S182" s="237" t="str">
        <f t="shared" si="39"/>
        <v/>
      </c>
      <c r="T182" s="237" t="str">
        <f t="shared" si="54"/>
        <v/>
      </c>
      <c r="U182" s="189"/>
      <c r="V182" s="167"/>
      <c r="W182" s="165"/>
      <c r="X182" s="164"/>
      <c r="Y182" s="164"/>
      <c r="Z182" s="164"/>
      <c r="AA182" s="174"/>
      <c r="AB182" s="164"/>
      <c r="AC182" s="174"/>
      <c r="AD182" s="184"/>
      <c r="AE182" s="190" t="str">
        <f t="shared" si="50"/>
        <v/>
      </c>
      <c r="AF182" s="190" t="str">
        <f t="shared" si="51"/>
        <v/>
      </c>
      <c r="AG182" s="190" t="str">
        <f t="shared" si="40"/>
        <v>D</v>
      </c>
      <c r="AH182" s="190">
        <f>IFERROR(VLOOKUP(Y182,SISP_Deflatores_e_INMs!B$4:F$49,3,FALSE),1)</f>
        <v>1</v>
      </c>
      <c r="AI182" s="190">
        <f>IFERROR(VLOOKUP(Y182,SISP_Deflatores_e_INMs!B$4:G$49,5,FALSE),1)</f>
        <v>1</v>
      </c>
      <c r="AJ182" s="191" t="str">
        <f t="shared" si="52"/>
        <v/>
      </c>
      <c r="AK182" s="237" t="str">
        <f t="shared" si="41"/>
        <v/>
      </c>
      <c r="AL182" s="237" t="str">
        <f t="shared" si="53"/>
        <v/>
      </c>
      <c r="AM182" s="192" t="e">
        <f t="shared" si="42"/>
        <v>#VALUE!</v>
      </c>
      <c r="AN182" s="193" t="e">
        <f t="shared" si="43"/>
        <v>#VALUE!</v>
      </c>
      <c r="AO182" s="193" t="e">
        <f t="shared" si="44"/>
        <v>#VALUE!</v>
      </c>
      <c r="AP182" s="193"/>
      <c r="AQ182" s="204"/>
      <c r="AR182" s="204"/>
      <c r="AS182" s="204"/>
      <c r="AT182" s="205"/>
      <c r="AU182"/>
    </row>
    <row r="183" spans="2:47" ht="15" customHeight="1" x14ac:dyDescent="0.25">
      <c r="B183" s="206"/>
      <c r="C183" s="185"/>
      <c r="D183" s="164"/>
      <c r="E183" s="174"/>
      <c r="F183" s="164"/>
      <c r="G183" s="174"/>
      <c r="H183" s="164"/>
      <c r="I183" s="174"/>
      <c r="J183" s="184"/>
      <c r="K183" s="186"/>
      <c r="L183" s="187" t="str">
        <f t="shared" si="45"/>
        <v/>
      </c>
      <c r="M183" s="187" t="str">
        <f t="shared" si="46"/>
        <v/>
      </c>
      <c r="N183" s="187" t="str">
        <f t="shared" si="38"/>
        <v>D</v>
      </c>
      <c r="O183" s="187" t="str">
        <f t="shared" si="47"/>
        <v>D</v>
      </c>
      <c r="P183" s="187">
        <f t="shared" si="48"/>
        <v>1</v>
      </c>
      <c r="Q183" s="187">
        <f>IFERROR(VLOOKUP(E183,Tabela_Deflator:E$43,5,FALSE),1)</f>
        <v>1</v>
      </c>
      <c r="R183" s="188" t="str">
        <f t="shared" si="49"/>
        <v/>
      </c>
      <c r="S183" s="237" t="str">
        <f t="shared" si="39"/>
        <v/>
      </c>
      <c r="T183" s="237" t="str">
        <f t="shared" si="54"/>
        <v/>
      </c>
      <c r="U183" s="189"/>
      <c r="V183" s="167"/>
      <c r="W183" s="165"/>
      <c r="X183" s="164"/>
      <c r="Y183" s="164"/>
      <c r="Z183" s="164"/>
      <c r="AA183" s="174"/>
      <c r="AB183" s="164"/>
      <c r="AC183" s="174"/>
      <c r="AD183" s="184"/>
      <c r="AE183" s="190" t="str">
        <f t="shared" si="50"/>
        <v/>
      </c>
      <c r="AF183" s="190" t="str">
        <f t="shared" si="51"/>
        <v/>
      </c>
      <c r="AG183" s="190" t="str">
        <f t="shared" si="40"/>
        <v>D</v>
      </c>
      <c r="AH183" s="190">
        <f>IFERROR(VLOOKUP(Y183,SISP_Deflatores_e_INMs!B$4:F$49,3,FALSE),1)</f>
        <v>1</v>
      </c>
      <c r="AI183" s="190">
        <f>IFERROR(VLOOKUP(Y183,SISP_Deflatores_e_INMs!B$4:G$49,5,FALSE),1)</f>
        <v>1</v>
      </c>
      <c r="AJ183" s="191" t="str">
        <f t="shared" si="52"/>
        <v/>
      </c>
      <c r="AK183" s="237" t="str">
        <f t="shared" si="41"/>
        <v/>
      </c>
      <c r="AL183" s="237" t="str">
        <f t="shared" si="53"/>
        <v/>
      </c>
      <c r="AM183" s="192" t="e">
        <f t="shared" si="42"/>
        <v>#VALUE!</v>
      </c>
      <c r="AN183" s="193" t="e">
        <f t="shared" si="43"/>
        <v>#VALUE!</v>
      </c>
      <c r="AO183" s="193" t="e">
        <f t="shared" si="44"/>
        <v>#VALUE!</v>
      </c>
      <c r="AP183" s="193"/>
      <c r="AQ183" s="204"/>
      <c r="AR183" s="204"/>
      <c r="AS183" s="204"/>
      <c r="AT183" s="205"/>
      <c r="AU183"/>
    </row>
    <row r="184" spans="2:47" ht="15" customHeight="1" x14ac:dyDescent="0.25">
      <c r="B184" s="206"/>
      <c r="C184" s="185"/>
      <c r="D184" s="164"/>
      <c r="E184" s="174"/>
      <c r="F184" s="164"/>
      <c r="G184" s="174"/>
      <c r="H184" s="164"/>
      <c r="I184" s="174"/>
      <c r="J184" s="184"/>
      <c r="K184" s="186"/>
      <c r="L184" s="187" t="str">
        <f t="shared" si="45"/>
        <v/>
      </c>
      <c r="M184" s="187" t="str">
        <f t="shared" si="46"/>
        <v/>
      </c>
      <c r="N184" s="187" t="str">
        <f t="shared" si="38"/>
        <v>D</v>
      </c>
      <c r="O184" s="187" t="str">
        <f t="shared" si="47"/>
        <v>D</v>
      </c>
      <c r="P184" s="187">
        <f t="shared" si="48"/>
        <v>1</v>
      </c>
      <c r="Q184" s="187">
        <f>IFERROR(VLOOKUP(E184,Tabela_Deflator:E$43,5,FALSE),1)</f>
        <v>1</v>
      </c>
      <c r="R184" s="188" t="str">
        <f t="shared" si="49"/>
        <v/>
      </c>
      <c r="S184" s="237" t="str">
        <f t="shared" si="39"/>
        <v/>
      </c>
      <c r="T184" s="237" t="str">
        <f t="shared" si="54"/>
        <v/>
      </c>
      <c r="U184" s="189"/>
      <c r="V184" s="167"/>
      <c r="W184" s="165"/>
      <c r="X184" s="164"/>
      <c r="Y184" s="164"/>
      <c r="Z184" s="164"/>
      <c r="AA184" s="174"/>
      <c r="AB184" s="164"/>
      <c r="AC184" s="174"/>
      <c r="AD184" s="184"/>
      <c r="AE184" s="190" t="str">
        <f t="shared" si="50"/>
        <v/>
      </c>
      <c r="AF184" s="190" t="str">
        <f t="shared" si="51"/>
        <v/>
      </c>
      <c r="AG184" s="190" t="str">
        <f t="shared" si="40"/>
        <v>D</v>
      </c>
      <c r="AH184" s="190">
        <f>IFERROR(VLOOKUP(Y184,SISP_Deflatores_e_INMs!B$4:F$49,3,FALSE),1)</f>
        <v>1</v>
      </c>
      <c r="AI184" s="190">
        <f>IFERROR(VLOOKUP(Y184,SISP_Deflatores_e_INMs!B$4:G$49,5,FALSE),1)</f>
        <v>1</v>
      </c>
      <c r="AJ184" s="191" t="str">
        <f t="shared" si="52"/>
        <v/>
      </c>
      <c r="AK184" s="237" t="str">
        <f t="shared" si="41"/>
        <v/>
      </c>
      <c r="AL184" s="237" t="str">
        <f t="shared" si="53"/>
        <v/>
      </c>
      <c r="AM184" s="192" t="e">
        <f t="shared" si="42"/>
        <v>#VALUE!</v>
      </c>
      <c r="AN184" s="193" t="e">
        <f t="shared" si="43"/>
        <v>#VALUE!</v>
      </c>
      <c r="AO184" s="193" t="e">
        <f t="shared" si="44"/>
        <v>#VALUE!</v>
      </c>
      <c r="AP184" s="193"/>
      <c r="AQ184" s="204"/>
      <c r="AR184" s="204"/>
      <c r="AS184" s="204"/>
      <c r="AT184" s="205"/>
      <c r="AU184"/>
    </row>
    <row r="185" spans="2:47" ht="15" customHeight="1" x14ac:dyDescent="0.25">
      <c r="B185" s="206"/>
      <c r="C185" s="185"/>
      <c r="D185" s="164"/>
      <c r="E185" s="174"/>
      <c r="F185" s="164"/>
      <c r="G185" s="174"/>
      <c r="H185" s="164"/>
      <c r="I185" s="174"/>
      <c r="J185" s="184"/>
      <c r="K185" s="186"/>
      <c r="L185" s="187" t="str">
        <f t="shared" si="45"/>
        <v/>
      </c>
      <c r="M185" s="187" t="str">
        <f t="shared" si="46"/>
        <v/>
      </c>
      <c r="N185" s="187" t="str">
        <f t="shared" si="38"/>
        <v>D</v>
      </c>
      <c r="O185" s="187" t="str">
        <f t="shared" si="47"/>
        <v>D</v>
      </c>
      <c r="P185" s="187">
        <f t="shared" si="48"/>
        <v>1</v>
      </c>
      <c r="Q185" s="187">
        <f>IFERROR(VLOOKUP(E185,Tabela_Deflator:E$43,5,FALSE),1)</f>
        <v>1</v>
      </c>
      <c r="R185" s="188" t="str">
        <f t="shared" si="49"/>
        <v/>
      </c>
      <c r="S185" s="237" t="str">
        <f t="shared" si="39"/>
        <v/>
      </c>
      <c r="T185" s="237" t="str">
        <f t="shared" si="54"/>
        <v/>
      </c>
      <c r="U185" s="189"/>
      <c r="V185" s="167"/>
      <c r="W185" s="165"/>
      <c r="X185" s="164"/>
      <c r="Y185" s="164"/>
      <c r="Z185" s="164"/>
      <c r="AA185" s="174"/>
      <c r="AB185" s="164"/>
      <c r="AC185" s="174"/>
      <c r="AD185" s="184"/>
      <c r="AE185" s="190" t="str">
        <f t="shared" si="50"/>
        <v/>
      </c>
      <c r="AF185" s="190" t="str">
        <f t="shared" si="51"/>
        <v/>
      </c>
      <c r="AG185" s="190" t="str">
        <f t="shared" si="40"/>
        <v>D</v>
      </c>
      <c r="AH185" s="190">
        <f>IFERROR(VLOOKUP(Y185,SISP_Deflatores_e_INMs!B$4:F$49,3,FALSE),1)</f>
        <v>1</v>
      </c>
      <c r="AI185" s="190">
        <f>IFERROR(VLOOKUP(Y185,SISP_Deflatores_e_INMs!B$4:G$49,5,FALSE),1)</f>
        <v>1</v>
      </c>
      <c r="AJ185" s="191" t="str">
        <f t="shared" si="52"/>
        <v/>
      </c>
      <c r="AK185" s="237" t="str">
        <f t="shared" si="41"/>
        <v/>
      </c>
      <c r="AL185" s="237" t="str">
        <f t="shared" si="53"/>
        <v/>
      </c>
      <c r="AM185" s="192" t="e">
        <f t="shared" si="42"/>
        <v>#VALUE!</v>
      </c>
      <c r="AN185" s="193" t="e">
        <f t="shared" si="43"/>
        <v>#VALUE!</v>
      </c>
      <c r="AO185" s="193" t="e">
        <f t="shared" si="44"/>
        <v>#VALUE!</v>
      </c>
      <c r="AP185" s="193"/>
      <c r="AQ185" s="204"/>
      <c r="AR185" s="204"/>
      <c r="AS185" s="204"/>
      <c r="AT185" s="205"/>
      <c r="AU185"/>
    </row>
    <row r="186" spans="2:47" ht="15" customHeight="1" x14ac:dyDescent="0.25">
      <c r="B186" s="206"/>
      <c r="C186" s="185"/>
      <c r="D186" s="164"/>
      <c r="E186" s="174"/>
      <c r="F186" s="164"/>
      <c r="G186" s="174"/>
      <c r="H186" s="164"/>
      <c r="I186" s="174"/>
      <c r="J186" s="184"/>
      <c r="K186" s="186"/>
      <c r="L186" s="187" t="str">
        <f t="shared" si="45"/>
        <v/>
      </c>
      <c r="M186" s="187" t="str">
        <f t="shared" si="46"/>
        <v/>
      </c>
      <c r="N186" s="187" t="str">
        <f t="shared" si="38"/>
        <v>D</v>
      </c>
      <c r="O186" s="187" t="str">
        <f t="shared" si="47"/>
        <v>D</v>
      </c>
      <c r="P186" s="187">
        <f t="shared" si="48"/>
        <v>1</v>
      </c>
      <c r="Q186" s="187">
        <f>IFERROR(VLOOKUP(E186,Tabela_Deflator:E$43,5,FALSE),1)</f>
        <v>1</v>
      </c>
      <c r="R186" s="188" t="str">
        <f t="shared" si="49"/>
        <v/>
      </c>
      <c r="S186" s="237" t="str">
        <f t="shared" si="39"/>
        <v/>
      </c>
      <c r="T186" s="237" t="str">
        <f t="shared" si="54"/>
        <v/>
      </c>
      <c r="U186" s="189"/>
      <c r="V186" s="167"/>
      <c r="W186" s="165"/>
      <c r="X186" s="164"/>
      <c r="Y186" s="164"/>
      <c r="Z186" s="164"/>
      <c r="AA186" s="174"/>
      <c r="AB186" s="164"/>
      <c r="AC186" s="174"/>
      <c r="AD186" s="184"/>
      <c r="AE186" s="190" t="str">
        <f t="shared" si="50"/>
        <v/>
      </c>
      <c r="AF186" s="190" t="str">
        <f t="shared" si="51"/>
        <v/>
      </c>
      <c r="AG186" s="190" t="str">
        <f t="shared" si="40"/>
        <v>D</v>
      </c>
      <c r="AH186" s="190">
        <f>IFERROR(VLOOKUP(Y186,SISP_Deflatores_e_INMs!B$4:F$49,3,FALSE),1)</f>
        <v>1</v>
      </c>
      <c r="AI186" s="190">
        <f>IFERROR(VLOOKUP(Y186,SISP_Deflatores_e_INMs!B$4:G$49,5,FALSE),1)</f>
        <v>1</v>
      </c>
      <c r="AJ186" s="191" t="str">
        <f t="shared" si="52"/>
        <v/>
      </c>
      <c r="AK186" s="237" t="str">
        <f t="shared" si="41"/>
        <v/>
      </c>
      <c r="AL186" s="237" t="str">
        <f t="shared" si="53"/>
        <v/>
      </c>
      <c r="AM186" s="192" t="e">
        <f t="shared" si="42"/>
        <v>#VALUE!</v>
      </c>
      <c r="AN186" s="193" t="e">
        <f t="shared" si="43"/>
        <v>#VALUE!</v>
      </c>
      <c r="AO186" s="193" t="e">
        <f t="shared" si="44"/>
        <v>#VALUE!</v>
      </c>
      <c r="AP186" s="193"/>
      <c r="AQ186" s="204"/>
      <c r="AR186" s="204"/>
      <c r="AS186" s="204"/>
      <c r="AT186" s="205"/>
      <c r="AU186"/>
    </row>
    <row r="187" spans="2:47" ht="15" customHeight="1" x14ac:dyDescent="0.25">
      <c r="B187" s="206"/>
      <c r="C187" s="185"/>
      <c r="D187" s="164"/>
      <c r="E187" s="174"/>
      <c r="F187" s="164"/>
      <c r="G187" s="174"/>
      <c r="H187" s="164"/>
      <c r="I187" s="174"/>
      <c r="J187" s="184"/>
      <c r="K187" s="186"/>
      <c r="L187" s="187" t="str">
        <f t="shared" si="45"/>
        <v/>
      </c>
      <c r="M187" s="187" t="str">
        <f t="shared" si="46"/>
        <v/>
      </c>
      <c r="N187" s="187" t="str">
        <f t="shared" si="38"/>
        <v>D</v>
      </c>
      <c r="O187" s="187" t="str">
        <f t="shared" si="47"/>
        <v>D</v>
      </c>
      <c r="P187" s="187">
        <f t="shared" si="48"/>
        <v>1</v>
      </c>
      <c r="Q187" s="187">
        <f>IFERROR(VLOOKUP(E187,Tabela_Deflator:E$43,5,FALSE),1)</f>
        <v>1</v>
      </c>
      <c r="R187" s="188" t="str">
        <f t="shared" si="49"/>
        <v/>
      </c>
      <c r="S187" s="237" t="str">
        <f t="shared" si="39"/>
        <v/>
      </c>
      <c r="T187" s="237" t="str">
        <f t="shared" si="54"/>
        <v/>
      </c>
      <c r="U187" s="189"/>
      <c r="V187" s="167"/>
      <c r="W187" s="165"/>
      <c r="X187" s="164"/>
      <c r="Y187" s="164"/>
      <c r="Z187" s="164"/>
      <c r="AA187" s="174"/>
      <c r="AB187" s="164"/>
      <c r="AC187" s="174"/>
      <c r="AD187" s="184"/>
      <c r="AE187" s="190" t="str">
        <f t="shared" si="50"/>
        <v/>
      </c>
      <c r="AF187" s="190" t="str">
        <f t="shared" si="51"/>
        <v/>
      </c>
      <c r="AG187" s="190" t="str">
        <f t="shared" si="40"/>
        <v>D</v>
      </c>
      <c r="AH187" s="190">
        <f>IFERROR(VLOOKUP(Y187,SISP_Deflatores_e_INMs!B$4:F$49,3,FALSE),1)</f>
        <v>1</v>
      </c>
      <c r="AI187" s="190">
        <f>IFERROR(VLOOKUP(Y187,SISP_Deflatores_e_INMs!B$4:G$49,5,FALSE),1)</f>
        <v>1</v>
      </c>
      <c r="AJ187" s="191" t="str">
        <f t="shared" si="52"/>
        <v/>
      </c>
      <c r="AK187" s="237" t="str">
        <f t="shared" si="41"/>
        <v/>
      </c>
      <c r="AL187" s="237" t="str">
        <f t="shared" si="53"/>
        <v/>
      </c>
      <c r="AM187" s="192" t="e">
        <f t="shared" si="42"/>
        <v>#VALUE!</v>
      </c>
      <c r="AN187" s="193" t="e">
        <f t="shared" si="43"/>
        <v>#VALUE!</v>
      </c>
      <c r="AO187" s="193" t="e">
        <f t="shared" si="44"/>
        <v>#VALUE!</v>
      </c>
      <c r="AP187" s="193"/>
      <c r="AQ187" s="204"/>
      <c r="AR187" s="204"/>
      <c r="AS187" s="204"/>
      <c r="AT187" s="205"/>
      <c r="AU187"/>
    </row>
    <row r="188" spans="2:47" ht="15" customHeight="1" x14ac:dyDescent="0.25">
      <c r="B188" s="206"/>
      <c r="C188" s="185"/>
      <c r="D188" s="164"/>
      <c r="E188" s="174"/>
      <c r="F188" s="164"/>
      <c r="G188" s="174"/>
      <c r="H188" s="164"/>
      <c r="I188" s="174"/>
      <c r="J188" s="184"/>
      <c r="K188" s="186"/>
      <c r="L188" s="187" t="str">
        <f t="shared" si="45"/>
        <v/>
      </c>
      <c r="M188" s="187" t="str">
        <f t="shared" si="46"/>
        <v/>
      </c>
      <c r="N188" s="187" t="str">
        <f t="shared" si="38"/>
        <v>D</v>
      </c>
      <c r="O188" s="187" t="str">
        <f t="shared" si="47"/>
        <v>D</v>
      </c>
      <c r="P188" s="187">
        <f t="shared" si="48"/>
        <v>1</v>
      </c>
      <c r="Q188" s="187">
        <f>IFERROR(VLOOKUP(E188,Tabela_Deflator:E$43,5,FALSE),1)</f>
        <v>1</v>
      </c>
      <c r="R188" s="188" t="str">
        <f t="shared" si="49"/>
        <v/>
      </c>
      <c r="S188" s="237" t="str">
        <f t="shared" si="39"/>
        <v/>
      </c>
      <c r="T188" s="237" t="str">
        <f t="shared" si="54"/>
        <v/>
      </c>
      <c r="U188" s="189"/>
      <c r="V188" s="167"/>
      <c r="W188" s="165"/>
      <c r="X188" s="164"/>
      <c r="Y188" s="164"/>
      <c r="Z188" s="164"/>
      <c r="AA188" s="174"/>
      <c r="AB188" s="164"/>
      <c r="AC188" s="174"/>
      <c r="AD188" s="184"/>
      <c r="AE188" s="190" t="str">
        <f t="shared" si="50"/>
        <v/>
      </c>
      <c r="AF188" s="190" t="str">
        <f t="shared" si="51"/>
        <v/>
      </c>
      <c r="AG188" s="190" t="str">
        <f t="shared" si="40"/>
        <v>D</v>
      </c>
      <c r="AH188" s="190">
        <f>IFERROR(VLOOKUP(Y188,SISP_Deflatores_e_INMs!B$4:F$49,3,FALSE),1)</f>
        <v>1</v>
      </c>
      <c r="AI188" s="190">
        <f>IFERROR(VLOOKUP(Y188,SISP_Deflatores_e_INMs!B$4:G$49,5,FALSE),1)</f>
        <v>1</v>
      </c>
      <c r="AJ188" s="191" t="str">
        <f t="shared" si="52"/>
        <v/>
      </c>
      <c r="AK188" s="237" t="str">
        <f t="shared" si="41"/>
        <v/>
      </c>
      <c r="AL188" s="237" t="str">
        <f t="shared" si="53"/>
        <v/>
      </c>
      <c r="AM188" s="192" t="e">
        <f t="shared" si="42"/>
        <v>#VALUE!</v>
      </c>
      <c r="AN188" s="193" t="e">
        <f t="shared" si="43"/>
        <v>#VALUE!</v>
      </c>
      <c r="AO188" s="193" t="e">
        <f t="shared" si="44"/>
        <v>#VALUE!</v>
      </c>
      <c r="AP188" s="193"/>
      <c r="AQ188" s="204"/>
      <c r="AR188" s="204"/>
      <c r="AS188" s="204"/>
      <c r="AT188" s="205"/>
      <c r="AU188"/>
    </row>
    <row r="189" spans="2:47" ht="15" customHeight="1" x14ac:dyDescent="0.25">
      <c r="B189" s="206"/>
      <c r="C189" s="185"/>
      <c r="D189" s="164"/>
      <c r="E189" s="174"/>
      <c r="F189" s="164"/>
      <c r="G189" s="174"/>
      <c r="H189" s="164"/>
      <c r="I189" s="174"/>
      <c r="J189" s="184"/>
      <c r="K189" s="186"/>
      <c r="L189" s="187" t="str">
        <f t="shared" si="45"/>
        <v/>
      </c>
      <c r="M189" s="187" t="str">
        <f t="shared" si="46"/>
        <v/>
      </c>
      <c r="N189" s="187" t="str">
        <f t="shared" si="38"/>
        <v>D</v>
      </c>
      <c r="O189" s="187" t="str">
        <f t="shared" si="47"/>
        <v>D</v>
      </c>
      <c r="P189" s="187">
        <f t="shared" si="48"/>
        <v>1</v>
      </c>
      <c r="Q189" s="187">
        <f>IFERROR(VLOOKUP(E189,Tabela_Deflator:E$43,5,FALSE),1)</f>
        <v>1</v>
      </c>
      <c r="R189" s="188" t="str">
        <f t="shared" si="49"/>
        <v/>
      </c>
      <c r="S189" s="237" t="str">
        <f t="shared" si="39"/>
        <v/>
      </c>
      <c r="T189" s="237" t="str">
        <f t="shared" si="54"/>
        <v/>
      </c>
      <c r="U189" s="189"/>
      <c r="V189" s="167"/>
      <c r="W189" s="165"/>
      <c r="X189" s="164"/>
      <c r="Y189" s="164"/>
      <c r="Z189" s="164"/>
      <c r="AA189" s="174"/>
      <c r="AB189" s="164"/>
      <c r="AC189" s="174"/>
      <c r="AD189" s="184"/>
      <c r="AE189" s="190" t="str">
        <f t="shared" si="50"/>
        <v/>
      </c>
      <c r="AF189" s="190" t="str">
        <f t="shared" si="51"/>
        <v/>
      </c>
      <c r="AG189" s="190" t="str">
        <f t="shared" si="40"/>
        <v>D</v>
      </c>
      <c r="AH189" s="190">
        <f>IFERROR(VLOOKUP(Y189,SISP_Deflatores_e_INMs!B$4:F$49,3,FALSE),1)</f>
        <v>1</v>
      </c>
      <c r="AI189" s="190">
        <f>IFERROR(VLOOKUP(Y189,SISP_Deflatores_e_INMs!B$4:G$49,5,FALSE),1)</f>
        <v>1</v>
      </c>
      <c r="AJ189" s="191" t="str">
        <f t="shared" si="52"/>
        <v/>
      </c>
      <c r="AK189" s="237" t="str">
        <f t="shared" si="41"/>
        <v/>
      </c>
      <c r="AL189" s="237" t="str">
        <f t="shared" si="53"/>
        <v/>
      </c>
      <c r="AM189" s="192" t="e">
        <f t="shared" si="42"/>
        <v>#VALUE!</v>
      </c>
      <c r="AN189" s="193" t="e">
        <f t="shared" si="43"/>
        <v>#VALUE!</v>
      </c>
      <c r="AO189" s="193" t="e">
        <f t="shared" si="44"/>
        <v>#VALUE!</v>
      </c>
      <c r="AP189" s="193"/>
      <c r="AQ189" s="204"/>
      <c r="AR189" s="204"/>
      <c r="AS189" s="204"/>
      <c r="AT189" s="205"/>
      <c r="AU189"/>
    </row>
    <row r="190" spans="2:47" ht="15" customHeight="1" x14ac:dyDescent="0.25">
      <c r="B190" s="206"/>
      <c r="C190" s="185"/>
      <c r="D190" s="164"/>
      <c r="E190" s="174"/>
      <c r="F190" s="164"/>
      <c r="G190" s="174"/>
      <c r="H190" s="164"/>
      <c r="I190" s="174"/>
      <c r="J190" s="184"/>
      <c r="K190" s="186"/>
      <c r="L190" s="187" t="str">
        <f t="shared" si="45"/>
        <v/>
      </c>
      <c r="M190" s="187" t="str">
        <f t="shared" si="46"/>
        <v/>
      </c>
      <c r="N190" s="187" t="str">
        <f t="shared" si="38"/>
        <v>D</v>
      </c>
      <c r="O190" s="187" t="str">
        <f t="shared" si="47"/>
        <v>D</v>
      </c>
      <c r="P190" s="187">
        <f t="shared" si="48"/>
        <v>1</v>
      </c>
      <c r="Q190" s="187">
        <f>IFERROR(VLOOKUP(E190,Tabela_Deflator:E$43,5,FALSE),1)</f>
        <v>1</v>
      </c>
      <c r="R190" s="188" t="str">
        <f t="shared" si="49"/>
        <v/>
      </c>
      <c r="S190" s="237" t="str">
        <f t="shared" si="39"/>
        <v/>
      </c>
      <c r="T190" s="237" t="str">
        <f t="shared" si="54"/>
        <v/>
      </c>
      <c r="U190" s="189"/>
      <c r="V190" s="167"/>
      <c r="W190" s="165"/>
      <c r="X190" s="164"/>
      <c r="Y190" s="164"/>
      <c r="Z190" s="164"/>
      <c r="AA190" s="174"/>
      <c r="AB190" s="164"/>
      <c r="AC190" s="174"/>
      <c r="AD190" s="184"/>
      <c r="AE190" s="190" t="str">
        <f t="shared" si="50"/>
        <v/>
      </c>
      <c r="AF190" s="190" t="str">
        <f t="shared" si="51"/>
        <v/>
      </c>
      <c r="AG190" s="190" t="str">
        <f t="shared" si="40"/>
        <v>D</v>
      </c>
      <c r="AH190" s="190">
        <f>IFERROR(VLOOKUP(Y190,SISP_Deflatores_e_INMs!B$4:F$49,3,FALSE),1)</f>
        <v>1</v>
      </c>
      <c r="AI190" s="190">
        <f>IFERROR(VLOOKUP(Y190,SISP_Deflatores_e_INMs!B$4:G$49,5,FALSE),1)</f>
        <v>1</v>
      </c>
      <c r="AJ190" s="191" t="str">
        <f t="shared" si="52"/>
        <v/>
      </c>
      <c r="AK190" s="237" t="str">
        <f t="shared" si="41"/>
        <v/>
      </c>
      <c r="AL190" s="237" t="str">
        <f t="shared" si="53"/>
        <v/>
      </c>
      <c r="AM190" s="192" t="e">
        <f t="shared" si="42"/>
        <v>#VALUE!</v>
      </c>
      <c r="AN190" s="193" t="e">
        <f t="shared" si="43"/>
        <v>#VALUE!</v>
      </c>
      <c r="AO190" s="193" t="e">
        <f t="shared" si="44"/>
        <v>#VALUE!</v>
      </c>
      <c r="AP190" s="193"/>
      <c r="AQ190" s="204"/>
      <c r="AR190" s="204"/>
      <c r="AS190" s="204"/>
      <c r="AT190" s="205"/>
      <c r="AU190"/>
    </row>
    <row r="191" spans="2:47" ht="15" customHeight="1" x14ac:dyDescent="0.25">
      <c r="B191" s="206"/>
      <c r="C191" s="185"/>
      <c r="D191" s="164"/>
      <c r="E191" s="174"/>
      <c r="F191" s="164"/>
      <c r="G191" s="174"/>
      <c r="H191" s="164"/>
      <c r="I191" s="174"/>
      <c r="J191" s="184"/>
      <c r="K191" s="186"/>
      <c r="L191" s="187" t="str">
        <f t="shared" si="45"/>
        <v/>
      </c>
      <c r="M191" s="187" t="str">
        <f t="shared" si="46"/>
        <v/>
      </c>
      <c r="N191" s="187" t="str">
        <f t="shared" si="38"/>
        <v>D</v>
      </c>
      <c r="O191" s="187" t="str">
        <f t="shared" si="47"/>
        <v>D</v>
      </c>
      <c r="P191" s="187">
        <f t="shared" si="48"/>
        <v>1</v>
      </c>
      <c r="Q191" s="187">
        <f>IFERROR(VLOOKUP(E191,Tabela_Deflator:E$43,5,FALSE),1)</f>
        <v>1</v>
      </c>
      <c r="R191" s="188" t="str">
        <f t="shared" si="49"/>
        <v/>
      </c>
      <c r="S191" s="237" t="str">
        <f t="shared" si="39"/>
        <v/>
      </c>
      <c r="T191" s="237" t="str">
        <f t="shared" si="54"/>
        <v/>
      </c>
      <c r="U191" s="189"/>
      <c r="V191" s="167"/>
      <c r="W191" s="165"/>
      <c r="X191" s="164"/>
      <c r="Y191" s="164"/>
      <c r="Z191" s="164"/>
      <c r="AA191" s="174"/>
      <c r="AB191" s="164"/>
      <c r="AC191" s="174"/>
      <c r="AD191" s="184"/>
      <c r="AE191" s="190" t="str">
        <f t="shared" si="50"/>
        <v/>
      </c>
      <c r="AF191" s="190" t="str">
        <f t="shared" si="51"/>
        <v/>
      </c>
      <c r="AG191" s="190" t="str">
        <f t="shared" si="40"/>
        <v>D</v>
      </c>
      <c r="AH191" s="190">
        <f>IFERROR(VLOOKUP(Y191,SISP_Deflatores_e_INMs!B$4:F$49,3,FALSE),1)</f>
        <v>1</v>
      </c>
      <c r="AI191" s="190">
        <f>IFERROR(VLOOKUP(Y191,SISP_Deflatores_e_INMs!B$4:G$49,5,FALSE),1)</f>
        <v>1</v>
      </c>
      <c r="AJ191" s="191" t="str">
        <f t="shared" si="52"/>
        <v/>
      </c>
      <c r="AK191" s="237" t="str">
        <f t="shared" si="41"/>
        <v/>
      </c>
      <c r="AL191" s="237" t="str">
        <f t="shared" si="53"/>
        <v/>
      </c>
      <c r="AM191" s="192" t="e">
        <f t="shared" si="42"/>
        <v>#VALUE!</v>
      </c>
      <c r="AN191" s="193" t="e">
        <f t="shared" si="43"/>
        <v>#VALUE!</v>
      </c>
      <c r="AO191" s="193" t="e">
        <f t="shared" si="44"/>
        <v>#VALUE!</v>
      </c>
      <c r="AP191" s="193"/>
      <c r="AQ191" s="204"/>
      <c r="AR191" s="204"/>
      <c r="AS191" s="204"/>
      <c r="AT191" s="205"/>
      <c r="AU191"/>
    </row>
    <row r="192" spans="2:47" ht="15" customHeight="1" x14ac:dyDescent="0.25">
      <c r="B192" s="206"/>
      <c r="C192" s="185"/>
      <c r="D192" s="164"/>
      <c r="E192" s="174"/>
      <c r="F192" s="164"/>
      <c r="G192" s="174"/>
      <c r="H192" s="164"/>
      <c r="I192" s="174"/>
      <c r="J192" s="184"/>
      <c r="K192" s="186"/>
      <c r="L192" s="187" t="str">
        <f t="shared" si="45"/>
        <v/>
      </c>
      <c r="M192" s="187" t="str">
        <f t="shared" si="46"/>
        <v/>
      </c>
      <c r="N192" s="187" t="str">
        <f t="shared" si="38"/>
        <v>D</v>
      </c>
      <c r="O192" s="187" t="str">
        <f t="shared" si="47"/>
        <v>D</v>
      </c>
      <c r="P192" s="187">
        <f t="shared" si="48"/>
        <v>1</v>
      </c>
      <c r="Q192" s="187">
        <f>IFERROR(VLOOKUP(E192,Tabela_Deflator:E$43,5,FALSE),1)</f>
        <v>1</v>
      </c>
      <c r="R192" s="188" t="str">
        <f t="shared" si="49"/>
        <v/>
      </c>
      <c r="S192" s="237" t="str">
        <f t="shared" si="39"/>
        <v/>
      </c>
      <c r="T192" s="237" t="str">
        <f t="shared" si="54"/>
        <v/>
      </c>
      <c r="U192" s="189"/>
      <c r="V192" s="167"/>
      <c r="W192" s="165"/>
      <c r="X192" s="164"/>
      <c r="Y192" s="164"/>
      <c r="Z192" s="164"/>
      <c r="AA192" s="174"/>
      <c r="AB192" s="164"/>
      <c r="AC192" s="174"/>
      <c r="AD192" s="184"/>
      <c r="AE192" s="190" t="str">
        <f t="shared" si="50"/>
        <v/>
      </c>
      <c r="AF192" s="190" t="str">
        <f t="shared" si="51"/>
        <v/>
      </c>
      <c r="AG192" s="190" t="str">
        <f t="shared" si="40"/>
        <v>D</v>
      </c>
      <c r="AH192" s="190">
        <f>IFERROR(VLOOKUP(Y192,SISP_Deflatores_e_INMs!B$4:F$49,3,FALSE),1)</f>
        <v>1</v>
      </c>
      <c r="AI192" s="190">
        <f>IFERROR(VLOOKUP(Y192,SISP_Deflatores_e_INMs!B$4:G$49,5,FALSE),1)</f>
        <v>1</v>
      </c>
      <c r="AJ192" s="191" t="str">
        <f t="shared" si="52"/>
        <v/>
      </c>
      <c r="AK192" s="237" t="str">
        <f t="shared" si="41"/>
        <v/>
      </c>
      <c r="AL192" s="237" t="str">
        <f t="shared" si="53"/>
        <v/>
      </c>
      <c r="AM192" s="192" t="e">
        <f t="shared" si="42"/>
        <v>#VALUE!</v>
      </c>
      <c r="AN192" s="193" t="e">
        <f t="shared" si="43"/>
        <v>#VALUE!</v>
      </c>
      <c r="AO192" s="193" t="e">
        <f t="shared" si="44"/>
        <v>#VALUE!</v>
      </c>
      <c r="AP192" s="193"/>
      <c r="AQ192" s="204"/>
      <c r="AR192" s="204"/>
      <c r="AS192" s="204"/>
      <c r="AT192" s="205"/>
      <c r="AU192"/>
    </row>
    <row r="193" spans="2:47" ht="15" customHeight="1" x14ac:dyDescent="0.25">
      <c r="B193" s="206"/>
      <c r="C193" s="185"/>
      <c r="D193" s="164"/>
      <c r="E193" s="174"/>
      <c r="F193" s="164"/>
      <c r="G193" s="174"/>
      <c r="H193" s="164"/>
      <c r="I193" s="174"/>
      <c r="J193" s="184"/>
      <c r="K193" s="186"/>
      <c r="L193" s="187" t="str">
        <f t="shared" si="45"/>
        <v/>
      </c>
      <c r="M193" s="187" t="str">
        <f t="shared" si="46"/>
        <v/>
      </c>
      <c r="N193" s="187" t="str">
        <f t="shared" si="38"/>
        <v>D</v>
      </c>
      <c r="O193" s="187" t="str">
        <f t="shared" si="47"/>
        <v>D</v>
      </c>
      <c r="P193" s="187">
        <f t="shared" si="48"/>
        <v>1</v>
      </c>
      <c r="Q193" s="187">
        <f>IFERROR(VLOOKUP(E193,Tabela_Deflator:E$43,5,FALSE),1)</f>
        <v>1</v>
      </c>
      <c r="R193" s="188" t="str">
        <f t="shared" si="49"/>
        <v/>
      </c>
      <c r="S193" s="237" t="str">
        <f t="shared" si="39"/>
        <v/>
      </c>
      <c r="T193" s="237" t="str">
        <f t="shared" si="54"/>
        <v/>
      </c>
      <c r="U193" s="189"/>
      <c r="V193" s="167"/>
      <c r="W193" s="165"/>
      <c r="X193" s="164"/>
      <c r="Y193" s="164"/>
      <c r="Z193" s="164"/>
      <c r="AA193" s="174"/>
      <c r="AB193" s="164"/>
      <c r="AC193" s="174"/>
      <c r="AD193" s="184"/>
      <c r="AE193" s="190" t="str">
        <f t="shared" si="50"/>
        <v/>
      </c>
      <c r="AF193" s="190" t="str">
        <f t="shared" si="51"/>
        <v/>
      </c>
      <c r="AG193" s="190" t="str">
        <f t="shared" si="40"/>
        <v>D</v>
      </c>
      <c r="AH193" s="190">
        <f>IFERROR(VLOOKUP(Y193,SISP_Deflatores_e_INMs!B$4:F$49,3,FALSE),1)</f>
        <v>1</v>
      </c>
      <c r="AI193" s="190">
        <f>IFERROR(VLOOKUP(Y193,SISP_Deflatores_e_INMs!B$4:G$49,5,FALSE),1)</f>
        <v>1</v>
      </c>
      <c r="AJ193" s="191" t="str">
        <f t="shared" si="52"/>
        <v/>
      </c>
      <c r="AK193" s="237" t="str">
        <f t="shared" si="41"/>
        <v/>
      </c>
      <c r="AL193" s="237" t="str">
        <f t="shared" si="53"/>
        <v/>
      </c>
      <c r="AM193" s="192" t="e">
        <f t="shared" si="42"/>
        <v>#VALUE!</v>
      </c>
      <c r="AN193" s="193" t="e">
        <f t="shared" si="43"/>
        <v>#VALUE!</v>
      </c>
      <c r="AO193" s="193" t="e">
        <f t="shared" si="44"/>
        <v>#VALUE!</v>
      </c>
      <c r="AP193" s="193"/>
      <c r="AQ193" s="204"/>
      <c r="AR193" s="204"/>
      <c r="AS193" s="204"/>
      <c r="AT193" s="205"/>
      <c r="AU193"/>
    </row>
    <row r="194" spans="2:47" ht="15" customHeight="1" x14ac:dyDescent="0.25">
      <c r="B194" s="206"/>
      <c r="C194" s="185"/>
      <c r="D194" s="164"/>
      <c r="E194" s="174"/>
      <c r="F194" s="164"/>
      <c r="G194" s="174"/>
      <c r="H194" s="164"/>
      <c r="I194" s="174"/>
      <c r="J194" s="184"/>
      <c r="K194" s="186"/>
      <c r="L194" s="187" t="str">
        <f t="shared" si="45"/>
        <v/>
      </c>
      <c r="M194" s="187" t="str">
        <f t="shared" si="46"/>
        <v/>
      </c>
      <c r="N194" s="187" t="str">
        <f t="shared" si="38"/>
        <v>D</v>
      </c>
      <c r="O194" s="187" t="str">
        <f t="shared" si="47"/>
        <v>D</v>
      </c>
      <c r="P194" s="187">
        <f t="shared" si="48"/>
        <v>1</v>
      </c>
      <c r="Q194" s="187">
        <f>IFERROR(VLOOKUP(E194,Tabela_Deflator:E$43,5,FALSE),1)</f>
        <v>1</v>
      </c>
      <c r="R194" s="188" t="str">
        <f t="shared" si="49"/>
        <v/>
      </c>
      <c r="S194" s="237" t="str">
        <f t="shared" si="39"/>
        <v/>
      </c>
      <c r="T194" s="237" t="str">
        <f t="shared" si="54"/>
        <v/>
      </c>
      <c r="U194" s="189"/>
      <c r="V194" s="167"/>
      <c r="W194" s="165"/>
      <c r="X194" s="164"/>
      <c r="Y194" s="164"/>
      <c r="Z194" s="164"/>
      <c r="AA194" s="174"/>
      <c r="AB194" s="164"/>
      <c r="AC194" s="174"/>
      <c r="AD194" s="184"/>
      <c r="AE194" s="190" t="str">
        <f t="shared" si="50"/>
        <v/>
      </c>
      <c r="AF194" s="190" t="str">
        <f t="shared" si="51"/>
        <v/>
      </c>
      <c r="AG194" s="190" t="str">
        <f t="shared" si="40"/>
        <v>D</v>
      </c>
      <c r="AH194" s="190">
        <f>IFERROR(VLOOKUP(Y194,SISP_Deflatores_e_INMs!B$4:F$49,3,FALSE),1)</f>
        <v>1</v>
      </c>
      <c r="AI194" s="190">
        <f>IFERROR(VLOOKUP(Y194,SISP_Deflatores_e_INMs!B$4:G$49,5,FALSE),1)</f>
        <v>1</v>
      </c>
      <c r="AJ194" s="191" t="str">
        <f t="shared" si="52"/>
        <v/>
      </c>
      <c r="AK194" s="237" t="str">
        <f t="shared" si="41"/>
        <v/>
      </c>
      <c r="AL194" s="237" t="str">
        <f t="shared" si="53"/>
        <v/>
      </c>
      <c r="AM194" s="192" t="e">
        <f t="shared" si="42"/>
        <v>#VALUE!</v>
      </c>
      <c r="AN194" s="193" t="e">
        <f t="shared" si="43"/>
        <v>#VALUE!</v>
      </c>
      <c r="AO194" s="193" t="e">
        <f t="shared" si="44"/>
        <v>#VALUE!</v>
      </c>
      <c r="AP194" s="193"/>
      <c r="AQ194" s="204"/>
      <c r="AR194" s="204"/>
      <c r="AS194" s="204"/>
      <c r="AT194" s="205"/>
      <c r="AU194"/>
    </row>
    <row r="195" spans="2:47" ht="15" customHeight="1" x14ac:dyDescent="0.25">
      <c r="B195" s="206"/>
      <c r="C195" s="185"/>
      <c r="D195" s="164"/>
      <c r="E195" s="174"/>
      <c r="F195" s="164"/>
      <c r="G195" s="174"/>
      <c r="H195" s="164"/>
      <c r="I195" s="174"/>
      <c r="J195" s="184"/>
      <c r="K195" s="186"/>
      <c r="L195" s="187" t="str">
        <f t="shared" si="45"/>
        <v/>
      </c>
      <c r="M195" s="187" t="str">
        <f t="shared" si="46"/>
        <v/>
      </c>
      <c r="N195" s="187" t="str">
        <f t="shared" si="38"/>
        <v>D</v>
      </c>
      <c r="O195" s="187" t="str">
        <f t="shared" si="47"/>
        <v>D</v>
      </c>
      <c r="P195" s="187">
        <f t="shared" si="48"/>
        <v>1</v>
      </c>
      <c r="Q195" s="187">
        <f>IFERROR(VLOOKUP(E195,Tabela_Deflator:E$43,5,FALSE),1)</f>
        <v>1</v>
      </c>
      <c r="R195" s="188" t="str">
        <f t="shared" si="49"/>
        <v/>
      </c>
      <c r="S195" s="237" t="str">
        <f t="shared" si="39"/>
        <v/>
      </c>
      <c r="T195" s="237" t="str">
        <f t="shared" si="54"/>
        <v/>
      </c>
      <c r="U195" s="189"/>
      <c r="V195" s="167"/>
      <c r="W195" s="165"/>
      <c r="X195" s="164"/>
      <c r="Y195" s="164"/>
      <c r="Z195" s="164"/>
      <c r="AA195" s="174"/>
      <c r="AB195" s="164"/>
      <c r="AC195" s="174"/>
      <c r="AD195" s="184"/>
      <c r="AE195" s="190" t="str">
        <f t="shared" si="50"/>
        <v/>
      </c>
      <c r="AF195" s="190" t="str">
        <f t="shared" si="51"/>
        <v/>
      </c>
      <c r="AG195" s="190" t="str">
        <f t="shared" si="40"/>
        <v>D</v>
      </c>
      <c r="AH195" s="190">
        <f>IFERROR(VLOOKUP(Y195,SISP_Deflatores_e_INMs!B$4:F$49,3,FALSE),1)</f>
        <v>1</v>
      </c>
      <c r="AI195" s="190">
        <f>IFERROR(VLOOKUP(Y195,SISP_Deflatores_e_INMs!B$4:G$49,5,FALSE),1)</f>
        <v>1</v>
      </c>
      <c r="AJ195" s="191" t="str">
        <f t="shared" si="52"/>
        <v/>
      </c>
      <c r="AK195" s="237" t="str">
        <f t="shared" si="41"/>
        <v/>
      </c>
      <c r="AL195" s="237" t="str">
        <f t="shared" si="53"/>
        <v/>
      </c>
      <c r="AM195" s="192" t="e">
        <f t="shared" si="42"/>
        <v>#VALUE!</v>
      </c>
      <c r="AN195" s="193" t="e">
        <f t="shared" si="43"/>
        <v>#VALUE!</v>
      </c>
      <c r="AO195" s="193" t="e">
        <f t="shared" si="44"/>
        <v>#VALUE!</v>
      </c>
      <c r="AP195" s="193"/>
      <c r="AQ195" s="204"/>
      <c r="AR195" s="204"/>
      <c r="AS195" s="204"/>
      <c r="AT195" s="205"/>
      <c r="AU195"/>
    </row>
    <row r="196" spans="2:47" ht="15" customHeight="1" x14ac:dyDescent="0.25">
      <c r="B196" s="206"/>
      <c r="C196" s="185"/>
      <c r="D196" s="164"/>
      <c r="E196" s="174"/>
      <c r="F196" s="164"/>
      <c r="G196" s="174"/>
      <c r="H196" s="164"/>
      <c r="I196" s="174"/>
      <c r="J196" s="184"/>
      <c r="K196" s="186"/>
      <c r="L196" s="187" t="str">
        <f t="shared" si="45"/>
        <v/>
      </c>
      <c r="M196" s="187" t="str">
        <f t="shared" si="46"/>
        <v/>
      </c>
      <c r="N196" s="187" t="str">
        <f t="shared" ref="N196:N259" si="55">IF(Tipo_de_contagem="Contagem Detalhada","D",IF(Tipo_de_contagem="Contagem Estimada","E","S"))</f>
        <v>D</v>
      </c>
      <c r="O196" s="187" t="str">
        <f t="shared" si="47"/>
        <v>D</v>
      </c>
      <c r="P196" s="187">
        <f t="shared" si="48"/>
        <v>1</v>
      </c>
      <c r="Q196" s="187">
        <f>IFERROR(VLOOKUP(E196,Tabela_Deflator:E$43,5,FALSE),1)</f>
        <v>1</v>
      </c>
      <c r="R196" s="188" t="str">
        <f t="shared" si="49"/>
        <v/>
      </c>
      <c r="S196" s="237" t="str">
        <f t="shared" ref="S196:S259" si="56">IF(D196="N/A","",IF(D196="","",IFERROR(IF(D196="INM",P196*J196,VLOOKUP(O196,Tabela_Pontuação,2,FALSE)),0)))</f>
        <v/>
      </c>
      <c r="T196" s="237" t="str">
        <f t="shared" si="54"/>
        <v/>
      </c>
      <c r="U196" s="189"/>
      <c r="V196" s="167"/>
      <c r="W196" s="165"/>
      <c r="X196" s="164"/>
      <c r="Y196" s="164"/>
      <c r="Z196" s="164"/>
      <c r="AA196" s="174"/>
      <c r="AB196" s="164"/>
      <c r="AC196" s="174"/>
      <c r="AD196" s="184"/>
      <c r="AE196" s="190" t="str">
        <f t="shared" si="50"/>
        <v/>
      </c>
      <c r="AF196" s="190" t="str">
        <f t="shared" si="51"/>
        <v/>
      </c>
      <c r="AG196" s="190" t="str">
        <f t="shared" ref="AG196:AG259" si="57">IF(N196="S",X196,CONCATENATE(X196,AE196,N196))</f>
        <v>D</v>
      </c>
      <c r="AH196" s="190">
        <f>IFERROR(VLOOKUP(Y196,SISP_Deflatores_e_INMs!B$4:F$49,3,FALSE),1)</f>
        <v>1</v>
      </c>
      <c r="AI196" s="190">
        <f>IFERROR(VLOOKUP(Y196,SISP_Deflatores_e_INMs!B$4:G$49,5,FALSE),1)</f>
        <v>1</v>
      </c>
      <c r="AJ196" s="191" t="str">
        <f t="shared" si="52"/>
        <v/>
      </c>
      <c r="AK196" s="237" t="str">
        <f t="shared" ref="AK196:AK259" si="58">IFERROR(IF(X196="INM",AH196*AD196,VLOOKUP(AG196,Tabela_Pontuação,2,FALSE)),"")</f>
        <v/>
      </c>
      <c r="AL196" s="237" t="str">
        <f t="shared" si="53"/>
        <v/>
      </c>
      <c r="AM196" s="192" t="e">
        <f t="shared" ref="AM196:AM259" si="59">IF(S196&lt;=0,0,AK196-S196)</f>
        <v>#VALUE!</v>
      </c>
      <c r="AN196" s="193" t="e">
        <f t="shared" ref="AN196:AN259" si="60">AM196/S196</f>
        <v>#VALUE!</v>
      </c>
      <c r="AO196" s="193" t="e">
        <f t="shared" ref="AO196:AO259" si="61">IF(T196&lt;=0,0,AL196-T196)</f>
        <v>#VALUE!</v>
      </c>
      <c r="AP196" s="193"/>
      <c r="AQ196" s="204"/>
      <c r="AR196" s="204"/>
      <c r="AS196" s="204"/>
      <c r="AT196" s="205"/>
      <c r="AU196"/>
    </row>
    <row r="197" spans="2:47" ht="15" customHeight="1" x14ac:dyDescent="0.25">
      <c r="B197" s="206"/>
      <c r="C197" s="185"/>
      <c r="D197" s="164"/>
      <c r="E197" s="174"/>
      <c r="F197" s="164"/>
      <c r="G197" s="174"/>
      <c r="H197" s="164"/>
      <c r="I197" s="174"/>
      <c r="J197" s="184"/>
      <c r="K197" s="186"/>
      <c r="L197" s="187" t="str">
        <f t="shared" ref="L197:L260" si="62">IF(OR(ISBLANK(F197),ISBLANK(H197)),IF(OR(D197="ALI",D197="AIE"),"L",IF(ISBLANK(D197),"","A")),IF(D197="EE",IF(H197&gt;=3,IF(F197&gt;=5,"H","A"),IF(H197&gt;=2,IF(F197&gt;=16,"H",IF(F197&lt;=4,"L","A")),IF(F197&lt;=15,"L","A"))),IF(OR(D197="SE",D197="CE"),IF(H197&gt;=4,IF(F197&gt;=6,"H","A"),IF(H197&gt;=2,IF(F197&gt;=20,"H",IF(F197&lt;=5,"L","A")),IF(F197&lt;=19,"L","A"))),IF(OR(D197="ALI",D197="AIE"),IF(H197&gt;=6,IF(F197&gt;=20,"H","A"),IF(H197&gt;=2,IF(F197&gt;=51,"H",IF(F197&lt;=19,"L","A")),IF(F197&lt;=50,"L","A")))))))</f>
        <v/>
      </c>
      <c r="M197" s="187" t="str">
        <f t="shared" ref="M197:M260" si="63">CONCATENATE(D197,L197)</f>
        <v/>
      </c>
      <c r="N197" s="187" t="str">
        <f t="shared" si="55"/>
        <v>D</v>
      </c>
      <c r="O197" s="187" t="str">
        <f t="shared" ref="O197:O260" si="64">IF(N197="S",D197,CONCATENATE(D197,L197,N197))</f>
        <v>D</v>
      </c>
      <c r="P197" s="187">
        <f t="shared" ref="P197:P260" si="65">IFERROR(VLOOKUP(E197,Tabela_Deflator,3,FALSE),1)</f>
        <v>1</v>
      </c>
      <c r="Q197" s="187">
        <f>IFERROR(VLOOKUP(E197,Tabela_Deflator:E$43,5,FALSE),1)</f>
        <v>1</v>
      </c>
      <c r="R197" s="188" t="str">
        <f t="shared" ref="R197:R260" si="66">IF(OR(D197="INM",D197="N/A"),"",IF(L197="L","Baixa",IF(L197="A","Média",IF(L197="","","Alta"))))</f>
        <v/>
      </c>
      <c r="S197" s="237" t="str">
        <f t="shared" si="56"/>
        <v/>
      </c>
      <c r="T197" s="237" t="str">
        <f t="shared" si="54"/>
        <v/>
      </c>
      <c r="U197" s="189"/>
      <c r="V197" s="167"/>
      <c r="W197" s="165"/>
      <c r="X197" s="164"/>
      <c r="Y197" s="164"/>
      <c r="Z197" s="164"/>
      <c r="AA197" s="174"/>
      <c r="AB197" s="164"/>
      <c r="AC197" s="174"/>
      <c r="AD197" s="184"/>
      <c r="AE197" s="190" t="str">
        <f t="shared" ref="AE197:AE260" si="67">IF(OR(ISBLANK(Z197),ISBLANK(AB197)),IF(OR(X197="ALI",X197="AIE"),"L",IF(ISBLANK(X197),"","A")),IF(X197="EE",IF(AB197&gt;=3,IF(Z197&gt;=5,"H","A"),IF(AB197&gt;=2,IF(Z197&gt;=16,"H",IF(Z197&lt;=4,"L","A")),IF(Z197&lt;=15,"L","A"))),IF(OR(X197="SE",X197="CE"),IF(AB197&gt;=4,IF(Z197&gt;=6,"H","A"),IF(AB197&gt;=2,IF(Z197&gt;=20,"H",IF(Z197&lt;=5,"L","A")),IF(Z197&lt;=19,"L","A"))),IF(OR(X197="ALI",X197="AIE"),IF(AB197&gt;=6,IF(Z197&gt;=20,"H","A"),IF(AB197&gt;=2,IF(Z197&gt;=51,"H",IF(Z197&lt;=19,"L","A")),IF(Z197&lt;=50,"L","A")))))))</f>
        <v/>
      </c>
      <c r="AF197" s="190" t="str">
        <f t="shared" ref="AF197:AF260" si="68">CONCATENATE(X197,AE197)</f>
        <v/>
      </c>
      <c r="AG197" s="190" t="str">
        <f t="shared" si="57"/>
        <v>D</v>
      </c>
      <c r="AH197" s="190">
        <f>IFERROR(VLOOKUP(Y197,SISP_Deflatores_e_INMs!B$4:F$49,3,FALSE),1)</f>
        <v>1</v>
      </c>
      <c r="AI197" s="190">
        <f>IFERROR(VLOOKUP(Y197,SISP_Deflatores_e_INMs!B$4:G$49,5,FALSE),1)</f>
        <v>1</v>
      </c>
      <c r="AJ197" s="191" t="str">
        <f t="shared" ref="AJ197:AJ260" si="69">IF(OR(X197="INM",X197="N/A"),"",IF(AE197="L","Baixa",IF(AE197="A","Média",IF(AE197="","","Alta"))))</f>
        <v/>
      </c>
      <c r="AK197" s="237" t="str">
        <f t="shared" si="58"/>
        <v/>
      </c>
      <c r="AL197" s="237" t="str">
        <f t="shared" ref="AL197:AL260" si="70">IFERROR(IF(OR(ISBLANK(V197),V197="NOK"),"",IF(X197="INM",(1*AH197)*AD197,AK197*AH197)),"")</f>
        <v/>
      </c>
      <c r="AM197" s="192" t="e">
        <f t="shared" si="59"/>
        <v>#VALUE!</v>
      </c>
      <c r="AN197" s="193" t="e">
        <f t="shared" si="60"/>
        <v>#VALUE!</v>
      </c>
      <c r="AO197" s="193" t="e">
        <f t="shared" si="61"/>
        <v>#VALUE!</v>
      </c>
      <c r="AP197" s="193"/>
      <c r="AQ197" s="204"/>
      <c r="AR197" s="204"/>
      <c r="AS197" s="204"/>
      <c r="AT197" s="205"/>
      <c r="AU197"/>
    </row>
    <row r="198" spans="2:47" ht="15" customHeight="1" x14ac:dyDescent="0.25">
      <c r="B198" s="206"/>
      <c r="C198" s="185"/>
      <c r="D198" s="164"/>
      <c r="E198" s="174"/>
      <c r="F198" s="164"/>
      <c r="G198" s="174"/>
      <c r="H198" s="164"/>
      <c r="I198" s="174"/>
      <c r="J198" s="184"/>
      <c r="K198" s="186"/>
      <c r="L198" s="187" t="str">
        <f t="shared" si="62"/>
        <v/>
      </c>
      <c r="M198" s="187" t="str">
        <f t="shared" si="63"/>
        <v/>
      </c>
      <c r="N198" s="187" t="str">
        <f t="shared" si="55"/>
        <v>D</v>
      </c>
      <c r="O198" s="187" t="str">
        <f t="shared" si="64"/>
        <v>D</v>
      </c>
      <c r="P198" s="187">
        <f t="shared" si="65"/>
        <v>1</v>
      </c>
      <c r="Q198" s="187">
        <f>IFERROR(VLOOKUP(E198,Tabela_Deflator:E$43,5,FALSE),1)</f>
        <v>1</v>
      </c>
      <c r="R198" s="188" t="str">
        <f t="shared" si="66"/>
        <v/>
      </c>
      <c r="S198" s="237" t="str">
        <f t="shared" si="56"/>
        <v/>
      </c>
      <c r="T198" s="237" t="str">
        <f t="shared" ref="T198:T261" si="71" xml:space="preserve"> IF(D198="N/A","",IF(D198="","",IF(D198="INM",(1*P198)*J198,S198*P198)))</f>
        <v/>
      </c>
      <c r="U198" s="189"/>
      <c r="V198" s="167"/>
      <c r="W198" s="165"/>
      <c r="X198" s="164"/>
      <c r="Y198" s="164"/>
      <c r="Z198" s="164"/>
      <c r="AA198" s="174"/>
      <c r="AB198" s="164"/>
      <c r="AC198" s="174"/>
      <c r="AD198" s="184"/>
      <c r="AE198" s="190" t="str">
        <f t="shared" si="67"/>
        <v/>
      </c>
      <c r="AF198" s="190" t="str">
        <f t="shared" si="68"/>
        <v/>
      </c>
      <c r="AG198" s="190" t="str">
        <f t="shared" si="57"/>
        <v>D</v>
      </c>
      <c r="AH198" s="190">
        <f>IFERROR(VLOOKUP(Y198,SISP_Deflatores_e_INMs!B$4:F$49,3,FALSE),1)</f>
        <v>1</v>
      </c>
      <c r="AI198" s="190">
        <f>IFERROR(VLOOKUP(Y198,SISP_Deflatores_e_INMs!B$4:G$49,5,FALSE),1)</f>
        <v>1</v>
      </c>
      <c r="AJ198" s="191" t="str">
        <f t="shared" si="69"/>
        <v/>
      </c>
      <c r="AK198" s="237" t="str">
        <f t="shared" si="58"/>
        <v/>
      </c>
      <c r="AL198" s="237" t="str">
        <f t="shared" si="70"/>
        <v/>
      </c>
      <c r="AM198" s="192" t="e">
        <f t="shared" si="59"/>
        <v>#VALUE!</v>
      </c>
      <c r="AN198" s="193" t="e">
        <f t="shared" si="60"/>
        <v>#VALUE!</v>
      </c>
      <c r="AO198" s="193" t="e">
        <f t="shared" si="61"/>
        <v>#VALUE!</v>
      </c>
      <c r="AP198" s="193"/>
      <c r="AQ198" s="204"/>
      <c r="AR198" s="204"/>
      <c r="AS198" s="204"/>
      <c r="AT198" s="205"/>
      <c r="AU198"/>
    </row>
    <row r="199" spans="2:47" ht="15" customHeight="1" x14ac:dyDescent="0.25">
      <c r="B199" s="206"/>
      <c r="C199" s="185"/>
      <c r="D199" s="164"/>
      <c r="E199" s="174"/>
      <c r="F199" s="164"/>
      <c r="G199" s="174"/>
      <c r="H199" s="164"/>
      <c r="I199" s="174"/>
      <c r="J199" s="184"/>
      <c r="K199" s="186"/>
      <c r="L199" s="187" t="str">
        <f t="shared" si="62"/>
        <v/>
      </c>
      <c r="M199" s="187" t="str">
        <f t="shared" si="63"/>
        <v/>
      </c>
      <c r="N199" s="187" t="str">
        <f t="shared" si="55"/>
        <v>D</v>
      </c>
      <c r="O199" s="187" t="str">
        <f t="shared" si="64"/>
        <v>D</v>
      </c>
      <c r="P199" s="187">
        <f t="shared" si="65"/>
        <v>1</v>
      </c>
      <c r="Q199" s="187">
        <f>IFERROR(VLOOKUP(E199,Tabela_Deflator:E$43,5,FALSE),1)</f>
        <v>1</v>
      </c>
      <c r="R199" s="188" t="str">
        <f t="shared" si="66"/>
        <v/>
      </c>
      <c r="S199" s="237" t="str">
        <f t="shared" si="56"/>
        <v/>
      </c>
      <c r="T199" s="237" t="str">
        <f t="shared" si="71"/>
        <v/>
      </c>
      <c r="U199" s="189"/>
      <c r="V199" s="167"/>
      <c r="W199" s="165"/>
      <c r="X199" s="164"/>
      <c r="Y199" s="164"/>
      <c r="Z199" s="164"/>
      <c r="AA199" s="174"/>
      <c r="AB199" s="164"/>
      <c r="AC199" s="174"/>
      <c r="AD199" s="184"/>
      <c r="AE199" s="190" t="str">
        <f t="shared" si="67"/>
        <v/>
      </c>
      <c r="AF199" s="190" t="str">
        <f t="shared" si="68"/>
        <v/>
      </c>
      <c r="AG199" s="190" t="str">
        <f t="shared" si="57"/>
        <v>D</v>
      </c>
      <c r="AH199" s="190">
        <f>IFERROR(VLOOKUP(Y199,SISP_Deflatores_e_INMs!B$4:F$49,3,FALSE),1)</f>
        <v>1</v>
      </c>
      <c r="AI199" s="190">
        <f>IFERROR(VLOOKUP(Y199,SISP_Deflatores_e_INMs!B$4:G$49,5,FALSE),1)</f>
        <v>1</v>
      </c>
      <c r="AJ199" s="191" t="str">
        <f t="shared" si="69"/>
        <v/>
      </c>
      <c r="AK199" s="237" t="str">
        <f t="shared" si="58"/>
        <v/>
      </c>
      <c r="AL199" s="237" t="str">
        <f t="shared" si="70"/>
        <v/>
      </c>
      <c r="AM199" s="192" t="e">
        <f t="shared" si="59"/>
        <v>#VALUE!</v>
      </c>
      <c r="AN199" s="193" t="e">
        <f t="shared" si="60"/>
        <v>#VALUE!</v>
      </c>
      <c r="AO199" s="193" t="e">
        <f t="shared" si="61"/>
        <v>#VALUE!</v>
      </c>
      <c r="AP199" s="193"/>
      <c r="AQ199" s="204"/>
      <c r="AR199" s="204"/>
      <c r="AS199" s="204"/>
      <c r="AT199" s="205"/>
      <c r="AU199"/>
    </row>
    <row r="200" spans="2:47" ht="15" customHeight="1" x14ac:dyDescent="0.25">
      <c r="B200" s="206"/>
      <c r="C200" s="185"/>
      <c r="D200" s="164"/>
      <c r="E200" s="174"/>
      <c r="F200" s="164"/>
      <c r="G200" s="174"/>
      <c r="H200" s="164"/>
      <c r="I200" s="174"/>
      <c r="J200" s="184"/>
      <c r="K200" s="186"/>
      <c r="L200" s="187" t="str">
        <f t="shared" si="62"/>
        <v/>
      </c>
      <c r="M200" s="187" t="str">
        <f t="shared" si="63"/>
        <v/>
      </c>
      <c r="N200" s="187" t="str">
        <f t="shared" si="55"/>
        <v>D</v>
      </c>
      <c r="O200" s="187" t="str">
        <f t="shared" si="64"/>
        <v>D</v>
      </c>
      <c r="P200" s="187">
        <f t="shared" si="65"/>
        <v>1</v>
      </c>
      <c r="Q200" s="187">
        <f>IFERROR(VLOOKUP(E200,Tabela_Deflator:E$43,5,FALSE),1)</f>
        <v>1</v>
      </c>
      <c r="R200" s="188" t="str">
        <f t="shared" si="66"/>
        <v/>
      </c>
      <c r="S200" s="237" t="str">
        <f t="shared" si="56"/>
        <v/>
      </c>
      <c r="T200" s="237" t="str">
        <f t="shared" si="71"/>
        <v/>
      </c>
      <c r="U200" s="189"/>
      <c r="V200" s="167"/>
      <c r="W200" s="165"/>
      <c r="X200" s="164"/>
      <c r="Y200" s="164"/>
      <c r="Z200" s="164"/>
      <c r="AA200" s="174"/>
      <c r="AB200" s="164"/>
      <c r="AC200" s="174"/>
      <c r="AD200" s="184"/>
      <c r="AE200" s="190" t="str">
        <f t="shared" si="67"/>
        <v/>
      </c>
      <c r="AF200" s="190" t="str">
        <f t="shared" si="68"/>
        <v/>
      </c>
      <c r="AG200" s="190" t="str">
        <f t="shared" si="57"/>
        <v>D</v>
      </c>
      <c r="AH200" s="190">
        <f>IFERROR(VLOOKUP(Y200,SISP_Deflatores_e_INMs!B$4:F$49,3,FALSE),1)</f>
        <v>1</v>
      </c>
      <c r="AI200" s="190">
        <f>IFERROR(VLOOKUP(Y200,SISP_Deflatores_e_INMs!B$4:G$49,5,FALSE),1)</f>
        <v>1</v>
      </c>
      <c r="AJ200" s="191" t="str">
        <f t="shared" si="69"/>
        <v/>
      </c>
      <c r="AK200" s="237" t="str">
        <f t="shared" si="58"/>
        <v/>
      </c>
      <c r="AL200" s="237" t="str">
        <f t="shared" si="70"/>
        <v/>
      </c>
      <c r="AM200" s="192" t="e">
        <f t="shared" si="59"/>
        <v>#VALUE!</v>
      </c>
      <c r="AN200" s="193" t="e">
        <f t="shared" si="60"/>
        <v>#VALUE!</v>
      </c>
      <c r="AO200" s="193" t="e">
        <f t="shared" si="61"/>
        <v>#VALUE!</v>
      </c>
      <c r="AP200" s="193"/>
      <c r="AQ200" s="204"/>
      <c r="AR200" s="204"/>
      <c r="AS200" s="204"/>
      <c r="AT200" s="205"/>
      <c r="AU200"/>
    </row>
    <row r="201" spans="2:47" ht="15" customHeight="1" x14ac:dyDescent="0.25">
      <c r="B201" s="206"/>
      <c r="C201" s="185"/>
      <c r="D201" s="164"/>
      <c r="E201" s="174"/>
      <c r="F201" s="164"/>
      <c r="G201" s="174"/>
      <c r="H201" s="164"/>
      <c r="I201" s="174"/>
      <c r="J201" s="184"/>
      <c r="K201" s="186"/>
      <c r="L201" s="187" t="str">
        <f t="shared" si="62"/>
        <v/>
      </c>
      <c r="M201" s="187" t="str">
        <f t="shared" si="63"/>
        <v/>
      </c>
      <c r="N201" s="187" t="str">
        <f t="shared" si="55"/>
        <v>D</v>
      </c>
      <c r="O201" s="187" t="str">
        <f t="shared" si="64"/>
        <v>D</v>
      </c>
      <c r="P201" s="187">
        <f t="shared" si="65"/>
        <v>1</v>
      </c>
      <c r="Q201" s="187">
        <f>IFERROR(VLOOKUP(E201,Tabela_Deflator:E$43,5,FALSE),1)</f>
        <v>1</v>
      </c>
      <c r="R201" s="188" t="str">
        <f t="shared" si="66"/>
        <v/>
      </c>
      <c r="S201" s="237" t="str">
        <f t="shared" si="56"/>
        <v/>
      </c>
      <c r="T201" s="237" t="str">
        <f t="shared" si="71"/>
        <v/>
      </c>
      <c r="U201" s="189"/>
      <c r="V201" s="167"/>
      <c r="W201" s="165"/>
      <c r="X201" s="164"/>
      <c r="Y201" s="164"/>
      <c r="Z201" s="164"/>
      <c r="AA201" s="174"/>
      <c r="AB201" s="164"/>
      <c r="AC201" s="174"/>
      <c r="AD201" s="184"/>
      <c r="AE201" s="190" t="str">
        <f t="shared" si="67"/>
        <v/>
      </c>
      <c r="AF201" s="190" t="str">
        <f t="shared" si="68"/>
        <v/>
      </c>
      <c r="AG201" s="190" t="str">
        <f t="shared" si="57"/>
        <v>D</v>
      </c>
      <c r="AH201" s="190">
        <f>IFERROR(VLOOKUP(Y201,SISP_Deflatores_e_INMs!B$4:F$49,3,FALSE),1)</f>
        <v>1</v>
      </c>
      <c r="AI201" s="190">
        <f>IFERROR(VLOOKUP(Y201,SISP_Deflatores_e_INMs!B$4:G$49,5,FALSE),1)</f>
        <v>1</v>
      </c>
      <c r="AJ201" s="191" t="str">
        <f t="shared" si="69"/>
        <v/>
      </c>
      <c r="AK201" s="237" t="str">
        <f t="shared" si="58"/>
        <v/>
      </c>
      <c r="AL201" s="237" t="str">
        <f t="shared" si="70"/>
        <v/>
      </c>
      <c r="AM201" s="192" t="e">
        <f t="shared" si="59"/>
        <v>#VALUE!</v>
      </c>
      <c r="AN201" s="193" t="e">
        <f t="shared" si="60"/>
        <v>#VALUE!</v>
      </c>
      <c r="AO201" s="193" t="e">
        <f t="shared" si="61"/>
        <v>#VALUE!</v>
      </c>
      <c r="AP201" s="193"/>
      <c r="AQ201" s="204"/>
      <c r="AR201" s="204"/>
      <c r="AS201" s="204"/>
      <c r="AT201" s="205"/>
      <c r="AU201"/>
    </row>
    <row r="202" spans="2:47" ht="15" customHeight="1" x14ac:dyDescent="0.25">
      <c r="B202" s="206"/>
      <c r="C202" s="185"/>
      <c r="D202" s="164"/>
      <c r="E202" s="174"/>
      <c r="F202" s="164"/>
      <c r="G202" s="174"/>
      <c r="H202" s="164"/>
      <c r="I202" s="174"/>
      <c r="J202" s="184"/>
      <c r="K202" s="186"/>
      <c r="L202" s="187" t="str">
        <f t="shared" si="62"/>
        <v/>
      </c>
      <c r="M202" s="187" t="str">
        <f t="shared" si="63"/>
        <v/>
      </c>
      <c r="N202" s="187" t="str">
        <f t="shared" si="55"/>
        <v>D</v>
      </c>
      <c r="O202" s="187" t="str">
        <f t="shared" si="64"/>
        <v>D</v>
      </c>
      <c r="P202" s="187">
        <f t="shared" si="65"/>
        <v>1</v>
      </c>
      <c r="Q202" s="187">
        <f>IFERROR(VLOOKUP(E202,Tabela_Deflator:E$43,5,FALSE),1)</f>
        <v>1</v>
      </c>
      <c r="R202" s="188" t="str">
        <f t="shared" si="66"/>
        <v/>
      </c>
      <c r="S202" s="237" t="str">
        <f t="shared" si="56"/>
        <v/>
      </c>
      <c r="T202" s="237" t="str">
        <f t="shared" si="71"/>
        <v/>
      </c>
      <c r="U202" s="189"/>
      <c r="V202" s="167"/>
      <c r="W202" s="165"/>
      <c r="X202" s="164"/>
      <c r="Y202" s="164"/>
      <c r="Z202" s="164"/>
      <c r="AA202" s="174"/>
      <c r="AB202" s="164"/>
      <c r="AC202" s="174"/>
      <c r="AD202" s="184"/>
      <c r="AE202" s="190" t="str">
        <f t="shared" si="67"/>
        <v/>
      </c>
      <c r="AF202" s="190" t="str">
        <f t="shared" si="68"/>
        <v/>
      </c>
      <c r="AG202" s="190" t="str">
        <f t="shared" si="57"/>
        <v>D</v>
      </c>
      <c r="AH202" s="190">
        <f>IFERROR(VLOOKUP(Y202,SISP_Deflatores_e_INMs!B$4:F$49,3,FALSE),1)</f>
        <v>1</v>
      </c>
      <c r="AI202" s="190">
        <f>IFERROR(VLOOKUP(Y202,SISP_Deflatores_e_INMs!B$4:G$49,5,FALSE),1)</f>
        <v>1</v>
      </c>
      <c r="AJ202" s="191" t="str">
        <f t="shared" si="69"/>
        <v/>
      </c>
      <c r="AK202" s="237" t="str">
        <f t="shared" si="58"/>
        <v/>
      </c>
      <c r="AL202" s="237" t="str">
        <f t="shared" si="70"/>
        <v/>
      </c>
      <c r="AM202" s="192" t="e">
        <f t="shared" si="59"/>
        <v>#VALUE!</v>
      </c>
      <c r="AN202" s="193" t="e">
        <f t="shared" si="60"/>
        <v>#VALUE!</v>
      </c>
      <c r="AO202" s="193" t="e">
        <f t="shared" si="61"/>
        <v>#VALUE!</v>
      </c>
      <c r="AP202" s="193"/>
      <c r="AQ202" s="204"/>
      <c r="AR202" s="204"/>
      <c r="AS202" s="204"/>
      <c r="AT202" s="205"/>
      <c r="AU202"/>
    </row>
    <row r="203" spans="2:47" ht="15" customHeight="1" x14ac:dyDescent="0.25">
      <c r="B203" s="206"/>
      <c r="C203" s="185"/>
      <c r="D203" s="164"/>
      <c r="E203" s="174"/>
      <c r="F203" s="164"/>
      <c r="G203" s="174"/>
      <c r="H203" s="164"/>
      <c r="I203" s="174"/>
      <c r="J203" s="184"/>
      <c r="K203" s="186"/>
      <c r="L203" s="187" t="str">
        <f t="shared" si="62"/>
        <v/>
      </c>
      <c r="M203" s="187" t="str">
        <f t="shared" si="63"/>
        <v/>
      </c>
      <c r="N203" s="187" t="str">
        <f t="shared" si="55"/>
        <v>D</v>
      </c>
      <c r="O203" s="187" t="str">
        <f t="shared" si="64"/>
        <v>D</v>
      </c>
      <c r="P203" s="187">
        <f t="shared" si="65"/>
        <v>1</v>
      </c>
      <c r="Q203" s="187">
        <f>IFERROR(VLOOKUP(E203,Tabela_Deflator:E$43,5,FALSE),1)</f>
        <v>1</v>
      </c>
      <c r="R203" s="188" t="str">
        <f t="shared" si="66"/>
        <v/>
      </c>
      <c r="S203" s="237" t="str">
        <f t="shared" si="56"/>
        <v/>
      </c>
      <c r="T203" s="237" t="str">
        <f t="shared" si="71"/>
        <v/>
      </c>
      <c r="U203" s="189"/>
      <c r="V203" s="167"/>
      <c r="W203" s="165"/>
      <c r="X203" s="164"/>
      <c r="Y203" s="164"/>
      <c r="Z203" s="164"/>
      <c r="AA203" s="174"/>
      <c r="AB203" s="164"/>
      <c r="AC203" s="174"/>
      <c r="AD203" s="184"/>
      <c r="AE203" s="190" t="str">
        <f t="shared" si="67"/>
        <v/>
      </c>
      <c r="AF203" s="190" t="str">
        <f t="shared" si="68"/>
        <v/>
      </c>
      <c r="AG203" s="190" t="str">
        <f t="shared" si="57"/>
        <v>D</v>
      </c>
      <c r="AH203" s="190">
        <f>IFERROR(VLOOKUP(Y203,SISP_Deflatores_e_INMs!B$4:F$49,3,FALSE),1)</f>
        <v>1</v>
      </c>
      <c r="AI203" s="190">
        <f>IFERROR(VLOOKUP(Y203,SISP_Deflatores_e_INMs!B$4:G$49,5,FALSE),1)</f>
        <v>1</v>
      </c>
      <c r="AJ203" s="191" t="str">
        <f t="shared" si="69"/>
        <v/>
      </c>
      <c r="AK203" s="237" t="str">
        <f t="shared" si="58"/>
        <v/>
      </c>
      <c r="AL203" s="237" t="str">
        <f t="shared" si="70"/>
        <v/>
      </c>
      <c r="AM203" s="192" t="e">
        <f t="shared" si="59"/>
        <v>#VALUE!</v>
      </c>
      <c r="AN203" s="193" t="e">
        <f t="shared" si="60"/>
        <v>#VALUE!</v>
      </c>
      <c r="AO203" s="193" t="e">
        <f t="shared" si="61"/>
        <v>#VALUE!</v>
      </c>
      <c r="AP203" s="193"/>
      <c r="AQ203" s="204"/>
      <c r="AR203" s="204"/>
      <c r="AS203" s="204"/>
      <c r="AT203" s="205"/>
      <c r="AU203"/>
    </row>
    <row r="204" spans="2:47" ht="15" customHeight="1" x14ac:dyDescent="0.25">
      <c r="B204" s="206"/>
      <c r="C204" s="185"/>
      <c r="D204" s="164"/>
      <c r="E204" s="174"/>
      <c r="F204" s="164"/>
      <c r="G204" s="174"/>
      <c r="H204" s="164"/>
      <c r="I204" s="174"/>
      <c r="J204" s="184"/>
      <c r="K204" s="186"/>
      <c r="L204" s="187" t="str">
        <f t="shared" si="62"/>
        <v/>
      </c>
      <c r="M204" s="187" t="str">
        <f t="shared" si="63"/>
        <v/>
      </c>
      <c r="N204" s="187" t="str">
        <f t="shared" si="55"/>
        <v>D</v>
      </c>
      <c r="O204" s="187" t="str">
        <f t="shared" si="64"/>
        <v>D</v>
      </c>
      <c r="P204" s="187">
        <f t="shared" si="65"/>
        <v>1</v>
      </c>
      <c r="Q204" s="187">
        <f>IFERROR(VLOOKUP(E204,Tabela_Deflator:E$43,5,FALSE),1)</f>
        <v>1</v>
      </c>
      <c r="R204" s="188" t="str">
        <f t="shared" si="66"/>
        <v/>
      </c>
      <c r="S204" s="237" t="str">
        <f t="shared" si="56"/>
        <v/>
      </c>
      <c r="T204" s="237" t="str">
        <f t="shared" si="71"/>
        <v/>
      </c>
      <c r="U204" s="189"/>
      <c r="V204" s="167"/>
      <c r="W204" s="165"/>
      <c r="X204" s="164"/>
      <c r="Y204" s="164"/>
      <c r="Z204" s="164"/>
      <c r="AA204" s="174"/>
      <c r="AB204" s="164"/>
      <c r="AC204" s="174"/>
      <c r="AD204" s="184"/>
      <c r="AE204" s="190" t="str">
        <f t="shared" si="67"/>
        <v/>
      </c>
      <c r="AF204" s="190" t="str">
        <f t="shared" si="68"/>
        <v/>
      </c>
      <c r="AG204" s="190" t="str">
        <f t="shared" si="57"/>
        <v>D</v>
      </c>
      <c r="AH204" s="190">
        <f>IFERROR(VLOOKUP(Y204,SISP_Deflatores_e_INMs!B$4:F$49,3,FALSE),1)</f>
        <v>1</v>
      </c>
      <c r="AI204" s="190">
        <f>IFERROR(VLOOKUP(Y204,SISP_Deflatores_e_INMs!B$4:G$49,5,FALSE),1)</f>
        <v>1</v>
      </c>
      <c r="AJ204" s="191" t="str">
        <f t="shared" si="69"/>
        <v/>
      </c>
      <c r="AK204" s="237" t="str">
        <f t="shared" si="58"/>
        <v/>
      </c>
      <c r="AL204" s="237" t="str">
        <f t="shared" si="70"/>
        <v/>
      </c>
      <c r="AM204" s="192" t="e">
        <f t="shared" si="59"/>
        <v>#VALUE!</v>
      </c>
      <c r="AN204" s="193" t="e">
        <f t="shared" si="60"/>
        <v>#VALUE!</v>
      </c>
      <c r="AO204" s="193" t="e">
        <f t="shared" si="61"/>
        <v>#VALUE!</v>
      </c>
      <c r="AP204" s="193"/>
      <c r="AQ204" s="204"/>
      <c r="AR204" s="204"/>
      <c r="AS204" s="204"/>
      <c r="AT204" s="205"/>
      <c r="AU204"/>
    </row>
    <row r="205" spans="2:47" ht="15" customHeight="1" x14ac:dyDescent="0.25">
      <c r="B205" s="206"/>
      <c r="C205" s="185"/>
      <c r="D205" s="164"/>
      <c r="E205" s="174"/>
      <c r="F205" s="164"/>
      <c r="G205" s="174"/>
      <c r="H205" s="164"/>
      <c r="I205" s="174"/>
      <c r="J205" s="184"/>
      <c r="K205" s="186"/>
      <c r="L205" s="187" t="str">
        <f t="shared" si="62"/>
        <v/>
      </c>
      <c r="M205" s="187" t="str">
        <f t="shared" si="63"/>
        <v/>
      </c>
      <c r="N205" s="187" t="str">
        <f t="shared" si="55"/>
        <v>D</v>
      </c>
      <c r="O205" s="187" t="str">
        <f t="shared" si="64"/>
        <v>D</v>
      </c>
      <c r="P205" s="187">
        <f t="shared" si="65"/>
        <v>1</v>
      </c>
      <c r="Q205" s="187">
        <f>IFERROR(VLOOKUP(E205,Tabela_Deflator:E$43,5,FALSE),1)</f>
        <v>1</v>
      </c>
      <c r="R205" s="188" t="str">
        <f t="shared" si="66"/>
        <v/>
      </c>
      <c r="S205" s="237" t="str">
        <f t="shared" si="56"/>
        <v/>
      </c>
      <c r="T205" s="237" t="str">
        <f t="shared" si="71"/>
        <v/>
      </c>
      <c r="U205" s="189"/>
      <c r="V205" s="167"/>
      <c r="W205" s="165"/>
      <c r="X205" s="164"/>
      <c r="Y205" s="164"/>
      <c r="Z205" s="164"/>
      <c r="AA205" s="174"/>
      <c r="AB205" s="164"/>
      <c r="AC205" s="174"/>
      <c r="AD205" s="184"/>
      <c r="AE205" s="190" t="str">
        <f t="shared" si="67"/>
        <v/>
      </c>
      <c r="AF205" s="190" t="str">
        <f t="shared" si="68"/>
        <v/>
      </c>
      <c r="AG205" s="190" t="str">
        <f t="shared" si="57"/>
        <v>D</v>
      </c>
      <c r="AH205" s="190">
        <f>IFERROR(VLOOKUP(Y205,SISP_Deflatores_e_INMs!B$4:F$49,3,FALSE),1)</f>
        <v>1</v>
      </c>
      <c r="AI205" s="190">
        <f>IFERROR(VLOOKUP(Y205,SISP_Deflatores_e_INMs!B$4:G$49,5,FALSE),1)</f>
        <v>1</v>
      </c>
      <c r="AJ205" s="191" t="str">
        <f t="shared" si="69"/>
        <v/>
      </c>
      <c r="AK205" s="237" t="str">
        <f t="shared" si="58"/>
        <v/>
      </c>
      <c r="AL205" s="237" t="str">
        <f t="shared" si="70"/>
        <v/>
      </c>
      <c r="AM205" s="192" t="e">
        <f t="shared" si="59"/>
        <v>#VALUE!</v>
      </c>
      <c r="AN205" s="193" t="e">
        <f t="shared" si="60"/>
        <v>#VALUE!</v>
      </c>
      <c r="AO205" s="193" t="e">
        <f t="shared" si="61"/>
        <v>#VALUE!</v>
      </c>
      <c r="AP205" s="193"/>
      <c r="AQ205" s="204"/>
      <c r="AR205" s="204"/>
      <c r="AS205" s="204"/>
      <c r="AT205" s="205"/>
      <c r="AU205"/>
    </row>
    <row r="206" spans="2:47" ht="15" customHeight="1" x14ac:dyDescent="0.25">
      <c r="B206" s="206"/>
      <c r="C206" s="185"/>
      <c r="D206" s="164"/>
      <c r="E206" s="174"/>
      <c r="F206" s="164"/>
      <c r="G206" s="174"/>
      <c r="H206" s="164"/>
      <c r="I206" s="174"/>
      <c r="J206" s="184"/>
      <c r="K206" s="186"/>
      <c r="L206" s="187" t="str">
        <f t="shared" si="62"/>
        <v/>
      </c>
      <c r="M206" s="187" t="str">
        <f t="shared" si="63"/>
        <v/>
      </c>
      <c r="N206" s="187" t="str">
        <f t="shared" si="55"/>
        <v>D</v>
      </c>
      <c r="O206" s="187" t="str">
        <f t="shared" si="64"/>
        <v>D</v>
      </c>
      <c r="P206" s="187">
        <f t="shared" si="65"/>
        <v>1</v>
      </c>
      <c r="Q206" s="187">
        <f>IFERROR(VLOOKUP(E206,Tabela_Deflator:E$43,5,FALSE),1)</f>
        <v>1</v>
      </c>
      <c r="R206" s="188" t="str">
        <f t="shared" si="66"/>
        <v/>
      </c>
      <c r="S206" s="237" t="str">
        <f t="shared" si="56"/>
        <v/>
      </c>
      <c r="T206" s="237" t="str">
        <f t="shared" si="71"/>
        <v/>
      </c>
      <c r="U206" s="189"/>
      <c r="V206" s="167"/>
      <c r="W206" s="165"/>
      <c r="X206" s="164"/>
      <c r="Y206" s="164"/>
      <c r="Z206" s="164"/>
      <c r="AA206" s="174"/>
      <c r="AB206" s="164"/>
      <c r="AC206" s="174"/>
      <c r="AD206" s="184"/>
      <c r="AE206" s="190" t="str">
        <f t="shared" si="67"/>
        <v/>
      </c>
      <c r="AF206" s="190" t="str">
        <f t="shared" si="68"/>
        <v/>
      </c>
      <c r="AG206" s="190" t="str">
        <f t="shared" si="57"/>
        <v>D</v>
      </c>
      <c r="AH206" s="190">
        <f>IFERROR(VLOOKUP(Y206,SISP_Deflatores_e_INMs!B$4:F$49,3,FALSE),1)</f>
        <v>1</v>
      </c>
      <c r="AI206" s="190">
        <f>IFERROR(VLOOKUP(Y206,SISP_Deflatores_e_INMs!B$4:G$49,5,FALSE),1)</f>
        <v>1</v>
      </c>
      <c r="AJ206" s="191" t="str">
        <f t="shared" si="69"/>
        <v/>
      </c>
      <c r="AK206" s="237" t="str">
        <f t="shared" si="58"/>
        <v/>
      </c>
      <c r="AL206" s="237" t="str">
        <f t="shared" si="70"/>
        <v/>
      </c>
      <c r="AM206" s="192" t="e">
        <f t="shared" si="59"/>
        <v>#VALUE!</v>
      </c>
      <c r="AN206" s="193" t="e">
        <f t="shared" si="60"/>
        <v>#VALUE!</v>
      </c>
      <c r="AO206" s="193" t="e">
        <f t="shared" si="61"/>
        <v>#VALUE!</v>
      </c>
      <c r="AP206" s="193"/>
      <c r="AQ206" s="204"/>
      <c r="AR206" s="204"/>
      <c r="AS206" s="204"/>
      <c r="AT206" s="205"/>
      <c r="AU206"/>
    </row>
    <row r="207" spans="2:47" ht="15" customHeight="1" x14ac:dyDescent="0.25">
      <c r="B207" s="206"/>
      <c r="C207" s="185"/>
      <c r="D207" s="164"/>
      <c r="E207" s="174"/>
      <c r="F207" s="164"/>
      <c r="G207" s="174"/>
      <c r="H207" s="164"/>
      <c r="I207" s="174"/>
      <c r="J207" s="184"/>
      <c r="K207" s="186"/>
      <c r="L207" s="187" t="str">
        <f t="shared" si="62"/>
        <v/>
      </c>
      <c r="M207" s="187" t="str">
        <f t="shared" si="63"/>
        <v/>
      </c>
      <c r="N207" s="187" t="str">
        <f t="shared" si="55"/>
        <v>D</v>
      </c>
      <c r="O207" s="187" t="str">
        <f t="shared" si="64"/>
        <v>D</v>
      </c>
      <c r="P207" s="187">
        <f t="shared" si="65"/>
        <v>1</v>
      </c>
      <c r="Q207" s="187">
        <f>IFERROR(VLOOKUP(E207,Tabela_Deflator:E$43,5,FALSE),1)</f>
        <v>1</v>
      </c>
      <c r="R207" s="188" t="str">
        <f t="shared" si="66"/>
        <v/>
      </c>
      <c r="S207" s="237" t="str">
        <f t="shared" si="56"/>
        <v/>
      </c>
      <c r="T207" s="237" t="str">
        <f t="shared" si="71"/>
        <v/>
      </c>
      <c r="U207" s="189"/>
      <c r="V207" s="167"/>
      <c r="W207" s="165"/>
      <c r="X207" s="164"/>
      <c r="Y207" s="164"/>
      <c r="Z207" s="164"/>
      <c r="AA207" s="174"/>
      <c r="AB207" s="164"/>
      <c r="AC207" s="174"/>
      <c r="AD207" s="184"/>
      <c r="AE207" s="190" t="str">
        <f t="shared" si="67"/>
        <v/>
      </c>
      <c r="AF207" s="190" t="str">
        <f t="shared" si="68"/>
        <v/>
      </c>
      <c r="AG207" s="190" t="str">
        <f t="shared" si="57"/>
        <v>D</v>
      </c>
      <c r="AH207" s="190">
        <f>IFERROR(VLOOKUP(Y207,SISP_Deflatores_e_INMs!B$4:F$49,3,FALSE),1)</f>
        <v>1</v>
      </c>
      <c r="AI207" s="190">
        <f>IFERROR(VLOOKUP(Y207,SISP_Deflatores_e_INMs!B$4:G$49,5,FALSE),1)</f>
        <v>1</v>
      </c>
      <c r="AJ207" s="191" t="str">
        <f t="shared" si="69"/>
        <v/>
      </c>
      <c r="AK207" s="237" t="str">
        <f t="shared" si="58"/>
        <v/>
      </c>
      <c r="AL207" s="237" t="str">
        <f t="shared" si="70"/>
        <v/>
      </c>
      <c r="AM207" s="192" t="e">
        <f t="shared" si="59"/>
        <v>#VALUE!</v>
      </c>
      <c r="AN207" s="193" t="e">
        <f t="shared" si="60"/>
        <v>#VALUE!</v>
      </c>
      <c r="AO207" s="193" t="e">
        <f t="shared" si="61"/>
        <v>#VALUE!</v>
      </c>
      <c r="AP207" s="193"/>
      <c r="AQ207" s="204"/>
      <c r="AR207" s="204"/>
      <c r="AS207" s="204"/>
      <c r="AT207" s="205"/>
      <c r="AU207"/>
    </row>
    <row r="208" spans="2:47" ht="15" customHeight="1" x14ac:dyDescent="0.25">
      <c r="B208" s="206"/>
      <c r="C208" s="185"/>
      <c r="D208" s="164"/>
      <c r="E208" s="174"/>
      <c r="F208" s="164"/>
      <c r="G208" s="174"/>
      <c r="H208" s="164"/>
      <c r="I208" s="174"/>
      <c r="J208" s="184"/>
      <c r="K208" s="186"/>
      <c r="L208" s="187" t="str">
        <f t="shared" si="62"/>
        <v/>
      </c>
      <c r="M208" s="187" t="str">
        <f t="shared" si="63"/>
        <v/>
      </c>
      <c r="N208" s="187" t="str">
        <f t="shared" si="55"/>
        <v>D</v>
      </c>
      <c r="O208" s="187" t="str">
        <f t="shared" si="64"/>
        <v>D</v>
      </c>
      <c r="P208" s="187">
        <f t="shared" si="65"/>
        <v>1</v>
      </c>
      <c r="Q208" s="187">
        <f>IFERROR(VLOOKUP(E208,Tabela_Deflator:E$43,5,FALSE),1)</f>
        <v>1</v>
      </c>
      <c r="R208" s="188" t="str">
        <f t="shared" si="66"/>
        <v/>
      </c>
      <c r="S208" s="237" t="str">
        <f t="shared" si="56"/>
        <v/>
      </c>
      <c r="T208" s="237" t="str">
        <f t="shared" si="71"/>
        <v/>
      </c>
      <c r="U208" s="189"/>
      <c r="V208" s="167"/>
      <c r="W208" s="165"/>
      <c r="X208" s="164"/>
      <c r="Y208" s="164"/>
      <c r="Z208" s="164"/>
      <c r="AA208" s="174"/>
      <c r="AB208" s="164"/>
      <c r="AC208" s="174"/>
      <c r="AD208" s="184"/>
      <c r="AE208" s="190" t="str">
        <f t="shared" si="67"/>
        <v/>
      </c>
      <c r="AF208" s="190" t="str">
        <f t="shared" si="68"/>
        <v/>
      </c>
      <c r="AG208" s="190" t="str">
        <f t="shared" si="57"/>
        <v>D</v>
      </c>
      <c r="AH208" s="190">
        <f>IFERROR(VLOOKUP(Y208,SISP_Deflatores_e_INMs!B$4:F$49,3,FALSE),1)</f>
        <v>1</v>
      </c>
      <c r="AI208" s="190">
        <f>IFERROR(VLOOKUP(Y208,SISP_Deflatores_e_INMs!B$4:G$49,5,FALSE),1)</f>
        <v>1</v>
      </c>
      <c r="AJ208" s="191" t="str">
        <f t="shared" si="69"/>
        <v/>
      </c>
      <c r="AK208" s="237" t="str">
        <f t="shared" si="58"/>
        <v/>
      </c>
      <c r="AL208" s="237" t="str">
        <f t="shared" si="70"/>
        <v/>
      </c>
      <c r="AM208" s="192" t="e">
        <f t="shared" si="59"/>
        <v>#VALUE!</v>
      </c>
      <c r="AN208" s="193" t="e">
        <f t="shared" si="60"/>
        <v>#VALUE!</v>
      </c>
      <c r="AO208" s="193" t="e">
        <f t="shared" si="61"/>
        <v>#VALUE!</v>
      </c>
      <c r="AP208" s="193"/>
      <c r="AQ208" s="204"/>
      <c r="AR208" s="204"/>
      <c r="AS208" s="204"/>
      <c r="AT208" s="205"/>
      <c r="AU208"/>
    </row>
    <row r="209" spans="2:47" ht="15" customHeight="1" x14ac:dyDescent="0.25">
      <c r="B209" s="206"/>
      <c r="C209" s="185"/>
      <c r="D209" s="164"/>
      <c r="E209" s="174"/>
      <c r="F209" s="164"/>
      <c r="G209" s="174"/>
      <c r="H209" s="164"/>
      <c r="I209" s="174"/>
      <c r="J209" s="184"/>
      <c r="K209" s="186"/>
      <c r="L209" s="187" t="str">
        <f t="shared" si="62"/>
        <v/>
      </c>
      <c r="M209" s="187" t="str">
        <f t="shared" si="63"/>
        <v/>
      </c>
      <c r="N209" s="187" t="str">
        <f t="shared" si="55"/>
        <v>D</v>
      </c>
      <c r="O209" s="187" t="str">
        <f t="shared" si="64"/>
        <v>D</v>
      </c>
      <c r="P209" s="187">
        <f t="shared" si="65"/>
        <v>1</v>
      </c>
      <c r="Q209" s="187">
        <f>IFERROR(VLOOKUP(E209,Tabela_Deflator:E$43,5,FALSE),1)</f>
        <v>1</v>
      </c>
      <c r="R209" s="188" t="str">
        <f t="shared" si="66"/>
        <v/>
      </c>
      <c r="S209" s="237" t="str">
        <f t="shared" si="56"/>
        <v/>
      </c>
      <c r="T209" s="237" t="str">
        <f t="shared" si="71"/>
        <v/>
      </c>
      <c r="U209" s="189"/>
      <c r="V209" s="167"/>
      <c r="W209" s="165"/>
      <c r="X209" s="164"/>
      <c r="Y209" s="164"/>
      <c r="Z209" s="164"/>
      <c r="AA209" s="174"/>
      <c r="AB209" s="164"/>
      <c r="AC209" s="174"/>
      <c r="AD209" s="184"/>
      <c r="AE209" s="190" t="str">
        <f t="shared" si="67"/>
        <v/>
      </c>
      <c r="AF209" s="190" t="str">
        <f t="shared" si="68"/>
        <v/>
      </c>
      <c r="AG209" s="190" t="str">
        <f t="shared" si="57"/>
        <v>D</v>
      </c>
      <c r="AH209" s="190">
        <f>IFERROR(VLOOKUP(Y209,SISP_Deflatores_e_INMs!B$4:F$49,3,FALSE),1)</f>
        <v>1</v>
      </c>
      <c r="AI209" s="190">
        <f>IFERROR(VLOOKUP(Y209,SISP_Deflatores_e_INMs!B$4:G$49,5,FALSE),1)</f>
        <v>1</v>
      </c>
      <c r="AJ209" s="191" t="str">
        <f t="shared" si="69"/>
        <v/>
      </c>
      <c r="AK209" s="237" t="str">
        <f t="shared" si="58"/>
        <v/>
      </c>
      <c r="AL209" s="237" t="str">
        <f t="shared" si="70"/>
        <v/>
      </c>
      <c r="AM209" s="192" t="e">
        <f t="shared" si="59"/>
        <v>#VALUE!</v>
      </c>
      <c r="AN209" s="193" t="e">
        <f t="shared" si="60"/>
        <v>#VALUE!</v>
      </c>
      <c r="AO209" s="193" t="e">
        <f t="shared" si="61"/>
        <v>#VALUE!</v>
      </c>
      <c r="AP209" s="193"/>
      <c r="AQ209" s="204"/>
      <c r="AR209" s="204"/>
      <c r="AS209" s="204"/>
      <c r="AT209" s="205"/>
      <c r="AU209"/>
    </row>
    <row r="210" spans="2:47" ht="15" customHeight="1" x14ac:dyDescent="0.25">
      <c r="B210" s="206"/>
      <c r="C210" s="185"/>
      <c r="D210" s="164"/>
      <c r="E210" s="174"/>
      <c r="F210" s="164"/>
      <c r="G210" s="174"/>
      <c r="H210" s="164"/>
      <c r="I210" s="174"/>
      <c r="J210" s="184"/>
      <c r="K210" s="186"/>
      <c r="L210" s="187" t="str">
        <f t="shared" si="62"/>
        <v/>
      </c>
      <c r="M210" s="187" t="str">
        <f t="shared" si="63"/>
        <v/>
      </c>
      <c r="N210" s="187" t="str">
        <f t="shared" si="55"/>
        <v>D</v>
      </c>
      <c r="O210" s="187" t="str">
        <f t="shared" si="64"/>
        <v>D</v>
      </c>
      <c r="P210" s="187">
        <f t="shared" si="65"/>
        <v>1</v>
      </c>
      <c r="Q210" s="187">
        <f>IFERROR(VLOOKUP(E210,Tabela_Deflator:E$43,5,FALSE),1)</f>
        <v>1</v>
      </c>
      <c r="R210" s="188" t="str">
        <f t="shared" si="66"/>
        <v/>
      </c>
      <c r="S210" s="237" t="str">
        <f t="shared" si="56"/>
        <v/>
      </c>
      <c r="T210" s="237" t="str">
        <f t="shared" si="71"/>
        <v/>
      </c>
      <c r="U210" s="189"/>
      <c r="V210" s="167"/>
      <c r="W210" s="165"/>
      <c r="X210" s="164"/>
      <c r="Y210" s="164"/>
      <c r="Z210" s="164"/>
      <c r="AA210" s="174"/>
      <c r="AB210" s="164"/>
      <c r="AC210" s="174"/>
      <c r="AD210" s="184"/>
      <c r="AE210" s="190" t="str">
        <f t="shared" si="67"/>
        <v/>
      </c>
      <c r="AF210" s="190" t="str">
        <f t="shared" si="68"/>
        <v/>
      </c>
      <c r="AG210" s="190" t="str">
        <f t="shared" si="57"/>
        <v>D</v>
      </c>
      <c r="AH210" s="190">
        <f>IFERROR(VLOOKUP(Y210,SISP_Deflatores_e_INMs!B$4:F$49,3,FALSE),1)</f>
        <v>1</v>
      </c>
      <c r="AI210" s="190">
        <f>IFERROR(VLOOKUP(Y210,SISP_Deflatores_e_INMs!B$4:G$49,5,FALSE),1)</f>
        <v>1</v>
      </c>
      <c r="AJ210" s="191" t="str">
        <f t="shared" si="69"/>
        <v/>
      </c>
      <c r="AK210" s="237" t="str">
        <f t="shared" si="58"/>
        <v/>
      </c>
      <c r="AL210" s="237" t="str">
        <f t="shared" si="70"/>
        <v/>
      </c>
      <c r="AM210" s="192" t="e">
        <f t="shared" si="59"/>
        <v>#VALUE!</v>
      </c>
      <c r="AN210" s="193" t="e">
        <f t="shared" si="60"/>
        <v>#VALUE!</v>
      </c>
      <c r="AO210" s="193" t="e">
        <f t="shared" si="61"/>
        <v>#VALUE!</v>
      </c>
      <c r="AP210" s="193"/>
      <c r="AQ210" s="204"/>
      <c r="AR210" s="204"/>
      <c r="AS210" s="204"/>
      <c r="AT210" s="205"/>
      <c r="AU210"/>
    </row>
    <row r="211" spans="2:47" ht="15" customHeight="1" x14ac:dyDescent="0.25">
      <c r="B211" s="206"/>
      <c r="C211" s="185"/>
      <c r="D211" s="164"/>
      <c r="E211" s="174"/>
      <c r="F211" s="164"/>
      <c r="G211" s="174"/>
      <c r="H211" s="164"/>
      <c r="I211" s="174"/>
      <c r="J211" s="184"/>
      <c r="K211" s="186"/>
      <c r="L211" s="187" t="str">
        <f t="shared" si="62"/>
        <v/>
      </c>
      <c r="M211" s="187" t="str">
        <f t="shared" si="63"/>
        <v/>
      </c>
      <c r="N211" s="187" t="str">
        <f t="shared" si="55"/>
        <v>D</v>
      </c>
      <c r="O211" s="187" t="str">
        <f t="shared" si="64"/>
        <v>D</v>
      </c>
      <c r="P211" s="187">
        <f t="shared" si="65"/>
        <v>1</v>
      </c>
      <c r="Q211" s="187">
        <f>IFERROR(VLOOKUP(E211,Tabela_Deflator:E$43,5,FALSE),1)</f>
        <v>1</v>
      </c>
      <c r="R211" s="188" t="str">
        <f t="shared" si="66"/>
        <v/>
      </c>
      <c r="S211" s="237" t="str">
        <f t="shared" si="56"/>
        <v/>
      </c>
      <c r="T211" s="237" t="str">
        <f t="shared" si="71"/>
        <v/>
      </c>
      <c r="U211" s="189"/>
      <c r="V211" s="167"/>
      <c r="W211" s="165"/>
      <c r="X211" s="164"/>
      <c r="Y211" s="164"/>
      <c r="Z211" s="164"/>
      <c r="AA211" s="174"/>
      <c r="AB211" s="164"/>
      <c r="AC211" s="174"/>
      <c r="AD211" s="184"/>
      <c r="AE211" s="190" t="str">
        <f t="shared" si="67"/>
        <v/>
      </c>
      <c r="AF211" s="190" t="str">
        <f t="shared" si="68"/>
        <v/>
      </c>
      <c r="AG211" s="190" t="str">
        <f t="shared" si="57"/>
        <v>D</v>
      </c>
      <c r="AH211" s="190">
        <f>IFERROR(VLOOKUP(Y211,SISP_Deflatores_e_INMs!B$4:F$49,3,FALSE),1)</f>
        <v>1</v>
      </c>
      <c r="AI211" s="190">
        <f>IFERROR(VLOOKUP(Y211,SISP_Deflatores_e_INMs!B$4:G$49,5,FALSE),1)</f>
        <v>1</v>
      </c>
      <c r="AJ211" s="191" t="str">
        <f t="shared" si="69"/>
        <v/>
      </c>
      <c r="AK211" s="237" t="str">
        <f t="shared" si="58"/>
        <v/>
      </c>
      <c r="AL211" s="237" t="str">
        <f t="shared" si="70"/>
        <v/>
      </c>
      <c r="AM211" s="192" t="e">
        <f t="shared" si="59"/>
        <v>#VALUE!</v>
      </c>
      <c r="AN211" s="193" t="e">
        <f t="shared" si="60"/>
        <v>#VALUE!</v>
      </c>
      <c r="AO211" s="193" t="e">
        <f t="shared" si="61"/>
        <v>#VALUE!</v>
      </c>
      <c r="AP211" s="193"/>
      <c r="AQ211" s="204"/>
      <c r="AR211" s="204"/>
      <c r="AS211" s="204"/>
      <c r="AT211" s="205"/>
      <c r="AU211"/>
    </row>
    <row r="212" spans="2:47" ht="15" customHeight="1" x14ac:dyDescent="0.25">
      <c r="B212" s="206"/>
      <c r="C212" s="185"/>
      <c r="D212" s="164"/>
      <c r="E212" s="174"/>
      <c r="F212" s="164"/>
      <c r="G212" s="174"/>
      <c r="H212" s="164"/>
      <c r="I212" s="174"/>
      <c r="J212" s="184"/>
      <c r="K212" s="186"/>
      <c r="L212" s="187" t="str">
        <f t="shared" si="62"/>
        <v/>
      </c>
      <c r="M212" s="187" t="str">
        <f t="shared" si="63"/>
        <v/>
      </c>
      <c r="N212" s="187" t="str">
        <f t="shared" si="55"/>
        <v>D</v>
      </c>
      <c r="O212" s="187" t="str">
        <f t="shared" si="64"/>
        <v>D</v>
      </c>
      <c r="P212" s="187">
        <f t="shared" si="65"/>
        <v>1</v>
      </c>
      <c r="Q212" s="187">
        <f>IFERROR(VLOOKUP(E212,Tabela_Deflator:E$43,5,FALSE),1)</f>
        <v>1</v>
      </c>
      <c r="R212" s="188" t="str">
        <f t="shared" si="66"/>
        <v/>
      </c>
      <c r="S212" s="237" t="str">
        <f t="shared" si="56"/>
        <v/>
      </c>
      <c r="T212" s="237" t="str">
        <f t="shared" si="71"/>
        <v/>
      </c>
      <c r="U212" s="189"/>
      <c r="V212" s="167"/>
      <c r="W212" s="165"/>
      <c r="X212" s="164"/>
      <c r="Y212" s="164"/>
      <c r="Z212" s="164"/>
      <c r="AA212" s="174"/>
      <c r="AB212" s="164"/>
      <c r="AC212" s="174"/>
      <c r="AD212" s="184"/>
      <c r="AE212" s="190" t="str">
        <f t="shared" si="67"/>
        <v/>
      </c>
      <c r="AF212" s="190" t="str">
        <f t="shared" si="68"/>
        <v/>
      </c>
      <c r="AG212" s="190" t="str">
        <f t="shared" si="57"/>
        <v>D</v>
      </c>
      <c r="AH212" s="190">
        <f>IFERROR(VLOOKUP(Y212,SISP_Deflatores_e_INMs!B$4:F$49,3,FALSE),1)</f>
        <v>1</v>
      </c>
      <c r="AI212" s="190">
        <f>IFERROR(VLOOKUP(Y212,SISP_Deflatores_e_INMs!B$4:G$49,5,FALSE),1)</f>
        <v>1</v>
      </c>
      <c r="AJ212" s="191" t="str">
        <f t="shared" si="69"/>
        <v/>
      </c>
      <c r="AK212" s="237" t="str">
        <f t="shared" si="58"/>
        <v/>
      </c>
      <c r="AL212" s="237" t="str">
        <f t="shared" si="70"/>
        <v/>
      </c>
      <c r="AM212" s="192" t="e">
        <f t="shared" si="59"/>
        <v>#VALUE!</v>
      </c>
      <c r="AN212" s="193" t="e">
        <f t="shared" si="60"/>
        <v>#VALUE!</v>
      </c>
      <c r="AO212" s="193" t="e">
        <f t="shared" si="61"/>
        <v>#VALUE!</v>
      </c>
      <c r="AP212" s="193"/>
      <c r="AQ212" s="204"/>
      <c r="AR212" s="204"/>
      <c r="AS212" s="204"/>
      <c r="AT212" s="205"/>
      <c r="AU212"/>
    </row>
    <row r="213" spans="2:47" ht="15" customHeight="1" x14ac:dyDescent="0.25">
      <c r="B213" s="206"/>
      <c r="C213" s="185"/>
      <c r="D213" s="164"/>
      <c r="E213" s="174"/>
      <c r="F213" s="164"/>
      <c r="G213" s="174"/>
      <c r="H213" s="164"/>
      <c r="I213" s="174"/>
      <c r="J213" s="184"/>
      <c r="K213" s="186"/>
      <c r="L213" s="187" t="str">
        <f t="shared" si="62"/>
        <v/>
      </c>
      <c r="M213" s="187" t="str">
        <f t="shared" si="63"/>
        <v/>
      </c>
      <c r="N213" s="187" t="str">
        <f t="shared" si="55"/>
        <v>D</v>
      </c>
      <c r="O213" s="187" t="str">
        <f t="shared" si="64"/>
        <v>D</v>
      </c>
      <c r="P213" s="187">
        <f t="shared" si="65"/>
        <v>1</v>
      </c>
      <c r="Q213" s="187">
        <f>IFERROR(VLOOKUP(E213,Tabela_Deflator:E$43,5,FALSE),1)</f>
        <v>1</v>
      </c>
      <c r="R213" s="188" t="str">
        <f t="shared" si="66"/>
        <v/>
      </c>
      <c r="S213" s="237" t="str">
        <f t="shared" si="56"/>
        <v/>
      </c>
      <c r="T213" s="237" t="str">
        <f t="shared" si="71"/>
        <v/>
      </c>
      <c r="U213" s="189"/>
      <c r="V213" s="167"/>
      <c r="W213" s="165"/>
      <c r="X213" s="164"/>
      <c r="Y213" s="164"/>
      <c r="Z213" s="164"/>
      <c r="AA213" s="174"/>
      <c r="AB213" s="164"/>
      <c r="AC213" s="174"/>
      <c r="AD213" s="184"/>
      <c r="AE213" s="190" t="str">
        <f t="shared" si="67"/>
        <v/>
      </c>
      <c r="AF213" s="190" t="str">
        <f t="shared" si="68"/>
        <v/>
      </c>
      <c r="AG213" s="190" t="str">
        <f t="shared" si="57"/>
        <v>D</v>
      </c>
      <c r="AH213" s="190">
        <f>IFERROR(VLOOKUP(Y213,SISP_Deflatores_e_INMs!B$4:F$49,3,FALSE),1)</f>
        <v>1</v>
      </c>
      <c r="AI213" s="190">
        <f>IFERROR(VLOOKUP(Y213,SISP_Deflatores_e_INMs!B$4:G$49,5,FALSE),1)</f>
        <v>1</v>
      </c>
      <c r="AJ213" s="191" t="str">
        <f t="shared" si="69"/>
        <v/>
      </c>
      <c r="AK213" s="237" t="str">
        <f t="shared" si="58"/>
        <v/>
      </c>
      <c r="AL213" s="237" t="str">
        <f t="shared" si="70"/>
        <v/>
      </c>
      <c r="AM213" s="192" t="e">
        <f t="shared" si="59"/>
        <v>#VALUE!</v>
      </c>
      <c r="AN213" s="193" t="e">
        <f t="shared" si="60"/>
        <v>#VALUE!</v>
      </c>
      <c r="AO213" s="193" t="e">
        <f t="shared" si="61"/>
        <v>#VALUE!</v>
      </c>
      <c r="AP213" s="193"/>
      <c r="AQ213" s="204"/>
      <c r="AR213" s="204"/>
      <c r="AS213" s="204"/>
      <c r="AT213" s="205"/>
      <c r="AU213"/>
    </row>
    <row r="214" spans="2:47" ht="15" customHeight="1" x14ac:dyDescent="0.25">
      <c r="B214" s="206"/>
      <c r="C214" s="185"/>
      <c r="D214" s="164"/>
      <c r="E214" s="174"/>
      <c r="F214" s="164"/>
      <c r="G214" s="174"/>
      <c r="H214" s="164"/>
      <c r="I214" s="174"/>
      <c r="J214" s="184"/>
      <c r="K214" s="186"/>
      <c r="L214" s="187" t="str">
        <f t="shared" si="62"/>
        <v/>
      </c>
      <c r="M214" s="187" t="str">
        <f t="shared" si="63"/>
        <v/>
      </c>
      <c r="N214" s="187" t="str">
        <f t="shared" si="55"/>
        <v>D</v>
      </c>
      <c r="O214" s="187" t="str">
        <f t="shared" si="64"/>
        <v>D</v>
      </c>
      <c r="P214" s="187">
        <f t="shared" si="65"/>
        <v>1</v>
      </c>
      <c r="Q214" s="187">
        <f>IFERROR(VLOOKUP(E214,Tabela_Deflator:E$43,5,FALSE),1)</f>
        <v>1</v>
      </c>
      <c r="R214" s="188" t="str">
        <f t="shared" si="66"/>
        <v/>
      </c>
      <c r="S214" s="237" t="str">
        <f t="shared" si="56"/>
        <v/>
      </c>
      <c r="T214" s="237" t="str">
        <f t="shared" si="71"/>
        <v/>
      </c>
      <c r="U214" s="189"/>
      <c r="V214" s="167"/>
      <c r="W214" s="165"/>
      <c r="X214" s="164"/>
      <c r="Y214" s="164"/>
      <c r="Z214" s="164"/>
      <c r="AA214" s="174"/>
      <c r="AB214" s="164"/>
      <c r="AC214" s="174"/>
      <c r="AD214" s="184"/>
      <c r="AE214" s="190" t="str">
        <f t="shared" si="67"/>
        <v/>
      </c>
      <c r="AF214" s="190" t="str">
        <f t="shared" si="68"/>
        <v/>
      </c>
      <c r="AG214" s="190" t="str">
        <f t="shared" si="57"/>
        <v>D</v>
      </c>
      <c r="AH214" s="190">
        <f>IFERROR(VLOOKUP(Y214,SISP_Deflatores_e_INMs!B$4:F$49,3,FALSE),1)</f>
        <v>1</v>
      </c>
      <c r="AI214" s="190">
        <f>IFERROR(VLOOKUP(Y214,SISP_Deflatores_e_INMs!B$4:G$49,5,FALSE),1)</f>
        <v>1</v>
      </c>
      <c r="AJ214" s="191" t="str">
        <f t="shared" si="69"/>
        <v/>
      </c>
      <c r="AK214" s="237" t="str">
        <f t="shared" si="58"/>
        <v/>
      </c>
      <c r="AL214" s="237" t="str">
        <f t="shared" si="70"/>
        <v/>
      </c>
      <c r="AM214" s="192" t="e">
        <f t="shared" si="59"/>
        <v>#VALUE!</v>
      </c>
      <c r="AN214" s="193" t="e">
        <f t="shared" si="60"/>
        <v>#VALUE!</v>
      </c>
      <c r="AO214" s="193" t="e">
        <f t="shared" si="61"/>
        <v>#VALUE!</v>
      </c>
      <c r="AP214" s="193"/>
      <c r="AQ214" s="204"/>
      <c r="AR214" s="204"/>
      <c r="AS214" s="204"/>
      <c r="AT214" s="205"/>
      <c r="AU214"/>
    </row>
    <row r="215" spans="2:47" ht="15" customHeight="1" x14ac:dyDescent="0.25">
      <c r="B215" s="206"/>
      <c r="C215" s="185"/>
      <c r="D215" s="164"/>
      <c r="E215" s="174"/>
      <c r="F215" s="164"/>
      <c r="G215" s="174"/>
      <c r="H215" s="164"/>
      <c r="I215" s="174"/>
      <c r="J215" s="184"/>
      <c r="K215" s="186"/>
      <c r="L215" s="187" t="str">
        <f t="shared" si="62"/>
        <v/>
      </c>
      <c r="M215" s="187" t="str">
        <f t="shared" si="63"/>
        <v/>
      </c>
      <c r="N215" s="187" t="str">
        <f t="shared" si="55"/>
        <v>D</v>
      </c>
      <c r="O215" s="187" t="str">
        <f t="shared" si="64"/>
        <v>D</v>
      </c>
      <c r="P215" s="187">
        <f t="shared" si="65"/>
        <v>1</v>
      </c>
      <c r="Q215" s="187">
        <f>IFERROR(VLOOKUP(E215,Tabela_Deflator:E$43,5,FALSE),1)</f>
        <v>1</v>
      </c>
      <c r="R215" s="188" t="str">
        <f t="shared" si="66"/>
        <v/>
      </c>
      <c r="S215" s="237" t="str">
        <f t="shared" si="56"/>
        <v/>
      </c>
      <c r="T215" s="237" t="str">
        <f t="shared" si="71"/>
        <v/>
      </c>
      <c r="U215" s="189"/>
      <c r="V215" s="167"/>
      <c r="W215" s="165"/>
      <c r="X215" s="164"/>
      <c r="Y215" s="164"/>
      <c r="Z215" s="164"/>
      <c r="AA215" s="174"/>
      <c r="AB215" s="164"/>
      <c r="AC215" s="174"/>
      <c r="AD215" s="184"/>
      <c r="AE215" s="190" t="str">
        <f t="shared" si="67"/>
        <v/>
      </c>
      <c r="AF215" s="190" t="str">
        <f t="shared" si="68"/>
        <v/>
      </c>
      <c r="AG215" s="190" t="str">
        <f t="shared" si="57"/>
        <v>D</v>
      </c>
      <c r="AH215" s="190">
        <f>IFERROR(VLOOKUP(Y215,SISP_Deflatores_e_INMs!B$4:F$49,3,FALSE),1)</f>
        <v>1</v>
      </c>
      <c r="AI215" s="190">
        <f>IFERROR(VLOOKUP(Y215,SISP_Deflatores_e_INMs!B$4:G$49,5,FALSE),1)</f>
        <v>1</v>
      </c>
      <c r="AJ215" s="191" t="str">
        <f t="shared" si="69"/>
        <v/>
      </c>
      <c r="AK215" s="237" t="str">
        <f t="shared" si="58"/>
        <v/>
      </c>
      <c r="AL215" s="237" t="str">
        <f t="shared" si="70"/>
        <v/>
      </c>
      <c r="AM215" s="192" t="e">
        <f t="shared" si="59"/>
        <v>#VALUE!</v>
      </c>
      <c r="AN215" s="193" t="e">
        <f t="shared" si="60"/>
        <v>#VALUE!</v>
      </c>
      <c r="AO215" s="193" t="e">
        <f t="shared" si="61"/>
        <v>#VALUE!</v>
      </c>
      <c r="AP215" s="193"/>
      <c r="AQ215" s="204"/>
      <c r="AR215" s="204"/>
      <c r="AS215" s="204"/>
      <c r="AT215" s="205"/>
      <c r="AU215"/>
    </row>
    <row r="216" spans="2:47" ht="15" customHeight="1" x14ac:dyDescent="0.25">
      <c r="B216" s="206"/>
      <c r="C216" s="185"/>
      <c r="D216" s="164"/>
      <c r="E216" s="174"/>
      <c r="F216" s="164"/>
      <c r="G216" s="174"/>
      <c r="H216" s="164"/>
      <c r="I216" s="174"/>
      <c r="J216" s="184"/>
      <c r="K216" s="186"/>
      <c r="L216" s="187" t="str">
        <f t="shared" si="62"/>
        <v/>
      </c>
      <c r="M216" s="187" t="str">
        <f t="shared" si="63"/>
        <v/>
      </c>
      <c r="N216" s="187" t="str">
        <f t="shared" si="55"/>
        <v>D</v>
      </c>
      <c r="O216" s="187" t="str">
        <f t="shared" si="64"/>
        <v>D</v>
      </c>
      <c r="P216" s="187">
        <f t="shared" si="65"/>
        <v>1</v>
      </c>
      <c r="Q216" s="187">
        <f>IFERROR(VLOOKUP(E216,Tabela_Deflator:E$43,5,FALSE),1)</f>
        <v>1</v>
      </c>
      <c r="R216" s="188" t="str">
        <f t="shared" si="66"/>
        <v/>
      </c>
      <c r="S216" s="237" t="str">
        <f t="shared" si="56"/>
        <v/>
      </c>
      <c r="T216" s="237" t="str">
        <f t="shared" si="71"/>
        <v/>
      </c>
      <c r="U216" s="189"/>
      <c r="V216" s="167"/>
      <c r="W216" s="165"/>
      <c r="X216" s="164"/>
      <c r="Y216" s="164"/>
      <c r="Z216" s="164"/>
      <c r="AA216" s="174"/>
      <c r="AB216" s="164"/>
      <c r="AC216" s="174"/>
      <c r="AD216" s="184"/>
      <c r="AE216" s="190" t="str">
        <f t="shared" si="67"/>
        <v/>
      </c>
      <c r="AF216" s="190" t="str">
        <f t="shared" si="68"/>
        <v/>
      </c>
      <c r="AG216" s="190" t="str">
        <f t="shared" si="57"/>
        <v>D</v>
      </c>
      <c r="AH216" s="190">
        <f>IFERROR(VLOOKUP(Y216,SISP_Deflatores_e_INMs!B$4:F$49,3,FALSE),1)</f>
        <v>1</v>
      </c>
      <c r="AI216" s="190">
        <f>IFERROR(VLOOKUP(Y216,SISP_Deflatores_e_INMs!B$4:G$49,5,FALSE),1)</f>
        <v>1</v>
      </c>
      <c r="AJ216" s="191" t="str">
        <f t="shared" si="69"/>
        <v/>
      </c>
      <c r="AK216" s="237" t="str">
        <f t="shared" si="58"/>
        <v/>
      </c>
      <c r="AL216" s="237" t="str">
        <f t="shared" si="70"/>
        <v/>
      </c>
      <c r="AM216" s="192" t="e">
        <f t="shared" si="59"/>
        <v>#VALUE!</v>
      </c>
      <c r="AN216" s="193" t="e">
        <f t="shared" si="60"/>
        <v>#VALUE!</v>
      </c>
      <c r="AO216" s="193" t="e">
        <f t="shared" si="61"/>
        <v>#VALUE!</v>
      </c>
      <c r="AP216" s="193"/>
      <c r="AQ216" s="204"/>
      <c r="AR216" s="204"/>
      <c r="AS216" s="204"/>
      <c r="AT216" s="205"/>
      <c r="AU216"/>
    </row>
    <row r="217" spans="2:47" ht="15" customHeight="1" x14ac:dyDescent="0.25">
      <c r="B217" s="206"/>
      <c r="C217" s="185"/>
      <c r="D217" s="164"/>
      <c r="E217" s="174"/>
      <c r="F217" s="164"/>
      <c r="G217" s="174"/>
      <c r="H217" s="164"/>
      <c r="I217" s="174"/>
      <c r="J217" s="184"/>
      <c r="K217" s="186"/>
      <c r="L217" s="187" t="str">
        <f t="shared" si="62"/>
        <v/>
      </c>
      <c r="M217" s="187" t="str">
        <f t="shared" si="63"/>
        <v/>
      </c>
      <c r="N217" s="187" t="str">
        <f t="shared" si="55"/>
        <v>D</v>
      </c>
      <c r="O217" s="187" t="str">
        <f t="shared" si="64"/>
        <v>D</v>
      </c>
      <c r="P217" s="187">
        <f t="shared" si="65"/>
        <v>1</v>
      </c>
      <c r="Q217" s="187">
        <f>IFERROR(VLOOKUP(E217,Tabela_Deflator:E$43,5,FALSE),1)</f>
        <v>1</v>
      </c>
      <c r="R217" s="188" t="str">
        <f t="shared" si="66"/>
        <v/>
      </c>
      <c r="S217" s="237" t="str">
        <f t="shared" si="56"/>
        <v/>
      </c>
      <c r="T217" s="237" t="str">
        <f t="shared" si="71"/>
        <v/>
      </c>
      <c r="U217" s="189"/>
      <c r="V217" s="167"/>
      <c r="W217" s="165"/>
      <c r="X217" s="164"/>
      <c r="Y217" s="164"/>
      <c r="Z217" s="164"/>
      <c r="AA217" s="174"/>
      <c r="AB217" s="164"/>
      <c r="AC217" s="174"/>
      <c r="AD217" s="184"/>
      <c r="AE217" s="190" t="str">
        <f t="shared" si="67"/>
        <v/>
      </c>
      <c r="AF217" s="190" t="str">
        <f t="shared" si="68"/>
        <v/>
      </c>
      <c r="AG217" s="190" t="str">
        <f t="shared" si="57"/>
        <v>D</v>
      </c>
      <c r="AH217" s="190">
        <f>IFERROR(VLOOKUP(Y217,SISP_Deflatores_e_INMs!B$4:F$49,3,FALSE),1)</f>
        <v>1</v>
      </c>
      <c r="AI217" s="190">
        <f>IFERROR(VLOOKUP(Y217,SISP_Deflatores_e_INMs!B$4:G$49,5,FALSE),1)</f>
        <v>1</v>
      </c>
      <c r="AJ217" s="191" t="str">
        <f t="shared" si="69"/>
        <v/>
      </c>
      <c r="AK217" s="237" t="str">
        <f t="shared" si="58"/>
        <v/>
      </c>
      <c r="AL217" s="237" t="str">
        <f t="shared" si="70"/>
        <v/>
      </c>
      <c r="AM217" s="192" t="e">
        <f t="shared" si="59"/>
        <v>#VALUE!</v>
      </c>
      <c r="AN217" s="193" t="e">
        <f t="shared" si="60"/>
        <v>#VALUE!</v>
      </c>
      <c r="AO217" s="193" t="e">
        <f t="shared" si="61"/>
        <v>#VALUE!</v>
      </c>
      <c r="AP217" s="193"/>
      <c r="AQ217" s="204"/>
      <c r="AR217" s="204"/>
      <c r="AS217" s="204"/>
      <c r="AT217" s="205"/>
      <c r="AU217"/>
    </row>
    <row r="218" spans="2:47" ht="15" customHeight="1" x14ac:dyDescent="0.25">
      <c r="B218" s="206"/>
      <c r="C218" s="185"/>
      <c r="D218" s="164"/>
      <c r="E218" s="174"/>
      <c r="F218" s="164"/>
      <c r="G218" s="174"/>
      <c r="H218" s="164"/>
      <c r="I218" s="174"/>
      <c r="J218" s="184"/>
      <c r="K218" s="186"/>
      <c r="L218" s="187" t="str">
        <f t="shared" si="62"/>
        <v/>
      </c>
      <c r="M218" s="187" t="str">
        <f t="shared" si="63"/>
        <v/>
      </c>
      <c r="N218" s="187" t="str">
        <f t="shared" si="55"/>
        <v>D</v>
      </c>
      <c r="O218" s="187" t="str">
        <f t="shared" si="64"/>
        <v>D</v>
      </c>
      <c r="P218" s="187">
        <f t="shared" si="65"/>
        <v>1</v>
      </c>
      <c r="Q218" s="187">
        <f>IFERROR(VLOOKUP(E218,Tabela_Deflator:E$43,5,FALSE),1)</f>
        <v>1</v>
      </c>
      <c r="R218" s="188" t="str">
        <f t="shared" si="66"/>
        <v/>
      </c>
      <c r="S218" s="237" t="str">
        <f t="shared" si="56"/>
        <v/>
      </c>
      <c r="T218" s="237" t="str">
        <f t="shared" si="71"/>
        <v/>
      </c>
      <c r="U218" s="189"/>
      <c r="V218" s="167"/>
      <c r="W218" s="165"/>
      <c r="X218" s="164"/>
      <c r="Y218" s="164"/>
      <c r="Z218" s="164"/>
      <c r="AA218" s="174"/>
      <c r="AB218" s="164"/>
      <c r="AC218" s="174"/>
      <c r="AD218" s="184"/>
      <c r="AE218" s="190" t="str">
        <f t="shared" si="67"/>
        <v/>
      </c>
      <c r="AF218" s="190" t="str">
        <f t="shared" si="68"/>
        <v/>
      </c>
      <c r="AG218" s="190" t="str">
        <f t="shared" si="57"/>
        <v>D</v>
      </c>
      <c r="AH218" s="190">
        <f>IFERROR(VLOOKUP(Y218,SISP_Deflatores_e_INMs!B$4:F$49,3,FALSE),1)</f>
        <v>1</v>
      </c>
      <c r="AI218" s="190">
        <f>IFERROR(VLOOKUP(Y218,SISP_Deflatores_e_INMs!B$4:G$49,5,FALSE),1)</f>
        <v>1</v>
      </c>
      <c r="AJ218" s="191" t="str">
        <f t="shared" si="69"/>
        <v/>
      </c>
      <c r="AK218" s="237" t="str">
        <f t="shared" si="58"/>
        <v/>
      </c>
      <c r="AL218" s="237" t="str">
        <f t="shared" si="70"/>
        <v/>
      </c>
      <c r="AM218" s="192" t="e">
        <f t="shared" si="59"/>
        <v>#VALUE!</v>
      </c>
      <c r="AN218" s="193" t="e">
        <f t="shared" si="60"/>
        <v>#VALUE!</v>
      </c>
      <c r="AO218" s="193" t="e">
        <f t="shared" si="61"/>
        <v>#VALUE!</v>
      </c>
      <c r="AP218" s="193"/>
      <c r="AQ218" s="204"/>
      <c r="AR218" s="204"/>
      <c r="AS218" s="204"/>
      <c r="AT218" s="205"/>
      <c r="AU218"/>
    </row>
    <row r="219" spans="2:47" ht="15" customHeight="1" x14ac:dyDescent="0.25">
      <c r="B219" s="206"/>
      <c r="C219" s="185"/>
      <c r="D219" s="164"/>
      <c r="E219" s="174"/>
      <c r="F219" s="164"/>
      <c r="G219" s="174"/>
      <c r="H219" s="164"/>
      <c r="I219" s="174"/>
      <c r="J219" s="184"/>
      <c r="K219" s="186"/>
      <c r="L219" s="187" t="str">
        <f t="shared" si="62"/>
        <v/>
      </c>
      <c r="M219" s="187" t="str">
        <f t="shared" si="63"/>
        <v/>
      </c>
      <c r="N219" s="187" t="str">
        <f t="shared" si="55"/>
        <v>D</v>
      </c>
      <c r="O219" s="187" t="str">
        <f t="shared" si="64"/>
        <v>D</v>
      </c>
      <c r="P219" s="187">
        <f t="shared" si="65"/>
        <v>1</v>
      </c>
      <c r="Q219" s="187">
        <f>IFERROR(VLOOKUP(E219,Tabela_Deflator:E$43,5,FALSE),1)</f>
        <v>1</v>
      </c>
      <c r="R219" s="188" t="str">
        <f t="shared" si="66"/>
        <v/>
      </c>
      <c r="S219" s="237" t="str">
        <f t="shared" si="56"/>
        <v/>
      </c>
      <c r="T219" s="237" t="str">
        <f t="shared" si="71"/>
        <v/>
      </c>
      <c r="U219" s="189"/>
      <c r="V219" s="167"/>
      <c r="W219" s="165"/>
      <c r="X219" s="164"/>
      <c r="Y219" s="164"/>
      <c r="Z219" s="164"/>
      <c r="AA219" s="174"/>
      <c r="AB219" s="164"/>
      <c r="AC219" s="174"/>
      <c r="AD219" s="184"/>
      <c r="AE219" s="190" t="str">
        <f t="shared" si="67"/>
        <v/>
      </c>
      <c r="AF219" s="190" t="str">
        <f t="shared" si="68"/>
        <v/>
      </c>
      <c r="AG219" s="190" t="str">
        <f t="shared" si="57"/>
        <v>D</v>
      </c>
      <c r="AH219" s="190">
        <f>IFERROR(VLOOKUP(Y219,SISP_Deflatores_e_INMs!B$4:F$49,3,FALSE),1)</f>
        <v>1</v>
      </c>
      <c r="AI219" s="190">
        <f>IFERROR(VLOOKUP(Y219,SISP_Deflatores_e_INMs!B$4:G$49,5,FALSE),1)</f>
        <v>1</v>
      </c>
      <c r="AJ219" s="191" t="str">
        <f t="shared" si="69"/>
        <v/>
      </c>
      <c r="AK219" s="237" t="str">
        <f t="shared" si="58"/>
        <v/>
      </c>
      <c r="AL219" s="237" t="str">
        <f t="shared" si="70"/>
        <v/>
      </c>
      <c r="AM219" s="192" t="e">
        <f t="shared" si="59"/>
        <v>#VALUE!</v>
      </c>
      <c r="AN219" s="193" t="e">
        <f t="shared" si="60"/>
        <v>#VALUE!</v>
      </c>
      <c r="AO219" s="193" t="e">
        <f t="shared" si="61"/>
        <v>#VALUE!</v>
      </c>
      <c r="AP219" s="193"/>
      <c r="AQ219" s="204"/>
      <c r="AR219" s="204"/>
      <c r="AS219" s="204"/>
      <c r="AT219" s="205"/>
      <c r="AU219"/>
    </row>
    <row r="220" spans="2:47" ht="15" customHeight="1" x14ac:dyDescent="0.25">
      <c r="B220" s="206"/>
      <c r="C220" s="185"/>
      <c r="D220" s="164"/>
      <c r="E220" s="174"/>
      <c r="F220" s="164"/>
      <c r="G220" s="174"/>
      <c r="H220" s="164"/>
      <c r="I220" s="174"/>
      <c r="J220" s="184"/>
      <c r="K220" s="186"/>
      <c r="L220" s="187" t="str">
        <f t="shared" si="62"/>
        <v/>
      </c>
      <c r="M220" s="187" t="str">
        <f t="shared" si="63"/>
        <v/>
      </c>
      <c r="N220" s="187" t="str">
        <f t="shared" si="55"/>
        <v>D</v>
      </c>
      <c r="O220" s="187" t="str">
        <f t="shared" si="64"/>
        <v>D</v>
      </c>
      <c r="P220" s="187">
        <f t="shared" si="65"/>
        <v>1</v>
      </c>
      <c r="Q220" s="187">
        <f>IFERROR(VLOOKUP(E220,Tabela_Deflator:E$43,5,FALSE),1)</f>
        <v>1</v>
      </c>
      <c r="R220" s="188" t="str">
        <f t="shared" si="66"/>
        <v/>
      </c>
      <c r="S220" s="237" t="str">
        <f t="shared" si="56"/>
        <v/>
      </c>
      <c r="T220" s="237" t="str">
        <f t="shared" si="71"/>
        <v/>
      </c>
      <c r="U220" s="189"/>
      <c r="V220" s="167"/>
      <c r="W220" s="165"/>
      <c r="X220" s="164"/>
      <c r="Y220" s="164"/>
      <c r="Z220" s="164"/>
      <c r="AA220" s="174"/>
      <c r="AB220" s="164"/>
      <c r="AC220" s="174"/>
      <c r="AD220" s="184"/>
      <c r="AE220" s="190" t="str">
        <f t="shared" si="67"/>
        <v/>
      </c>
      <c r="AF220" s="190" t="str">
        <f t="shared" si="68"/>
        <v/>
      </c>
      <c r="AG220" s="190" t="str">
        <f t="shared" si="57"/>
        <v>D</v>
      </c>
      <c r="AH220" s="190">
        <f>IFERROR(VLOOKUP(Y220,SISP_Deflatores_e_INMs!B$4:F$49,3,FALSE),1)</f>
        <v>1</v>
      </c>
      <c r="AI220" s="190">
        <f>IFERROR(VLOOKUP(Y220,SISP_Deflatores_e_INMs!B$4:G$49,5,FALSE),1)</f>
        <v>1</v>
      </c>
      <c r="AJ220" s="191" t="str">
        <f t="shared" si="69"/>
        <v/>
      </c>
      <c r="AK220" s="237" t="str">
        <f t="shared" si="58"/>
        <v/>
      </c>
      <c r="AL220" s="237" t="str">
        <f t="shared" si="70"/>
        <v/>
      </c>
      <c r="AM220" s="192" t="e">
        <f t="shared" si="59"/>
        <v>#VALUE!</v>
      </c>
      <c r="AN220" s="193" t="e">
        <f t="shared" si="60"/>
        <v>#VALUE!</v>
      </c>
      <c r="AO220" s="193" t="e">
        <f t="shared" si="61"/>
        <v>#VALUE!</v>
      </c>
      <c r="AP220" s="193"/>
      <c r="AQ220" s="204"/>
      <c r="AR220" s="204"/>
      <c r="AS220" s="204"/>
      <c r="AT220" s="205"/>
      <c r="AU220"/>
    </row>
    <row r="221" spans="2:47" ht="15" customHeight="1" x14ac:dyDescent="0.25">
      <c r="B221" s="206"/>
      <c r="C221" s="185"/>
      <c r="D221" s="164"/>
      <c r="E221" s="174"/>
      <c r="F221" s="164"/>
      <c r="G221" s="174"/>
      <c r="H221" s="164"/>
      <c r="I221" s="174"/>
      <c r="J221" s="184"/>
      <c r="K221" s="186"/>
      <c r="L221" s="187" t="str">
        <f t="shared" si="62"/>
        <v/>
      </c>
      <c r="M221" s="187" t="str">
        <f t="shared" si="63"/>
        <v/>
      </c>
      <c r="N221" s="187" t="str">
        <f t="shared" si="55"/>
        <v>D</v>
      </c>
      <c r="O221" s="187" t="str">
        <f t="shared" si="64"/>
        <v>D</v>
      </c>
      <c r="P221" s="187">
        <f t="shared" si="65"/>
        <v>1</v>
      </c>
      <c r="Q221" s="187">
        <f>IFERROR(VLOOKUP(E221,Tabela_Deflator:E$43,5,FALSE),1)</f>
        <v>1</v>
      </c>
      <c r="R221" s="188" t="str">
        <f t="shared" si="66"/>
        <v/>
      </c>
      <c r="S221" s="237" t="str">
        <f t="shared" si="56"/>
        <v/>
      </c>
      <c r="T221" s="237" t="str">
        <f t="shared" si="71"/>
        <v/>
      </c>
      <c r="U221" s="189"/>
      <c r="V221" s="167"/>
      <c r="W221" s="165"/>
      <c r="X221" s="164"/>
      <c r="Y221" s="164"/>
      <c r="Z221" s="164"/>
      <c r="AA221" s="174"/>
      <c r="AB221" s="164"/>
      <c r="AC221" s="174"/>
      <c r="AD221" s="184"/>
      <c r="AE221" s="190" t="str">
        <f t="shared" si="67"/>
        <v/>
      </c>
      <c r="AF221" s="190" t="str">
        <f t="shared" si="68"/>
        <v/>
      </c>
      <c r="AG221" s="190" t="str">
        <f t="shared" si="57"/>
        <v>D</v>
      </c>
      <c r="AH221" s="190">
        <f>IFERROR(VLOOKUP(Y221,SISP_Deflatores_e_INMs!B$4:F$49,3,FALSE),1)</f>
        <v>1</v>
      </c>
      <c r="AI221" s="190">
        <f>IFERROR(VLOOKUP(Y221,SISP_Deflatores_e_INMs!B$4:G$49,5,FALSE),1)</f>
        <v>1</v>
      </c>
      <c r="AJ221" s="191" t="str">
        <f t="shared" si="69"/>
        <v/>
      </c>
      <c r="AK221" s="237" t="str">
        <f t="shared" si="58"/>
        <v/>
      </c>
      <c r="AL221" s="237" t="str">
        <f t="shared" si="70"/>
        <v/>
      </c>
      <c r="AM221" s="192" t="e">
        <f t="shared" si="59"/>
        <v>#VALUE!</v>
      </c>
      <c r="AN221" s="193" t="e">
        <f t="shared" si="60"/>
        <v>#VALUE!</v>
      </c>
      <c r="AO221" s="193" t="e">
        <f t="shared" si="61"/>
        <v>#VALUE!</v>
      </c>
      <c r="AP221" s="193"/>
      <c r="AQ221" s="204"/>
      <c r="AR221" s="204"/>
      <c r="AS221" s="204"/>
      <c r="AT221" s="205"/>
      <c r="AU221"/>
    </row>
    <row r="222" spans="2:47" ht="15" customHeight="1" x14ac:dyDescent="0.25">
      <c r="B222" s="206"/>
      <c r="C222" s="185"/>
      <c r="D222" s="164"/>
      <c r="E222" s="174"/>
      <c r="F222" s="164"/>
      <c r="G222" s="174"/>
      <c r="H222" s="164"/>
      <c r="I222" s="174"/>
      <c r="J222" s="184"/>
      <c r="K222" s="186"/>
      <c r="L222" s="187" t="str">
        <f t="shared" si="62"/>
        <v/>
      </c>
      <c r="M222" s="187" t="str">
        <f t="shared" si="63"/>
        <v/>
      </c>
      <c r="N222" s="187" t="str">
        <f t="shared" si="55"/>
        <v>D</v>
      </c>
      <c r="O222" s="187" t="str">
        <f t="shared" si="64"/>
        <v>D</v>
      </c>
      <c r="P222" s="187">
        <f t="shared" si="65"/>
        <v>1</v>
      </c>
      <c r="Q222" s="187">
        <f>IFERROR(VLOOKUP(E222,Tabela_Deflator:E$43,5,FALSE),1)</f>
        <v>1</v>
      </c>
      <c r="R222" s="188" t="str">
        <f t="shared" si="66"/>
        <v/>
      </c>
      <c r="S222" s="237" t="str">
        <f t="shared" si="56"/>
        <v/>
      </c>
      <c r="T222" s="237" t="str">
        <f t="shared" si="71"/>
        <v/>
      </c>
      <c r="U222" s="189"/>
      <c r="V222" s="167"/>
      <c r="W222" s="165"/>
      <c r="X222" s="164"/>
      <c r="Y222" s="164"/>
      <c r="Z222" s="164"/>
      <c r="AA222" s="174"/>
      <c r="AB222" s="164"/>
      <c r="AC222" s="174"/>
      <c r="AD222" s="184"/>
      <c r="AE222" s="190" t="str">
        <f t="shared" si="67"/>
        <v/>
      </c>
      <c r="AF222" s="190" t="str">
        <f t="shared" si="68"/>
        <v/>
      </c>
      <c r="AG222" s="190" t="str">
        <f t="shared" si="57"/>
        <v>D</v>
      </c>
      <c r="AH222" s="190">
        <f>IFERROR(VLOOKUP(Y222,SISP_Deflatores_e_INMs!B$4:F$49,3,FALSE),1)</f>
        <v>1</v>
      </c>
      <c r="AI222" s="190">
        <f>IFERROR(VLOOKUP(Y222,SISP_Deflatores_e_INMs!B$4:G$49,5,FALSE),1)</f>
        <v>1</v>
      </c>
      <c r="AJ222" s="191" t="str">
        <f t="shared" si="69"/>
        <v/>
      </c>
      <c r="AK222" s="237" t="str">
        <f t="shared" si="58"/>
        <v/>
      </c>
      <c r="AL222" s="237" t="str">
        <f t="shared" si="70"/>
        <v/>
      </c>
      <c r="AM222" s="192" t="e">
        <f t="shared" si="59"/>
        <v>#VALUE!</v>
      </c>
      <c r="AN222" s="193" t="e">
        <f t="shared" si="60"/>
        <v>#VALUE!</v>
      </c>
      <c r="AO222" s="193" t="e">
        <f t="shared" si="61"/>
        <v>#VALUE!</v>
      </c>
      <c r="AP222" s="193"/>
      <c r="AQ222" s="204"/>
      <c r="AR222" s="204"/>
      <c r="AS222" s="204"/>
      <c r="AT222" s="205"/>
      <c r="AU222"/>
    </row>
    <row r="223" spans="2:47" ht="15" customHeight="1" x14ac:dyDescent="0.25">
      <c r="B223" s="206"/>
      <c r="C223" s="185"/>
      <c r="D223" s="164"/>
      <c r="E223" s="174"/>
      <c r="F223" s="164"/>
      <c r="G223" s="174"/>
      <c r="H223" s="164"/>
      <c r="I223" s="174"/>
      <c r="J223" s="184"/>
      <c r="K223" s="186"/>
      <c r="L223" s="187" t="str">
        <f t="shared" si="62"/>
        <v/>
      </c>
      <c r="M223" s="187" t="str">
        <f t="shared" si="63"/>
        <v/>
      </c>
      <c r="N223" s="187" t="str">
        <f t="shared" si="55"/>
        <v>D</v>
      </c>
      <c r="O223" s="187" t="str">
        <f t="shared" si="64"/>
        <v>D</v>
      </c>
      <c r="P223" s="187">
        <f t="shared" si="65"/>
        <v>1</v>
      </c>
      <c r="Q223" s="187">
        <f>IFERROR(VLOOKUP(E223,Tabela_Deflator:E$43,5,FALSE),1)</f>
        <v>1</v>
      </c>
      <c r="R223" s="188" t="str">
        <f t="shared" si="66"/>
        <v/>
      </c>
      <c r="S223" s="237" t="str">
        <f t="shared" si="56"/>
        <v/>
      </c>
      <c r="T223" s="237" t="str">
        <f t="shared" si="71"/>
        <v/>
      </c>
      <c r="U223" s="189"/>
      <c r="V223" s="167"/>
      <c r="W223" s="165"/>
      <c r="X223" s="164"/>
      <c r="Y223" s="164"/>
      <c r="Z223" s="164"/>
      <c r="AA223" s="174"/>
      <c r="AB223" s="164"/>
      <c r="AC223" s="174"/>
      <c r="AD223" s="184"/>
      <c r="AE223" s="190" t="str">
        <f t="shared" si="67"/>
        <v/>
      </c>
      <c r="AF223" s="190" t="str">
        <f t="shared" si="68"/>
        <v/>
      </c>
      <c r="AG223" s="190" t="str">
        <f t="shared" si="57"/>
        <v>D</v>
      </c>
      <c r="AH223" s="190">
        <f>IFERROR(VLOOKUP(Y223,SISP_Deflatores_e_INMs!B$4:F$49,3,FALSE),1)</f>
        <v>1</v>
      </c>
      <c r="AI223" s="190">
        <f>IFERROR(VLOOKUP(Y223,SISP_Deflatores_e_INMs!B$4:G$49,5,FALSE),1)</f>
        <v>1</v>
      </c>
      <c r="AJ223" s="191" t="str">
        <f t="shared" si="69"/>
        <v/>
      </c>
      <c r="AK223" s="237" t="str">
        <f t="shared" si="58"/>
        <v/>
      </c>
      <c r="AL223" s="237" t="str">
        <f t="shared" si="70"/>
        <v/>
      </c>
      <c r="AM223" s="192" t="e">
        <f t="shared" si="59"/>
        <v>#VALUE!</v>
      </c>
      <c r="AN223" s="193" t="e">
        <f t="shared" si="60"/>
        <v>#VALUE!</v>
      </c>
      <c r="AO223" s="193" t="e">
        <f t="shared" si="61"/>
        <v>#VALUE!</v>
      </c>
      <c r="AP223" s="193"/>
      <c r="AQ223" s="204"/>
      <c r="AR223" s="204"/>
      <c r="AS223" s="204"/>
      <c r="AT223" s="205"/>
      <c r="AU223"/>
    </row>
    <row r="224" spans="2:47" ht="15" customHeight="1" x14ac:dyDescent="0.25">
      <c r="B224" s="206"/>
      <c r="C224" s="185"/>
      <c r="D224" s="164"/>
      <c r="E224" s="174"/>
      <c r="F224" s="164"/>
      <c r="G224" s="174"/>
      <c r="H224" s="164"/>
      <c r="I224" s="174"/>
      <c r="J224" s="184"/>
      <c r="K224" s="186"/>
      <c r="L224" s="187" t="str">
        <f t="shared" si="62"/>
        <v/>
      </c>
      <c r="M224" s="187" t="str">
        <f t="shared" si="63"/>
        <v/>
      </c>
      <c r="N224" s="187" t="str">
        <f t="shared" si="55"/>
        <v>D</v>
      </c>
      <c r="O224" s="187" t="str">
        <f t="shared" si="64"/>
        <v>D</v>
      </c>
      <c r="P224" s="187">
        <f t="shared" si="65"/>
        <v>1</v>
      </c>
      <c r="Q224" s="187">
        <f>IFERROR(VLOOKUP(E224,Tabela_Deflator:E$43,5,FALSE),1)</f>
        <v>1</v>
      </c>
      <c r="R224" s="188" t="str">
        <f t="shared" si="66"/>
        <v/>
      </c>
      <c r="S224" s="237" t="str">
        <f t="shared" si="56"/>
        <v/>
      </c>
      <c r="T224" s="237" t="str">
        <f t="shared" si="71"/>
        <v/>
      </c>
      <c r="U224" s="189"/>
      <c r="V224" s="167"/>
      <c r="W224" s="165"/>
      <c r="X224" s="164"/>
      <c r="Y224" s="164"/>
      <c r="Z224" s="164"/>
      <c r="AA224" s="174"/>
      <c r="AB224" s="164"/>
      <c r="AC224" s="174"/>
      <c r="AD224" s="184"/>
      <c r="AE224" s="190" t="str">
        <f t="shared" si="67"/>
        <v/>
      </c>
      <c r="AF224" s="190" t="str">
        <f t="shared" si="68"/>
        <v/>
      </c>
      <c r="AG224" s="190" t="str">
        <f t="shared" si="57"/>
        <v>D</v>
      </c>
      <c r="AH224" s="190">
        <f>IFERROR(VLOOKUP(Y224,SISP_Deflatores_e_INMs!B$4:F$49,3,FALSE),1)</f>
        <v>1</v>
      </c>
      <c r="AI224" s="190">
        <f>IFERROR(VLOOKUP(Y224,SISP_Deflatores_e_INMs!B$4:G$49,5,FALSE),1)</f>
        <v>1</v>
      </c>
      <c r="AJ224" s="191" t="str">
        <f t="shared" si="69"/>
        <v/>
      </c>
      <c r="AK224" s="237" t="str">
        <f t="shared" si="58"/>
        <v/>
      </c>
      <c r="AL224" s="237" t="str">
        <f t="shared" si="70"/>
        <v/>
      </c>
      <c r="AM224" s="192" t="e">
        <f t="shared" si="59"/>
        <v>#VALUE!</v>
      </c>
      <c r="AN224" s="193" t="e">
        <f t="shared" si="60"/>
        <v>#VALUE!</v>
      </c>
      <c r="AO224" s="193" t="e">
        <f t="shared" si="61"/>
        <v>#VALUE!</v>
      </c>
      <c r="AP224" s="193"/>
      <c r="AQ224" s="204"/>
      <c r="AR224" s="204"/>
      <c r="AS224" s="204"/>
      <c r="AT224" s="205"/>
      <c r="AU224"/>
    </row>
    <row r="225" spans="2:47" ht="15" customHeight="1" x14ac:dyDescent="0.25">
      <c r="B225" s="206"/>
      <c r="C225" s="185"/>
      <c r="D225" s="164"/>
      <c r="E225" s="174"/>
      <c r="F225" s="164"/>
      <c r="G225" s="174"/>
      <c r="H225" s="164"/>
      <c r="I225" s="174"/>
      <c r="J225" s="184"/>
      <c r="K225" s="186"/>
      <c r="L225" s="187" t="str">
        <f t="shared" si="62"/>
        <v/>
      </c>
      <c r="M225" s="187" t="str">
        <f t="shared" si="63"/>
        <v/>
      </c>
      <c r="N225" s="187" t="str">
        <f t="shared" si="55"/>
        <v>D</v>
      </c>
      <c r="O225" s="187" t="str">
        <f t="shared" si="64"/>
        <v>D</v>
      </c>
      <c r="P225" s="187">
        <f t="shared" si="65"/>
        <v>1</v>
      </c>
      <c r="Q225" s="187">
        <f>IFERROR(VLOOKUP(E225,Tabela_Deflator:E$43,5,FALSE),1)</f>
        <v>1</v>
      </c>
      <c r="R225" s="188" t="str">
        <f t="shared" si="66"/>
        <v/>
      </c>
      <c r="S225" s="237" t="str">
        <f t="shared" si="56"/>
        <v/>
      </c>
      <c r="T225" s="237" t="str">
        <f t="shared" si="71"/>
        <v/>
      </c>
      <c r="U225" s="189"/>
      <c r="V225" s="167"/>
      <c r="W225" s="165"/>
      <c r="X225" s="164"/>
      <c r="Y225" s="164"/>
      <c r="Z225" s="164"/>
      <c r="AA225" s="174"/>
      <c r="AB225" s="164"/>
      <c r="AC225" s="174"/>
      <c r="AD225" s="184"/>
      <c r="AE225" s="190" t="str">
        <f t="shared" si="67"/>
        <v/>
      </c>
      <c r="AF225" s="190" t="str">
        <f t="shared" si="68"/>
        <v/>
      </c>
      <c r="AG225" s="190" t="str">
        <f t="shared" si="57"/>
        <v>D</v>
      </c>
      <c r="AH225" s="190">
        <f>IFERROR(VLOOKUP(Y225,SISP_Deflatores_e_INMs!B$4:F$49,3,FALSE),1)</f>
        <v>1</v>
      </c>
      <c r="AI225" s="190">
        <f>IFERROR(VLOOKUP(Y225,SISP_Deflatores_e_INMs!B$4:G$49,5,FALSE),1)</f>
        <v>1</v>
      </c>
      <c r="AJ225" s="191" t="str">
        <f t="shared" si="69"/>
        <v/>
      </c>
      <c r="AK225" s="237" t="str">
        <f t="shared" si="58"/>
        <v/>
      </c>
      <c r="AL225" s="237" t="str">
        <f t="shared" si="70"/>
        <v/>
      </c>
      <c r="AM225" s="192" t="e">
        <f t="shared" si="59"/>
        <v>#VALUE!</v>
      </c>
      <c r="AN225" s="193" t="e">
        <f t="shared" si="60"/>
        <v>#VALUE!</v>
      </c>
      <c r="AO225" s="193" t="e">
        <f t="shared" si="61"/>
        <v>#VALUE!</v>
      </c>
      <c r="AP225" s="193"/>
      <c r="AQ225" s="204"/>
      <c r="AR225" s="204"/>
      <c r="AS225" s="204"/>
      <c r="AT225" s="205"/>
      <c r="AU225"/>
    </row>
    <row r="226" spans="2:47" ht="15" customHeight="1" x14ac:dyDescent="0.25">
      <c r="B226" s="206"/>
      <c r="C226" s="185"/>
      <c r="D226" s="164"/>
      <c r="E226" s="174"/>
      <c r="F226" s="164"/>
      <c r="G226" s="174"/>
      <c r="H226" s="164"/>
      <c r="I226" s="174"/>
      <c r="J226" s="184"/>
      <c r="K226" s="186"/>
      <c r="L226" s="187" t="str">
        <f t="shared" si="62"/>
        <v/>
      </c>
      <c r="M226" s="187" t="str">
        <f t="shared" si="63"/>
        <v/>
      </c>
      <c r="N226" s="187" t="str">
        <f t="shared" si="55"/>
        <v>D</v>
      </c>
      <c r="O226" s="187" t="str">
        <f t="shared" si="64"/>
        <v>D</v>
      </c>
      <c r="P226" s="187">
        <f t="shared" si="65"/>
        <v>1</v>
      </c>
      <c r="Q226" s="187">
        <f>IFERROR(VLOOKUP(E226,Tabela_Deflator:E$43,5,FALSE),1)</f>
        <v>1</v>
      </c>
      <c r="R226" s="188" t="str">
        <f t="shared" si="66"/>
        <v/>
      </c>
      <c r="S226" s="237" t="str">
        <f t="shared" si="56"/>
        <v/>
      </c>
      <c r="T226" s="237" t="str">
        <f t="shared" si="71"/>
        <v/>
      </c>
      <c r="U226" s="189"/>
      <c r="V226" s="167"/>
      <c r="W226" s="165"/>
      <c r="X226" s="164"/>
      <c r="Y226" s="164"/>
      <c r="Z226" s="164"/>
      <c r="AA226" s="174"/>
      <c r="AB226" s="164"/>
      <c r="AC226" s="174"/>
      <c r="AD226" s="184"/>
      <c r="AE226" s="190" t="str">
        <f t="shared" si="67"/>
        <v/>
      </c>
      <c r="AF226" s="190" t="str">
        <f t="shared" si="68"/>
        <v/>
      </c>
      <c r="AG226" s="190" t="str">
        <f t="shared" si="57"/>
        <v>D</v>
      </c>
      <c r="AH226" s="190">
        <f>IFERROR(VLOOKUP(Y226,SISP_Deflatores_e_INMs!B$4:F$49,3,FALSE),1)</f>
        <v>1</v>
      </c>
      <c r="AI226" s="190">
        <f>IFERROR(VLOOKUP(Y226,SISP_Deflatores_e_INMs!B$4:G$49,5,FALSE),1)</f>
        <v>1</v>
      </c>
      <c r="AJ226" s="191" t="str">
        <f t="shared" si="69"/>
        <v/>
      </c>
      <c r="AK226" s="237" t="str">
        <f t="shared" si="58"/>
        <v/>
      </c>
      <c r="AL226" s="237" t="str">
        <f t="shared" si="70"/>
        <v/>
      </c>
      <c r="AM226" s="192" t="e">
        <f t="shared" si="59"/>
        <v>#VALUE!</v>
      </c>
      <c r="AN226" s="193" t="e">
        <f t="shared" si="60"/>
        <v>#VALUE!</v>
      </c>
      <c r="AO226" s="193" t="e">
        <f t="shared" si="61"/>
        <v>#VALUE!</v>
      </c>
      <c r="AP226" s="193"/>
      <c r="AQ226" s="204"/>
      <c r="AR226" s="204"/>
      <c r="AS226" s="204"/>
      <c r="AT226" s="205"/>
      <c r="AU226"/>
    </row>
    <row r="227" spans="2:47" ht="15" customHeight="1" x14ac:dyDescent="0.25">
      <c r="B227" s="206"/>
      <c r="C227" s="185"/>
      <c r="D227" s="164"/>
      <c r="E227" s="174"/>
      <c r="F227" s="164"/>
      <c r="G227" s="174"/>
      <c r="H227" s="164"/>
      <c r="I227" s="174"/>
      <c r="J227" s="184"/>
      <c r="K227" s="186"/>
      <c r="L227" s="187" t="str">
        <f t="shared" si="62"/>
        <v/>
      </c>
      <c r="M227" s="187" t="str">
        <f t="shared" si="63"/>
        <v/>
      </c>
      <c r="N227" s="187" t="str">
        <f t="shared" si="55"/>
        <v>D</v>
      </c>
      <c r="O227" s="187" t="str">
        <f t="shared" si="64"/>
        <v>D</v>
      </c>
      <c r="P227" s="187">
        <f t="shared" si="65"/>
        <v>1</v>
      </c>
      <c r="Q227" s="187">
        <f>IFERROR(VLOOKUP(E227,Tabela_Deflator:E$43,5,FALSE),1)</f>
        <v>1</v>
      </c>
      <c r="R227" s="188" t="str">
        <f t="shared" si="66"/>
        <v/>
      </c>
      <c r="S227" s="237" t="str">
        <f t="shared" si="56"/>
        <v/>
      </c>
      <c r="T227" s="237" t="str">
        <f t="shared" si="71"/>
        <v/>
      </c>
      <c r="U227" s="189"/>
      <c r="V227" s="167"/>
      <c r="W227" s="165"/>
      <c r="X227" s="164"/>
      <c r="Y227" s="164"/>
      <c r="Z227" s="164"/>
      <c r="AA227" s="174"/>
      <c r="AB227" s="164"/>
      <c r="AC227" s="174"/>
      <c r="AD227" s="184"/>
      <c r="AE227" s="190" t="str">
        <f t="shared" si="67"/>
        <v/>
      </c>
      <c r="AF227" s="190" t="str">
        <f t="shared" si="68"/>
        <v/>
      </c>
      <c r="AG227" s="190" t="str">
        <f t="shared" si="57"/>
        <v>D</v>
      </c>
      <c r="AH227" s="190">
        <f>IFERROR(VLOOKUP(Y227,SISP_Deflatores_e_INMs!B$4:F$49,3,FALSE),1)</f>
        <v>1</v>
      </c>
      <c r="AI227" s="190">
        <f>IFERROR(VLOOKUP(Y227,SISP_Deflatores_e_INMs!B$4:G$49,5,FALSE),1)</f>
        <v>1</v>
      </c>
      <c r="AJ227" s="191" t="str">
        <f t="shared" si="69"/>
        <v/>
      </c>
      <c r="AK227" s="237" t="str">
        <f t="shared" si="58"/>
        <v/>
      </c>
      <c r="AL227" s="237" t="str">
        <f t="shared" si="70"/>
        <v/>
      </c>
      <c r="AM227" s="192" t="e">
        <f t="shared" si="59"/>
        <v>#VALUE!</v>
      </c>
      <c r="AN227" s="193" t="e">
        <f t="shared" si="60"/>
        <v>#VALUE!</v>
      </c>
      <c r="AO227" s="193" t="e">
        <f t="shared" si="61"/>
        <v>#VALUE!</v>
      </c>
      <c r="AP227" s="193"/>
      <c r="AQ227" s="204"/>
      <c r="AR227" s="204"/>
      <c r="AS227" s="204"/>
      <c r="AT227" s="205"/>
      <c r="AU227"/>
    </row>
    <row r="228" spans="2:47" ht="15" customHeight="1" x14ac:dyDescent="0.25">
      <c r="B228" s="206"/>
      <c r="C228" s="185"/>
      <c r="D228" s="164"/>
      <c r="E228" s="174"/>
      <c r="F228" s="164"/>
      <c r="G228" s="174"/>
      <c r="H228" s="164"/>
      <c r="I228" s="174"/>
      <c r="J228" s="184"/>
      <c r="K228" s="186"/>
      <c r="L228" s="187" t="str">
        <f t="shared" si="62"/>
        <v/>
      </c>
      <c r="M228" s="187" t="str">
        <f t="shared" si="63"/>
        <v/>
      </c>
      <c r="N228" s="187" t="str">
        <f t="shared" si="55"/>
        <v>D</v>
      </c>
      <c r="O228" s="187" t="str">
        <f t="shared" si="64"/>
        <v>D</v>
      </c>
      <c r="P228" s="187">
        <f t="shared" si="65"/>
        <v>1</v>
      </c>
      <c r="Q228" s="187">
        <f>IFERROR(VLOOKUP(E228,Tabela_Deflator:E$43,5,FALSE),1)</f>
        <v>1</v>
      </c>
      <c r="R228" s="188" t="str">
        <f t="shared" si="66"/>
        <v/>
      </c>
      <c r="S228" s="237" t="str">
        <f t="shared" si="56"/>
        <v/>
      </c>
      <c r="T228" s="237" t="str">
        <f t="shared" si="71"/>
        <v/>
      </c>
      <c r="U228" s="189"/>
      <c r="V228" s="167"/>
      <c r="W228" s="165"/>
      <c r="X228" s="164"/>
      <c r="Y228" s="164"/>
      <c r="Z228" s="164"/>
      <c r="AA228" s="174"/>
      <c r="AB228" s="164"/>
      <c r="AC228" s="174"/>
      <c r="AD228" s="184"/>
      <c r="AE228" s="190" t="str">
        <f t="shared" si="67"/>
        <v/>
      </c>
      <c r="AF228" s="190" t="str">
        <f t="shared" si="68"/>
        <v/>
      </c>
      <c r="AG228" s="190" t="str">
        <f t="shared" si="57"/>
        <v>D</v>
      </c>
      <c r="AH228" s="190">
        <f>IFERROR(VLOOKUP(Y228,SISP_Deflatores_e_INMs!B$4:F$49,3,FALSE),1)</f>
        <v>1</v>
      </c>
      <c r="AI228" s="190">
        <f>IFERROR(VLOOKUP(Y228,SISP_Deflatores_e_INMs!B$4:G$49,5,FALSE),1)</f>
        <v>1</v>
      </c>
      <c r="AJ228" s="191" t="str">
        <f t="shared" si="69"/>
        <v/>
      </c>
      <c r="AK228" s="237" t="str">
        <f t="shared" si="58"/>
        <v/>
      </c>
      <c r="AL228" s="237" t="str">
        <f t="shared" si="70"/>
        <v/>
      </c>
      <c r="AM228" s="192" t="e">
        <f t="shared" si="59"/>
        <v>#VALUE!</v>
      </c>
      <c r="AN228" s="193" t="e">
        <f t="shared" si="60"/>
        <v>#VALUE!</v>
      </c>
      <c r="AO228" s="193" t="e">
        <f t="shared" si="61"/>
        <v>#VALUE!</v>
      </c>
      <c r="AP228" s="193"/>
      <c r="AQ228" s="204"/>
      <c r="AR228" s="204"/>
      <c r="AS228" s="204"/>
      <c r="AT228" s="205"/>
      <c r="AU228"/>
    </row>
    <row r="229" spans="2:47" ht="15" customHeight="1" x14ac:dyDescent="0.25">
      <c r="B229" s="206"/>
      <c r="C229" s="185"/>
      <c r="D229" s="164"/>
      <c r="E229" s="174"/>
      <c r="F229" s="164"/>
      <c r="G229" s="174"/>
      <c r="H229" s="164"/>
      <c r="I229" s="174"/>
      <c r="J229" s="184"/>
      <c r="K229" s="186"/>
      <c r="L229" s="187" t="str">
        <f t="shared" si="62"/>
        <v/>
      </c>
      <c r="M229" s="187" t="str">
        <f t="shared" si="63"/>
        <v/>
      </c>
      <c r="N229" s="187" t="str">
        <f t="shared" si="55"/>
        <v>D</v>
      </c>
      <c r="O229" s="187" t="str">
        <f t="shared" si="64"/>
        <v>D</v>
      </c>
      <c r="P229" s="187">
        <f t="shared" si="65"/>
        <v>1</v>
      </c>
      <c r="Q229" s="187">
        <f>IFERROR(VLOOKUP(E229,Tabela_Deflator:E$43,5,FALSE),1)</f>
        <v>1</v>
      </c>
      <c r="R229" s="188" t="str">
        <f t="shared" si="66"/>
        <v/>
      </c>
      <c r="S229" s="237" t="str">
        <f t="shared" si="56"/>
        <v/>
      </c>
      <c r="T229" s="237" t="str">
        <f t="shared" si="71"/>
        <v/>
      </c>
      <c r="U229" s="189"/>
      <c r="V229" s="167"/>
      <c r="W229" s="165"/>
      <c r="X229" s="164"/>
      <c r="Y229" s="164"/>
      <c r="Z229" s="164"/>
      <c r="AA229" s="174"/>
      <c r="AB229" s="164"/>
      <c r="AC229" s="174"/>
      <c r="AD229" s="184"/>
      <c r="AE229" s="190" t="str">
        <f t="shared" si="67"/>
        <v/>
      </c>
      <c r="AF229" s="190" t="str">
        <f t="shared" si="68"/>
        <v/>
      </c>
      <c r="AG229" s="190" t="str">
        <f t="shared" si="57"/>
        <v>D</v>
      </c>
      <c r="AH229" s="190">
        <f>IFERROR(VLOOKUP(Y229,SISP_Deflatores_e_INMs!B$4:F$49,3,FALSE),1)</f>
        <v>1</v>
      </c>
      <c r="AI229" s="190">
        <f>IFERROR(VLOOKUP(Y229,SISP_Deflatores_e_INMs!B$4:G$49,5,FALSE),1)</f>
        <v>1</v>
      </c>
      <c r="AJ229" s="191" t="str">
        <f t="shared" si="69"/>
        <v/>
      </c>
      <c r="AK229" s="237" t="str">
        <f t="shared" si="58"/>
        <v/>
      </c>
      <c r="AL229" s="237" t="str">
        <f t="shared" si="70"/>
        <v/>
      </c>
      <c r="AM229" s="192" t="e">
        <f t="shared" si="59"/>
        <v>#VALUE!</v>
      </c>
      <c r="AN229" s="193" t="e">
        <f t="shared" si="60"/>
        <v>#VALUE!</v>
      </c>
      <c r="AO229" s="193" t="e">
        <f t="shared" si="61"/>
        <v>#VALUE!</v>
      </c>
      <c r="AP229" s="193"/>
      <c r="AQ229" s="204"/>
      <c r="AR229" s="204"/>
      <c r="AS229" s="204"/>
      <c r="AT229" s="205"/>
      <c r="AU229"/>
    </row>
    <row r="230" spans="2:47" ht="15" customHeight="1" x14ac:dyDescent="0.25">
      <c r="B230" s="206"/>
      <c r="C230" s="185"/>
      <c r="D230" s="164"/>
      <c r="E230" s="174"/>
      <c r="F230" s="164"/>
      <c r="G230" s="174"/>
      <c r="H230" s="164"/>
      <c r="I230" s="174"/>
      <c r="J230" s="184"/>
      <c r="K230" s="186"/>
      <c r="L230" s="187" t="str">
        <f t="shared" si="62"/>
        <v/>
      </c>
      <c r="M230" s="187" t="str">
        <f t="shared" si="63"/>
        <v/>
      </c>
      <c r="N230" s="187" t="str">
        <f t="shared" si="55"/>
        <v>D</v>
      </c>
      <c r="O230" s="187" t="str">
        <f t="shared" si="64"/>
        <v>D</v>
      </c>
      <c r="P230" s="187">
        <f t="shared" si="65"/>
        <v>1</v>
      </c>
      <c r="Q230" s="187">
        <f>IFERROR(VLOOKUP(E230,Tabela_Deflator:E$43,5,FALSE),1)</f>
        <v>1</v>
      </c>
      <c r="R230" s="188" t="str">
        <f t="shared" si="66"/>
        <v/>
      </c>
      <c r="S230" s="237" t="str">
        <f t="shared" si="56"/>
        <v/>
      </c>
      <c r="T230" s="237" t="str">
        <f t="shared" si="71"/>
        <v/>
      </c>
      <c r="U230" s="189"/>
      <c r="V230" s="167"/>
      <c r="W230" s="165"/>
      <c r="X230" s="164"/>
      <c r="Y230" s="164"/>
      <c r="Z230" s="164"/>
      <c r="AA230" s="174"/>
      <c r="AB230" s="164"/>
      <c r="AC230" s="174"/>
      <c r="AD230" s="184"/>
      <c r="AE230" s="190" t="str">
        <f t="shared" si="67"/>
        <v/>
      </c>
      <c r="AF230" s="190" t="str">
        <f t="shared" si="68"/>
        <v/>
      </c>
      <c r="AG230" s="190" t="str">
        <f t="shared" si="57"/>
        <v>D</v>
      </c>
      <c r="AH230" s="190">
        <f>IFERROR(VLOOKUP(Y230,SISP_Deflatores_e_INMs!B$4:F$49,3,FALSE),1)</f>
        <v>1</v>
      </c>
      <c r="AI230" s="190">
        <f>IFERROR(VLOOKUP(Y230,SISP_Deflatores_e_INMs!B$4:G$49,5,FALSE),1)</f>
        <v>1</v>
      </c>
      <c r="AJ230" s="191" t="str">
        <f t="shared" si="69"/>
        <v/>
      </c>
      <c r="AK230" s="237" t="str">
        <f t="shared" si="58"/>
        <v/>
      </c>
      <c r="AL230" s="237" t="str">
        <f t="shared" si="70"/>
        <v/>
      </c>
      <c r="AM230" s="192" t="e">
        <f t="shared" si="59"/>
        <v>#VALUE!</v>
      </c>
      <c r="AN230" s="193" t="e">
        <f t="shared" si="60"/>
        <v>#VALUE!</v>
      </c>
      <c r="AO230" s="193" t="e">
        <f t="shared" si="61"/>
        <v>#VALUE!</v>
      </c>
      <c r="AP230" s="193"/>
      <c r="AQ230" s="204"/>
      <c r="AR230" s="204"/>
      <c r="AS230" s="204"/>
      <c r="AT230" s="205"/>
      <c r="AU230"/>
    </row>
    <row r="231" spans="2:47" ht="15" customHeight="1" x14ac:dyDescent="0.25">
      <c r="B231" s="206"/>
      <c r="C231" s="185"/>
      <c r="D231" s="164"/>
      <c r="E231" s="174"/>
      <c r="F231" s="164"/>
      <c r="G231" s="174"/>
      <c r="H231" s="164"/>
      <c r="I231" s="174"/>
      <c r="J231" s="184"/>
      <c r="K231" s="186"/>
      <c r="L231" s="187" t="str">
        <f t="shared" si="62"/>
        <v/>
      </c>
      <c r="M231" s="187" t="str">
        <f t="shared" si="63"/>
        <v/>
      </c>
      <c r="N231" s="187" t="str">
        <f t="shared" si="55"/>
        <v>D</v>
      </c>
      <c r="O231" s="187" t="str">
        <f t="shared" si="64"/>
        <v>D</v>
      </c>
      <c r="P231" s="187">
        <f t="shared" si="65"/>
        <v>1</v>
      </c>
      <c r="Q231" s="187">
        <f>IFERROR(VLOOKUP(E231,Tabela_Deflator:E$43,5,FALSE),1)</f>
        <v>1</v>
      </c>
      <c r="R231" s="188" t="str">
        <f t="shared" si="66"/>
        <v/>
      </c>
      <c r="S231" s="237" t="str">
        <f t="shared" si="56"/>
        <v/>
      </c>
      <c r="T231" s="237" t="str">
        <f t="shared" si="71"/>
        <v/>
      </c>
      <c r="U231" s="189"/>
      <c r="V231" s="167"/>
      <c r="W231" s="165"/>
      <c r="X231" s="164"/>
      <c r="Y231" s="164"/>
      <c r="Z231" s="164"/>
      <c r="AA231" s="174"/>
      <c r="AB231" s="164"/>
      <c r="AC231" s="174"/>
      <c r="AD231" s="184"/>
      <c r="AE231" s="190" t="str">
        <f t="shared" si="67"/>
        <v/>
      </c>
      <c r="AF231" s="190" t="str">
        <f t="shared" si="68"/>
        <v/>
      </c>
      <c r="AG231" s="190" t="str">
        <f t="shared" si="57"/>
        <v>D</v>
      </c>
      <c r="AH231" s="190">
        <f>IFERROR(VLOOKUP(Y231,SISP_Deflatores_e_INMs!B$4:F$49,3,FALSE),1)</f>
        <v>1</v>
      </c>
      <c r="AI231" s="190">
        <f>IFERROR(VLOOKUP(Y231,SISP_Deflatores_e_INMs!B$4:G$49,5,FALSE),1)</f>
        <v>1</v>
      </c>
      <c r="AJ231" s="191" t="str">
        <f t="shared" si="69"/>
        <v/>
      </c>
      <c r="AK231" s="237" t="str">
        <f t="shared" si="58"/>
        <v/>
      </c>
      <c r="AL231" s="237" t="str">
        <f t="shared" si="70"/>
        <v/>
      </c>
      <c r="AM231" s="192" t="e">
        <f t="shared" si="59"/>
        <v>#VALUE!</v>
      </c>
      <c r="AN231" s="193" t="e">
        <f t="shared" si="60"/>
        <v>#VALUE!</v>
      </c>
      <c r="AO231" s="193" t="e">
        <f t="shared" si="61"/>
        <v>#VALUE!</v>
      </c>
      <c r="AP231" s="193"/>
      <c r="AQ231" s="204"/>
      <c r="AR231" s="204"/>
      <c r="AS231" s="204"/>
      <c r="AT231" s="205"/>
      <c r="AU231"/>
    </row>
    <row r="232" spans="2:47" ht="15" customHeight="1" x14ac:dyDescent="0.25">
      <c r="B232" s="206"/>
      <c r="C232" s="185"/>
      <c r="D232" s="164"/>
      <c r="E232" s="174"/>
      <c r="F232" s="164"/>
      <c r="G232" s="174"/>
      <c r="H232" s="164"/>
      <c r="I232" s="174"/>
      <c r="J232" s="184"/>
      <c r="K232" s="186"/>
      <c r="L232" s="187" t="str">
        <f t="shared" si="62"/>
        <v/>
      </c>
      <c r="M232" s="187" t="str">
        <f t="shared" si="63"/>
        <v/>
      </c>
      <c r="N232" s="187" t="str">
        <f t="shared" si="55"/>
        <v>D</v>
      </c>
      <c r="O232" s="187" t="str">
        <f t="shared" si="64"/>
        <v>D</v>
      </c>
      <c r="P232" s="187">
        <f t="shared" si="65"/>
        <v>1</v>
      </c>
      <c r="Q232" s="187">
        <f>IFERROR(VLOOKUP(E232,Tabela_Deflator:E$43,5,FALSE),1)</f>
        <v>1</v>
      </c>
      <c r="R232" s="188" t="str">
        <f t="shared" si="66"/>
        <v/>
      </c>
      <c r="S232" s="237" t="str">
        <f t="shared" si="56"/>
        <v/>
      </c>
      <c r="T232" s="237" t="str">
        <f t="shared" si="71"/>
        <v/>
      </c>
      <c r="U232" s="189"/>
      <c r="V232" s="167"/>
      <c r="W232" s="165"/>
      <c r="X232" s="164"/>
      <c r="Y232" s="164"/>
      <c r="Z232" s="164"/>
      <c r="AA232" s="174"/>
      <c r="AB232" s="164"/>
      <c r="AC232" s="174"/>
      <c r="AD232" s="184"/>
      <c r="AE232" s="190" t="str">
        <f t="shared" si="67"/>
        <v/>
      </c>
      <c r="AF232" s="190" t="str">
        <f t="shared" si="68"/>
        <v/>
      </c>
      <c r="AG232" s="190" t="str">
        <f t="shared" si="57"/>
        <v>D</v>
      </c>
      <c r="AH232" s="190">
        <f>IFERROR(VLOOKUP(Y232,SISP_Deflatores_e_INMs!B$4:F$49,3,FALSE),1)</f>
        <v>1</v>
      </c>
      <c r="AI232" s="190">
        <f>IFERROR(VLOOKUP(Y232,SISP_Deflatores_e_INMs!B$4:G$49,5,FALSE),1)</f>
        <v>1</v>
      </c>
      <c r="AJ232" s="191" t="str">
        <f t="shared" si="69"/>
        <v/>
      </c>
      <c r="AK232" s="237" t="str">
        <f t="shared" si="58"/>
        <v/>
      </c>
      <c r="AL232" s="237" t="str">
        <f t="shared" si="70"/>
        <v/>
      </c>
      <c r="AM232" s="192" t="e">
        <f t="shared" si="59"/>
        <v>#VALUE!</v>
      </c>
      <c r="AN232" s="193" t="e">
        <f t="shared" si="60"/>
        <v>#VALUE!</v>
      </c>
      <c r="AO232" s="193" t="e">
        <f t="shared" si="61"/>
        <v>#VALUE!</v>
      </c>
      <c r="AP232" s="193"/>
      <c r="AQ232" s="204"/>
      <c r="AR232" s="204"/>
      <c r="AS232" s="204"/>
      <c r="AT232" s="205"/>
      <c r="AU232"/>
    </row>
    <row r="233" spans="2:47" ht="15" customHeight="1" x14ac:dyDescent="0.25">
      <c r="B233" s="206"/>
      <c r="C233" s="185"/>
      <c r="D233" s="164"/>
      <c r="E233" s="174"/>
      <c r="F233" s="164"/>
      <c r="G233" s="174"/>
      <c r="H233" s="164"/>
      <c r="I233" s="174"/>
      <c r="J233" s="184"/>
      <c r="K233" s="186"/>
      <c r="L233" s="187" t="str">
        <f t="shared" si="62"/>
        <v/>
      </c>
      <c r="M233" s="187" t="str">
        <f t="shared" si="63"/>
        <v/>
      </c>
      <c r="N233" s="187" t="str">
        <f t="shared" si="55"/>
        <v>D</v>
      </c>
      <c r="O233" s="187" t="str">
        <f t="shared" si="64"/>
        <v>D</v>
      </c>
      <c r="P233" s="187">
        <f t="shared" si="65"/>
        <v>1</v>
      </c>
      <c r="Q233" s="187">
        <f>IFERROR(VLOOKUP(E233,Tabela_Deflator:E$43,5,FALSE),1)</f>
        <v>1</v>
      </c>
      <c r="R233" s="188" t="str">
        <f t="shared" si="66"/>
        <v/>
      </c>
      <c r="S233" s="237" t="str">
        <f t="shared" si="56"/>
        <v/>
      </c>
      <c r="T233" s="237" t="str">
        <f t="shared" si="71"/>
        <v/>
      </c>
      <c r="U233" s="189"/>
      <c r="V233" s="167"/>
      <c r="W233" s="165"/>
      <c r="X233" s="164"/>
      <c r="Y233" s="164"/>
      <c r="Z233" s="164"/>
      <c r="AA233" s="174"/>
      <c r="AB233" s="164"/>
      <c r="AC233" s="174"/>
      <c r="AD233" s="184"/>
      <c r="AE233" s="190" t="str">
        <f t="shared" si="67"/>
        <v/>
      </c>
      <c r="AF233" s="190" t="str">
        <f t="shared" si="68"/>
        <v/>
      </c>
      <c r="AG233" s="190" t="str">
        <f t="shared" si="57"/>
        <v>D</v>
      </c>
      <c r="AH233" s="190">
        <f>IFERROR(VLOOKUP(Y233,SISP_Deflatores_e_INMs!B$4:F$49,3,FALSE),1)</f>
        <v>1</v>
      </c>
      <c r="AI233" s="190">
        <f>IFERROR(VLOOKUP(Y233,SISP_Deflatores_e_INMs!B$4:G$49,5,FALSE),1)</f>
        <v>1</v>
      </c>
      <c r="AJ233" s="191" t="str">
        <f t="shared" si="69"/>
        <v/>
      </c>
      <c r="AK233" s="237" t="str">
        <f t="shared" si="58"/>
        <v/>
      </c>
      <c r="AL233" s="237" t="str">
        <f t="shared" si="70"/>
        <v/>
      </c>
      <c r="AM233" s="192" t="e">
        <f t="shared" si="59"/>
        <v>#VALUE!</v>
      </c>
      <c r="AN233" s="193" t="e">
        <f t="shared" si="60"/>
        <v>#VALUE!</v>
      </c>
      <c r="AO233" s="193" t="e">
        <f t="shared" si="61"/>
        <v>#VALUE!</v>
      </c>
      <c r="AP233" s="193"/>
      <c r="AQ233" s="204"/>
      <c r="AR233" s="204"/>
      <c r="AS233" s="204"/>
      <c r="AT233" s="205"/>
      <c r="AU233"/>
    </row>
    <row r="234" spans="2:47" ht="15" customHeight="1" x14ac:dyDescent="0.25">
      <c r="B234" s="206"/>
      <c r="C234" s="185"/>
      <c r="D234" s="164"/>
      <c r="E234" s="174"/>
      <c r="F234" s="164"/>
      <c r="G234" s="174"/>
      <c r="H234" s="164"/>
      <c r="I234" s="174"/>
      <c r="J234" s="184"/>
      <c r="K234" s="186"/>
      <c r="L234" s="187" t="str">
        <f t="shared" si="62"/>
        <v/>
      </c>
      <c r="M234" s="187" t="str">
        <f t="shared" si="63"/>
        <v/>
      </c>
      <c r="N234" s="187" t="str">
        <f t="shared" si="55"/>
        <v>D</v>
      </c>
      <c r="O234" s="187" t="str">
        <f t="shared" si="64"/>
        <v>D</v>
      </c>
      <c r="P234" s="187">
        <f t="shared" si="65"/>
        <v>1</v>
      </c>
      <c r="Q234" s="187">
        <f>IFERROR(VLOOKUP(E234,Tabela_Deflator:E$43,5,FALSE),1)</f>
        <v>1</v>
      </c>
      <c r="R234" s="188" t="str">
        <f t="shared" si="66"/>
        <v/>
      </c>
      <c r="S234" s="237" t="str">
        <f t="shared" si="56"/>
        <v/>
      </c>
      <c r="T234" s="237" t="str">
        <f t="shared" si="71"/>
        <v/>
      </c>
      <c r="U234" s="189"/>
      <c r="V234" s="167"/>
      <c r="W234" s="165"/>
      <c r="X234" s="164"/>
      <c r="Y234" s="164"/>
      <c r="Z234" s="164"/>
      <c r="AA234" s="174"/>
      <c r="AB234" s="164"/>
      <c r="AC234" s="174"/>
      <c r="AD234" s="184"/>
      <c r="AE234" s="190" t="str">
        <f t="shared" si="67"/>
        <v/>
      </c>
      <c r="AF234" s="190" t="str">
        <f t="shared" si="68"/>
        <v/>
      </c>
      <c r="AG234" s="190" t="str">
        <f t="shared" si="57"/>
        <v>D</v>
      </c>
      <c r="AH234" s="190">
        <f>IFERROR(VLOOKUP(Y234,SISP_Deflatores_e_INMs!B$4:F$49,3,FALSE),1)</f>
        <v>1</v>
      </c>
      <c r="AI234" s="190">
        <f>IFERROR(VLOOKUP(Y234,SISP_Deflatores_e_INMs!B$4:G$49,5,FALSE),1)</f>
        <v>1</v>
      </c>
      <c r="AJ234" s="191" t="str">
        <f t="shared" si="69"/>
        <v/>
      </c>
      <c r="AK234" s="237" t="str">
        <f t="shared" si="58"/>
        <v/>
      </c>
      <c r="AL234" s="237" t="str">
        <f t="shared" si="70"/>
        <v/>
      </c>
      <c r="AM234" s="192" t="e">
        <f t="shared" si="59"/>
        <v>#VALUE!</v>
      </c>
      <c r="AN234" s="193" t="e">
        <f t="shared" si="60"/>
        <v>#VALUE!</v>
      </c>
      <c r="AO234" s="193" t="e">
        <f t="shared" si="61"/>
        <v>#VALUE!</v>
      </c>
      <c r="AP234" s="193"/>
      <c r="AQ234" s="204"/>
      <c r="AR234" s="204"/>
      <c r="AS234" s="204"/>
      <c r="AT234" s="205"/>
      <c r="AU234"/>
    </row>
    <row r="235" spans="2:47" ht="15" customHeight="1" x14ac:dyDescent="0.25">
      <c r="B235" s="206"/>
      <c r="C235" s="185"/>
      <c r="D235" s="164"/>
      <c r="E235" s="174"/>
      <c r="F235" s="164"/>
      <c r="G235" s="174"/>
      <c r="H235" s="164"/>
      <c r="I235" s="174"/>
      <c r="J235" s="184"/>
      <c r="K235" s="186"/>
      <c r="L235" s="187" t="str">
        <f t="shared" si="62"/>
        <v/>
      </c>
      <c r="M235" s="187" t="str">
        <f t="shared" si="63"/>
        <v/>
      </c>
      <c r="N235" s="187" t="str">
        <f t="shared" si="55"/>
        <v>D</v>
      </c>
      <c r="O235" s="187" t="str">
        <f t="shared" si="64"/>
        <v>D</v>
      </c>
      <c r="P235" s="187">
        <f t="shared" si="65"/>
        <v>1</v>
      </c>
      <c r="Q235" s="187">
        <f>IFERROR(VLOOKUP(E235,Tabela_Deflator:E$43,5,FALSE),1)</f>
        <v>1</v>
      </c>
      <c r="R235" s="188" t="str">
        <f t="shared" si="66"/>
        <v/>
      </c>
      <c r="S235" s="237" t="str">
        <f t="shared" si="56"/>
        <v/>
      </c>
      <c r="T235" s="237" t="str">
        <f t="shared" si="71"/>
        <v/>
      </c>
      <c r="U235" s="189"/>
      <c r="V235" s="167"/>
      <c r="W235" s="165"/>
      <c r="X235" s="164"/>
      <c r="Y235" s="164"/>
      <c r="Z235" s="164"/>
      <c r="AA235" s="174"/>
      <c r="AB235" s="164"/>
      <c r="AC235" s="174"/>
      <c r="AD235" s="184"/>
      <c r="AE235" s="190" t="str">
        <f t="shared" si="67"/>
        <v/>
      </c>
      <c r="AF235" s="190" t="str">
        <f t="shared" si="68"/>
        <v/>
      </c>
      <c r="AG235" s="190" t="str">
        <f t="shared" si="57"/>
        <v>D</v>
      </c>
      <c r="AH235" s="190">
        <f>IFERROR(VLOOKUP(Y235,SISP_Deflatores_e_INMs!B$4:F$49,3,FALSE),1)</f>
        <v>1</v>
      </c>
      <c r="AI235" s="190">
        <f>IFERROR(VLOOKUP(Y235,SISP_Deflatores_e_INMs!B$4:G$49,5,FALSE),1)</f>
        <v>1</v>
      </c>
      <c r="AJ235" s="191" t="str">
        <f t="shared" si="69"/>
        <v/>
      </c>
      <c r="AK235" s="237" t="str">
        <f t="shared" si="58"/>
        <v/>
      </c>
      <c r="AL235" s="237" t="str">
        <f t="shared" si="70"/>
        <v/>
      </c>
      <c r="AM235" s="192" t="e">
        <f t="shared" si="59"/>
        <v>#VALUE!</v>
      </c>
      <c r="AN235" s="193" t="e">
        <f t="shared" si="60"/>
        <v>#VALUE!</v>
      </c>
      <c r="AO235" s="193" t="e">
        <f t="shared" si="61"/>
        <v>#VALUE!</v>
      </c>
      <c r="AP235" s="193"/>
      <c r="AQ235" s="204"/>
      <c r="AR235" s="204"/>
      <c r="AS235" s="204"/>
      <c r="AT235" s="205"/>
      <c r="AU235"/>
    </row>
    <row r="236" spans="2:47" ht="15" customHeight="1" x14ac:dyDescent="0.25">
      <c r="B236" s="206"/>
      <c r="C236" s="185"/>
      <c r="D236" s="164"/>
      <c r="E236" s="174"/>
      <c r="F236" s="164"/>
      <c r="G236" s="174"/>
      <c r="H236" s="164"/>
      <c r="I236" s="174"/>
      <c r="J236" s="184"/>
      <c r="K236" s="186"/>
      <c r="L236" s="187" t="str">
        <f t="shared" si="62"/>
        <v/>
      </c>
      <c r="M236" s="187" t="str">
        <f t="shared" si="63"/>
        <v/>
      </c>
      <c r="N236" s="187" t="str">
        <f t="shared" si="55"/>
        <v>D</v>
      </c>
      <c r="O236" s="187" t="str">
        <f t="shared" si="64"/>
        <v>D</v>
      </c>
      <c r="P236" s="187">
        <f t="shared" si="65"/>
        <v>1</v>
      </c>
      <c r="Q236" s="187">
        <f>IFERROR(VLOOKUP(E236,Tabela_Deflator:E$43,5,FALSE),1)</f>
        <v>1</v>
      </c>
      <c r="R236" s="188" t="str">
        <f t="shared" si="66"/>
        <v/>
      </c>
      <c r="S236" s="237" t="str">
        <f t="shared" si="56"/>
        <v/>
      </c>
      <c r="T236" s="237" t="str">
        <f t="shared" si="71"/>
        <v/>
      </c>
      <c r="U236" s="189"/>
      <c r="V236" s="167"/>
      <c r="W236" s="165"/>
      <c r="X236" s="164"/>
      <c r="Y236" s="164"/>
      <c r="Z236" s="164"/>
      <c r="AA236" s="174"/>
      <c r="AB236" s="164"/>
      <c r="AC236" s="174"/>
      <c r="AD236" s="184"/>
      <c r="AE236" s="190" t="str">
        <f t="shared" si="67"/>
        <v/>
      </c>
      <c r="AF236" s="190" t="str">
        <f t="shared" si="68"/>
        <v/>
      </c>
      <c r="AG236" s="190" t="str">
        <f t="shared" si="57"/>
        <v>D</v>
      </c>
      <c r="AH236" s="190">
        <f>IFERROR(VLOOKUP(Y236,SISP_Deflatores_e_INMs!B$4:F$49,3,FALSE),1)</f>
        <v>1</v>
      </c>
      <c r="AI236" s="190">
        <f>IFERROR(VLOOKUP(Y236,SISP_Deflatores_e_INMs!B$4:G$49,5,FALSE),1)</f>
        <v>1</v>
      </c>
      <c r="AJ236" s="191" t="str">
        <f t="shared" si="69"/>
        <v/>
      </c>
      <c r="AK236" s="237" t="str">
        <f t="shared" si="58"/>
        <v/>
      </c>
      <c r="AL236" s="237" t="str">
        <f t="shared" si="70"/>
        <v/>
      </c>
      <c r="AM236" s="192" t="e">
        <f t="shared" si="59"/>
        <v>#VALUE!</v>
      </c>
      <c r="AN236" s="193" t="e">
        <f t="shared" si="60"/>
        <v>#VALUE!</v>
      </c>
      <c r="AO236" s="193" t="e">
        <f t="shared" si="61"/>
        <v>#VALUE!</v>
      </c>
      <c r="AP236" s="193"/>
      <c r="AQ236" s="204"/>
      <c r="AR236" s="204"/>
      <c r="AS236" s="204"/>
      <c r="AT236" s="205"/>
      <c r="AU236"/>
    </row>
    <row r="237" spans="2:47" ht="15" customHeight="1" x14ac:dyDescent="0.25">
      <c r="B237" s="206"/>
      <c r="C237" s="185"/>
      <c r="D237" s="164"/>
      <c r="E237" s="174"/>
      <c r="F237" s="164"/>
      <c r="G237" s="174"/>
      <c r="H237" s="164"/>
      <c r="I237" s="174"/>
      <c r="J237" s="184"/>
      <c r="K237" s="186"/>
      <c r="L237" s="187" t="str">
        <f t="shared" si="62"/>
        <v/>
      </c>
      <c r="M237" s="187" t="str">
        <f t="shared" si="63"/>
        <v/>
      </c>
      <c r="N237" s="187" t="str">
        <f t="shared" si="55"/>
        <v>D</v>
      </c>
      <c r="O237" s="187" t="str">
        <f t="shared" si="64"/>
        <v>D</v>
      </c>
      <c r="P237" s="187">
        <f t="shared" si="65"/>
        <v>1</v>
      </c>
      <c r="Q237" s="187">
        <f>IFERROR(VLOOKUP(E237,Tabela_Deflator:E$43,5,FALSE),1)</f>
        <v>1</v>
      </c>
      <c r="R237" s="188" t="str">
        <f t="shared" si="66"/>
        <v/>
      </c>
      <c r="S237" s="237" t="str">
        <f t="shared" si="56"/>
        <v/>
      </c>
      <c r="T237" s="237" t="str">
        <f t="shared" si="71"/>
        <v/>
      </c>
      <c r="U237" s="189"/>
      <c r="V237" s="167"/>
      <c r="W237" s="165"/>
      <c r="X237" s="164"/>
      <c r="Y237" s="164"/>
      <c r="Z237" s="164"/>
      <c r="AA237" s="174"/>
      <c r="AB237" s="164"/>
      <c r="AC237" s="174"/>
      <c r="AD237" s="184"/>
      <c r="AE237" s="190" t="str">
        <f t="shared" si="67"/>
        <v/>
      </c>
      <c r="AF237" s="190" t="str">
        <f t="shared" si="68"/>
        <v/>
      </c>
      <c r="AG237" s="190" t="str">
        <f t="shared" si="57"/>
        <v>D</v>
      </c>
      <c r="AH237" s="190">
        <f>IFERROR(VLOOKUP(Y237,SISP_Deflatores_e_INMs!B$4:F$49,3,FALSE),1)</f>
        <v>1</v>
      </c>
      <c r="AI237" s="190">
        <f>IFERROR(VLOOKUP(Y237,SISP_Deflatores_e_INMs!B$4:G$49,5,FALSE),1)</f>
        <v>1</v>
      </c>
      <c r="AJ237" s="191" t="str">
        <f t="shared" si="69"/>
        <v/>
      </c>
      <c r="AK237" s="237" t="str">
        <f t="shared" si="58"/>
        <v/>
      </c>
      <c r="AL237" s="237" t="str">
        <f t="shared" si="70"/>
        <v/>
      </c>
      <c r="AM237" s="192" t="e">
        <f t="shared" si="59"/>
        <v>#VALUE!</v>
      </c>
      <c r="AN237" s="193" t="e">
        <f t="shared" si="60"/>
        <v>#VALUE!</v>
      </c>
      <c r="AO237" s="193" t="e">
        <f t="shared" si="61"/>
        <v>#VALUE!</v>
      </c>
      <c r="AP237" s="193"/>
      <c r="AQ237" s="204"/>
      <c r="AR237" s="204"/>
      <c r="AS237" s="204"/>
      <c r="AT237" s="205"/>
      <c r="AU237"/>
    </row>
    <row r="238" spans="2:47" ht="15" customHeight="1" x14ac:dyDescent="0.25">
      <c r="B238" s="206"/>
      <c r="C238" s="185"/>
      <c r="D238" s="164"/>
      <c r="E238" s="174"/>
      <c r="F238" s="164"/>
      <c r="G238" s="174"/>
      <c r="H238" s="164"/>
      <c r="I238" s="174"/>
      <c r="J238" s="184"/>
      <c r="K238" s="186"/>
      <c r="L238" s="187" t="str">
        <f t="shared" si="62"/>
        <v/>
      </c>
      <c r="M238" s="187" t="str">
        <f t="shared" si="63"/>
        <v/>
      </c>
      <c r="N238" s="187" t="str">
        <f t="shared" si="55"/>
        <v>D</v>
      </c>
      <c r="O238" s="187" t="str">
        <f t="shared" si="64"/>
        <v>D</v>
      </c>
      <c r="P238" s="187">
        <f t="shared" si="65"/>
        <v>1</v>
      </c>
      <c r="Q238" s="187">
        <f>IFERROR(VLOOKUP(E238,Tabela_Deflator:E$43,5,FALSE),1)</f>
        <v>1</v>
      </c>
      <c r="R238" s="188" t="str">
        <f t="shared" si="66"/>
        <v/>
      </c>
      <c r="S238" s="237" t="str">
        <f t="shared" si="56"/>
        <v/>
      </c>
      <c r="T238" s="237" t="str">
        <f t="shared" si="71"/>
        <v/>
      </c>
      <c r="U238" s="189"/>
      <c r="V238" s="167"/>
      <c r="W238" s="165"/>
      <c r="X238" s="164"/>
      <c r="Y238" s="164"/>
      <c r="Z238" s="164"/>
      <c r="AA238" s="174"/>
      <c r="AB238" s="164"/>
      <c r="AC238" s="174"/>
      <c r="AD238" s="184"/>
      <c r="AE238" s="190" t="str">
        <f t="shared" si="67"/>
        <v/>
      </c>
      <c r="AF238" s="190" t="str">
        <f t="shared" si="68"/>
        <v/>
      </c>
      <c r="AG238" s="190" t="str">
        <f t="shared" si="57"/>
        <v>D</v>
      </c>
      <c r="AH238" s="190">
        <f>IFERROR(VLOOKUP(Y238,SISP_Deflatores_e_INMs!B$4:F$49,3,FALSE),1)</f>
        <v>1</v>
      </c>
      <c r="AI238" s="190">
        <f>IFERROR(VLOOKUP(Y238,SISP_Deflatores_e_INMs!B$4:G$49,5,FALSE),1)</f>
        <v>1</v>
      </c>
      <c r="AJ238" s="191" t="str">
        <f t="shared" si="69"/>
        <v/>
      </c>
      <c r="AK238" s="237" t="str">
        <f t="shared" si="58"/>
        <v/>
      </c>
      <c r="AL238" s="237" t="str">
        <f t="shared" si="70"/>
        <v/>
      </c>
      <c r="AM238" s="192" t="e">
        <f t="shared" si="59"/>
        <v>#VALUE!</v>
      </c>
      <c r="AN238" s="193" t="e">
        <f t="shared" si="60"/>
        <v>#VALUE!</v>
      </c>
      <c r="AO238" s="193" t="e">
        <f t="shared" si="61"/>
        <v>#VALUE!</v>
      </c>
      <c r="AP238" s="193"/>
      <c r="AQ238" s="204"/>
      <c r="AR238" s="204"/>
      <c r="AS238" s="204"/>
      <c r="AT238" s="205"/>
      <c r="AU238"/>
    </row>
    <row r="239" spans="2:47" ht="15" customHeight="1" x14ac:dyDescent="0.25">
      <c r="B239" s="206"/>
      <c r="C239" s="185"/>
      <c r="D239" s="164"/>
      <c r="E239" s="174"/>
      <c r="F239" s="164"/>
      <c r="G239" s="174"/>
      <c r="H239" s="164"/>
      <c r="I239" s="174"/>
      <c r="J239" s="184"/>
      <c r="K239" s="186"/>
      <c r="L239" s="187" t="str">
        <f t="shared" si="62"/>
        <v/>
      </c>
      <c r="M239" s="187" t="str">
        <f t="shared" si="63"/>
        <v/>
      </c>
      <c r="N239" s="187" t="str">
        <f t="shared" si="55"/>
        <v>D</v>
      </c>
      <c r="O239" s="187" t="str">
        <f t="shared" si="64"/>
        <v>D</v>
      </c>
      <c r="P239" s="187">
        <f t="shared" si="65"/>
        <v>1</v>
      </c>
      <c r="Q239" s="187">
        <f>IFERROR(VLOOKUP(E239,Tabela_Deflator:E$43,5,FALSE),1)</f>
        <v>1</v>
      </c>
      <c r="R239" s="188" t="str">
        <f t="shared" si="66"/>
        <v/>
      </c>
      <c r="S239" s="237" t="str">
        <f t="shared" si="56"/>
        <v/>
      </c>
      <c r="T239" s="237" t="str">
        <f t="shared" si="71"/>
        <v/>
      </c>
      <c r="U239" s="189"/>
      <c r="V239" s="167"/>
      <c r="W239" s="165"/>
      <c r="X239" s="164"/>
      <c r="Y239" s="164"/>
      <c r="Z239" s="164"/>
      <c r="AA239" s="174"/>
      <c r="AB239" s="164"/>
      <c r="AC239" s="174"/>
      <c r="AD239" s="184"/>
      <c r="AE239" s="190" t="str">
        <f t="shared" si="67"/>
        <v/>
      </c>
      <c r="AF239" s="190" t="str">
        <f t="shared" si="68"/>
        <v/>
      </c>
      <c r="AG239" s="190" t="str">
        <f t="shared" si="57"/>
        <v>D</v>
      </c>
      <c r="AH239" s="190">
        <f>IFERROR(VLOOKUP(Y239,SISP_Deflatores_e_INMs!B$4:F$49,3,FALSE),1)</f>
        <v>1</v>
      </c>
      <c r="AI239" s="190">
        <f>IFERROR(VLOOKUP(Y239,SISP_Deflatores_e_INMs!B$4:G$49,5,FALSE),1)</f>
        <v>1</v>
      </c>
      <c r="AJ239" s="191" t="str">
        <f t="shared" si="69"/>
        <v/>
      </c>
      <c r="AK239" s="237" t="str">
        <f t="shared" si="58"/>
        <v/>
      </c>
      <c r="AL239" s="237" t="str">
        <f t="shared" si="70"/>
        <v/>
      </c>
      <c r="AM239" s="192" t="e">
        <f t="shared" si="59"/>
        <v>#VALUE!</v>
      </c>
      <c r="AN239" s="193" t="e">
        <f t="shared" si="60"/>
        <v>#VALUE!</v>
      </c>
      <c r="AO239" s="193" t="e">
        <f t="shared" si="61"/>
        <v>#VALUE!</v>
      </c>
      <c r="AP239" s="193"/>
      <c r="AQ239" s="204"/>
      <c r="AR239" s="204"/>
      <c r="AS239" s="204"/>
      <c r="AT239" s="205"/>
      <c r="AU239"/>
    </row>
    <row r="240" spans="2:47" ht="15" customHeight="1" x14ac:dyDescent="0.25">
      <c r="B240" s="206"/>
      <c r="C240" s="185"/>
      <c r="D240" s="164"/>
      <c r="E240" s="174"/>
      <c r="F240" s="164"/>
      <c r="G240" s="174"/>
      <c r="H240" s="164"/>
      <c r="I240" s="174"/>
      <c r="J240" s="184"/>
      <c r="K240" s="186"/>
      <c r="L240" s="187" t="str">
        <f t="shared" si="62"/>
        <v/>
      </c>
      <c r="M240" s="187" t="str">
        <f t="shared" si="63"/>
        <v/>
      </c>
      <c r="N240" s="187" t="str">
        <f t="shared" si="55"/>
        <v>D</v>
      </c>
      <c r="O240" s="187" t="str">
        <f t="shared" si="64"/>
        <v>D</v>
      </c>
      <c r="P240" s="187">
        <f t="shared" si="65"/>
        <v>1</v>
      </c>
      <c r="Q240" s="187">
        <f>IFERROR(VLOOKUP(E240,Tabela_Deflator:E$43,5,FALSE),1)</f>
        <v>1</v>
      </c>
      <c r="R240" s="188" t="str">
        <f t="shared" si="66"/>
        <v/>
      </c>
      <c r="S240" s="237" t="str">
        <f t="shared" si="56"/>
        <v/>
      </c>
      <c r="T240" s="237" t="str">
        <f t="shared" si="71"/>
        <v/>
      </c>
      <c r="U240" s="189"/>
      <c r="V240" s="167"/>
      <c r="W240" s="165"/>
      <c r="X240" s="164"/>
      <c r="Y240" s="164"/>
      <c r="Z240" s="164"/>
      <c r="AA240" s="174"/>
      <c r="AB240" s="164"/>
      <c r="AC240" s="174"/>
      <c r="AD240" s="184"/>
      <c r="AE240" s="190" t="str">
        <f t="shared" si="67"/>
        <v/>
      </c>
      <c r="AF240" s="190" t="str">
        <f t="shared" si="68"/>
        <v/>
      </c>
      <c r="AG240" s="190" t="str">
        <f t="shared" si="57"/>
        <v>D</v>
      </c>
      <c r="AH240" s="190">
        <f>IFERROR(VLOOKUP(Y240,SISP_Deflatores_e_INMs!B$4:F$49,3,FALSE),1)</f>
        <v>1</v>
      </c>
      <c r="AI240" s="190">
        <f>IFERROR(VLOOKUP(Y240,SISP_Deflatores_e_INMs!B$4:G$49,5,FALSE),1)</f>
        <v>1</v>
      </c>
      <c r="AJ240" s="191" t="str">
        <f t="shared" si="69"/>
        <v/>
      </c>
      <c r="AK240" s="237" t="str">
        <f t="shared" si="58"/>
        <v/>
      </c>
      <c r="AL240" s="237" t="str">
        <f t="shared" si="70"/>
        <v/>
      </c>
      <c r="AM240" s="192" t="e">
        <f t="shared" si="59"/>
        <v>#VALUE!</v>
      </c>
      <c r="AN240" s="193" t="e">
        <f t="shared" si="60"/>
        <v>#VALUE!</v>
      </c>
      <c r="AO240" s="193" t="e">
        <f t="shared" si="61"/>
        <v>#VALUE!</v>
      </c>
      <c r="AP240" s="193"/>
      <c r="AQ240" s="204"/>
      <c r="AR240" s="204"/>
      <c r="AS240" s="204"/>
      <c r="AT240" s="205"/>
      <c r="AU240"/>
    </row>
    <row r="241" spans="2:47" ht="15" customHeight="1" x14ac:dyDescent="0.25">
      <c r="B241" s="206"/>
      <c r="C241" s="185"/>
      <c r="D241" s="164"/>
      <c r="E241" s="174"/>
      <c r="F241" s="164"/>
      <c r="G241" s="174"/>
      <c r="H241" s="164"/>
      <c r="I241" s="174"/>
      <c r="J241" s="184"/>
      <c r="K241" s="186"/>
      <c r="L241" s="187" t="str">
        <f t="shared" si="62"/>
        <v/>
      </c>
      <c r="M241" s="187" t="str">
        <f t="shared" si="63"/>
        <v/>
      </c>
      <c r="N241" s="187" t="str">
        <f t="shared" si="55"/>
        <v>D</v>
      </c>
      <c r="O241" s="187" t="str">
        <f t="shared" si="64"/>
        <v>D</v>
      </c>
      <c r="P241" s="187">
        <f t="shared" si="65"/>
        <v>1</v>
      </c>
      <c r="Q241" s="187">
        <f>IFERROR(VLOOKUP(E241,Tabela_Deflator:E$43,5,FALSE),1)</f>
        <v>1</v>
      </c>
      <c r="R241" s="188" t="str">
        <f t="shared" si="66"/>
        <v/>
      </c>
      <c r="S241" s="237" t="str">
        <f t="shared" si="56"/>
        <v/>
      </c>
      <c r="T241" s="237" t="str">
        <f t="shared" si="71"/>
        <v/>
      </c>
      <c r="U241" s="189"/>
      <c r="V241" s="167"/>
      <c r="W241" s="165"/>
      <c r="X241" s="164"/>
      <c r="Y241" s="164"/>
      <c r="Z241" s="164"/>
      <c r="AA241" s="174"/>
      <c r="AB241" s="164"/>
      <c r="AC241" s="174"/>
      <c r="AD241" s="184"/>
      <c r="AE241" s="190" t="str">
        <f t="shared" si="67"/>
        <v/>
      </c>
      <c r="AF241" s="190" t="str">
        <f t="shared" si="68"/>
        <v/>
      </c>
      <c r="AG241" s="190" t="str">
        <f t="shared" si="57"/>
        <v>D</v>
      </c>
      <c r="AH241" s="190">
        <f>IFERROR(VLOOKUP(Y241,SISP_Deflatores_e_INMs!B$4:F$49,3,FALSE),1)</f>
        <v>1</v>
      </c>
      <c r="AI241" s="190">
        <f>IFERROR(VLOOKUP(Y241,SISP_Deflatores_e_INMs!B$4:G$49,5,FALSE),1)</f>
        <v>1</v>
      </c>
      <c r="AJ241" s="191" t="str">
        <f t="shared" si="69"/>
        <v/>
      </c>
      <c r="AK241" s="237" t="str">
        <f t="shared" si="58"/>
        <v/>
      </c>
      <c r="AL241" s="237" t="str">
        <f t="shared" si="70"/>
        <v/>
      </c>
      <c r="AM241" s="192" t="e">
        <f t="shared" si="59"/>
        <v>#VALUE!</v>
      </c>
      <c r="AN241" s="193" t="e">
        <f t="shared" si="60"/>
        <v>#VALUE!</v>
      </c>
      <c r="AO241" s="193" t="e">
        <f t="shared" si="61"/>
        <v>#VALUE!</v>
      </c>
      <c r="AP241" s="193"/>
      <c r="AQ241" s="204"/>
      <c r="AR241" s="204"/>
      <c r="AS241" s="204"/>
      <c r="AT241" s="205"/>
      <c r="AU241"/>
    </row>
    <row r="242" spans="2:47" ht="15" customHeight="1" x14ac:dyDescent="0.25">
      <c r="B242" s="206"/>
      <c r="C242" s="185"/>
      <c r="D242" s="164"/>
      <c r="E242" s="174"/>
      <c r="F242" s="164"/>
      <c r="G242" s="174"/>
      <c r="H242" s="164"/>
      <c r="I242" s="174"/>
      <c r="J242" s="184"/>
      <c r="K242" s="186"/>
      <c r="L242" s="187" t="str">
        <f t="shared" si="62"/>
        <v/>
      </c>
      <c r="M242" s="187" t="str">
        <f t="shared" si="63"/>
        <v/>
      </c>
      <c r="N242" s="187" t="str">
        <f t="shared" si="55"/>
        <v>D</v>
      </c>
      <c r="O242" s="187" t="str">
        <f t="shared" si="64"/>
        <v>D</v>
      </c>
      <c r="P242" s="187">
        <f t="shared" si="65"/>
        <v>1</v>
      </c>
      <c r="Q242" s="187">
        <f>IFERROR(VLOOKUP(E242,Tabela_Deflator:E$43,5,FALSE),1)</f>
        <v>1</v>
      </c>
      <c r="R242" s="188" t="str">
        <f t="shared" si="66"/>
        <v/>
      </c>
      <c r="S242" s="237" t="str">
        <f t="shared" si="56"/>
        <v/>
      </c>
      <c r="T242" s="237" t="str">
        <f t="shared" si="71"/>
        <v/>
      </c>
      <c r="U242" s="189"/>
      <c r="V242" s="167"/>
      <c r="W242" s="165"/>
      <c r="X242" s="164"/>
      <c r="Y242" s="164"/>
      <c r="Z242" s="164"/>
      <c r="AA242" s="174"/>
      <c r="AB242" s="164"/>
      <c r="AC242" s="174"/>
      <c r="AD242" s="184"/>
      <c r="AE242" s="190" t="str">
        <f t="shared" si="67"/>
        <v/>
      </c>
      <c r="AF242" s="190" t="str">
        <f t="shared" si="68"/>
        <v/>
      </c>
      <c r="AG242" s="190" t="str">
        <f t="shared" si="57"/>
        <v>D</v>
      </c>
      <c r="AH242" s="190">
        <f>IFERROR(VLOOKUP(Y242,SISP_Deflatores_e_INMs!B$4:F$49,3,FALSE),1)</f>
        <v>1</v>
      </c>
      <c r="AI242" s="190">
        <f>IFERROR(VLOOKUP(Y242,SISP_Deflatores_e_INMs!B$4:G$49,5,FALSE),1)</f>
        <v>1</v>
      </c>
      <c r="AJ242" s="191" t="str">
        <f t="shared" si="69"/>
        <v/>
      </c>
      <c r="AK242" s="237" t="str">
        <f t="shared" si="58"/>
        <v/>
      </c>
      <c r="AL242" s="237" t="str">
        <f t="shared" si="70"/>
        <v/>
      </c>
      <c r="AM242" s="192" t="e">
        <f t="shared" si="59"/>
        <v>#VALUE!</v>
      </c>
      <c r="AN242" s="193" t="e">
        <f t="shared" si="60"/>
        <v>#VALUE!</v>
      </c>
      <c r="AO242" s="193" t="e">
        <f t="shared" si="61"/>
        <v>#VALUE!</v>
      </c>
      <c r="AP242" s="193"/>
      <c r="AQ242" s="204"/>
      <c r="AR242" s="204"/>
      <c r="AS242" s="204"/>
      <c r="AT242" s="205"/>
      <c r="AU242"/>
    </row>
    <row r="243" spans="2:47" ht="15" customHeight="1" x14ac:dyDescent="0.25">
      <c r="B243" s="206"/>
      <c r="C243" s="185"/>
      <c r="D243" s="164"/>
      <c r="E243" s="174"/>
      <c r="F243" s="164"/>
      <c r="G243" s="174"/>
      <c r="H243" s="164"/>
      <c r="I243" s="174"/>
      <c r="J243" s="184"/>
      <c r="K243" s="186"/>
      <c r="L243" s="187" t="str">
        <f t="shared" si="62"/>
        <v/>
      </c>
      <c r="M243" s="187" t="str">
        <f t="shared" si="63"/>
        <v/>
      </c>
      <c r="N243" s="187" t="str">
        <f t="shared" si="55"/>
        <v>D</v>
      </c>
      <c r="O243" s="187" t="str">
        <f t="shared" si="64"/>
        <v>D</v>
      </c>
      <c r="P243" s="187">
        <f t="shared" si="65"/>
        <v>1</v>
      </c>
      <c r="Q243" s="187">
        <f>IFERROR(VLOOKUP(E243,Tabela_Deflator:E$43,5,FALSE),1)</f>
        <v>1</v>
      </c>
      <c r="R243" s="188" t="str">
        <f t="shared" si="66"/>
        <v/>
      </c>
      <c r="S243" s="237" t="str">
        <f t="shared" si="56"/>
        <v/>
      </c>
      <c r="T243" s="237" t="str">
        <f t="shared" si="71"/>
        <v/>
      </c>
      <c r="U243" s="189"/>
      <c r="V243" s="167"/>
      <c r="W243" s="165"/>
      <c r="X243" s="164"/>
      <c r="Y243" s="164"/>
      <c r="Z243" s="164"/>
      <c r="AA243" s="174"/>
      <c r="AB243" s="164"/>
      <c r="AC243" s="174"/>
      <c r="AD243" s="184"/>
      <c r="AE243" s="190" t="str">
        <f t="shared" si="67"/>
        <v/>
      </c>
      <c r="AF243" s="190" t="str">
        <f t="shared" si="68"/>
        <v/>
      </c>
      <c r="AG243" s="190" t="str">
        <f t="shared" si="57"/>
        <v>D</v>
      </c>
      <c r="AH243" s="190">
        <f>IFERROR(VLOOKUP(Y243,SISP_Deflatores_e_INMs!B$4:F$49,3,FALSE),1)</f>
        <v>1</v>
      </c>
      <c r="AI243" s="190">
        <f>IFERROR(VLOOKUP(Y243,SISP_Deflatores_e_INMs!B$4:G$49,5,FALSE),1)</f>
        <v>1</v>
      </c>
      <c r="AJ243" s="191" t="str">
        <f t="shared" si="69"/>
        <v/>
      </c>
      <c r="AK243" s="237" t="str">
        <f t="shared" si="58"/>
        <v/>
      </c>
      <c r="AL243" s="237" t="str">
        <f t="shared" si="70"/>
        <v/>
      </c>
      <c r="AM243" s="192" t="e">
        <f t="shared" si="59"/>
        <v>#VALUE!</v>
      </c>
      <c r="AN243" s="193" t="e">
        <f t="shared" si="60"/>
        <v>#VALUE!</v>
      </c>
      <c r="AO243" s="193" t="e">
        <f t="shared" si="61"/>
        <v>#VALUE!</v>
      </c>
      <c r="AP243" s="193"/>
      <c r="AQ243" s="204"/>
      <c r="AR243" s="204"/>
      <c r="AS243" s="204"/>
      <c r="AT243" s="205"/>
      <c r="AU243"/>
    </row>
    <row r="244" spans="2:47" ht="15" customHeight="1" x14ac:dyDescent="0.25">
      <c r="B244" s="206"/>
      <c r="C244" s="185"/>
      <c r="D244" s="164"/>
      <c r="E244" s="174"/>
      <c r="F244" s="164"/>
      <c r="G244" s="174"/>
      <c r="H244" s="164"/>
      <c r="I244" s="174"/>
      <c r="J244" s="184"/>
      <c r="K244" s="186"/>
      <c r="L244" s="187" t="str">
        <f t="shared" si="62"/>
        <v/>
      </c>
      <c r="M244" s="187" t="str">
        <f t="shared" si="63"/>
        <v/>
      </c>
      <c r="N244" s="187" t="str">
        <f t="shared" si="55"/>
        <v>D</v>
      </c>
      <c r="O244" s="187" t="str">
        <f t="shared" si="64"/>
        <v>D</v>
      </c>
      <c r="P244" s="187">
        <f t="shared" si="65"/>
        <v>1</v>
      </c>
      <c r="Q244" s="187">
        <f>IFERROR(VLOOKUP(E244,Tabela_Deflator:E$43,5,FALSE),1)</f>
        <v>1</v>
      </c>
      <c r="R244" s="188" t="str">
        <f t="shared" si="66"/>
        <v/>
      </c>
      <c r="S244" s="237" t="str">
        <f t="shared" si="56"/>
        <v/>
      </c>
      <c r="T244" s="237" t="str">
        <f t="shared" si="71"/>
        <v/>
      </c>
      <c r="U244" s="189"/>
      <c r="V244" s="167"/>
      <c r="W244" s="165"/>
      <c r="X244" s="164"/>
      <c r="Y244" s="164"/>
      <c r="Z244" s="164"/>
      <c r="AA244" s="174"/>
      <c r="AB244" s="164"/>
      <c r="AC244" s="174"/>
      <c r="AD244" s="184"/>
      <c r="AE244" s="190" t="str">
        <f t="shared" si="67"/>
        <v/>
      </c>
      <c r="AF244" s="190" t="str">
        <f t="shared" si="68"/>
        <v/>
      </c>
      <c r="AG244" s="190" t="str">
        <f t="shared" si="57"/>
        <v>D</v>
      </c>
      <c r="AH244" s="190">
        <f>IFERROR(VLOOKUP(Y244,SISP_Deflatores_e_INMs!B$4:F$49,3,FALSE),1)</f>
        <v>1</v>
      </c>
      <c r="AI244" s="190">
        <f>IFERROR(VLOOKUP(Y244,SISP_Deflatores_e_INMs!B$4:G$49,5,FALSE),1)</f>
        <v>1</v>
      </c>
      <c r="AJ244" s="191" t="str">
        <f t="shared" si="69"/>
        <v/>
      </c>
      <c r="AK244" s="237" t="str">
        <f t="shared" si="58"/>
        <v/>
      </c>
      <c r="AL244" s="237" t="str">
        <f t="shared" si="70"/>
        <v/>
      </c>
      <c r="AM244" s="192" t="e">
        <f t="shared" si="59"/>
        <v>#VALUE!</v>
      </c>
      <c r="AN244" s="193" t="e">
        <f t="shared" si="60"/>
        <v>#VALUE!</v>
      </c>
      <c r="AO244" s="193" t="e">
        <f t="shared" si="61"/>
        <v>#VALUE!</v>
      </c>
      <c r="AP244" s="193"/>
      <c r="AQ244" s="204"/>
      <c r="AR244" s="204"/>
      <c r="AS244" s="204"/>
      <c r="AT244" s="205"/>
      <c r="AU244"/>
    </row>
    <row r="245" spans="2:47" ht="15" customHeight="1" x14ac:dyDescent="0.25">
      <c r="B245" s="206"/>
      <c r="C245" s="185"/>
      <c r="D245" s="164"/>
      <c r="E245" s="174"/>
      <c r="F245" s="164"/>
      <c r="G245" s="174"/>
      <c r="H245" s="164"/>
      <c r="I245" s="174"/>
      <c r="J245" s="184"/>
      <c r="K245" s="186"/>
      <c r="L245" s="187" t="str">
        <f t="shared" si="62"/>
        <v/>
      </c>
      <c r="M245" s="187" t="str">
        <f t="shared" si="63"/>
        <v/>
      </c>
      <c r="N245" s="187" t="str">
        <f t="shared" si="55"/>
        <v>D</v>
      </c>
      <c r="O245" s="187" t="str">
        <f t="shared" si="64"/>
        <v>D</v>
      </c>
      <c r="P245" s="187">
        <f t="shared" si="65"/>
        <v>1</v>
      </c>
      <c r="Q245" s="187">
        <f>IFERROR(VLOOKUP(E245,Tabela_Deflator:E$43,5,FALSE),1)</f>
        <v>1</v>
      </c>
      <c r="R245" s="188" t="str">
        <f t="shared" si="66"/>
        <v/>
      </c>
      <c r="S245" s="237" t="str">
        <f t="shared" si="56"/>
        <v/>
      </c>
      <c r="T245" s="237" t="str">
        <f t="shared" si="71"/>
        <v/>
      </c>
      <c r="U245" s="189"/>
      <c r="V245" s="167"/>
      <c r="W245" s="165"/>
      <c r="X245" s="164"/>
      <c r="Y245" s="164"/>
      <c r="Z245" s="164"/>
      <c r="AA245" s="174"/>
      <c r="AB245" s="164"/>
      <c r="AC245" s="174"/>
      <c r="AD245" s="184"/>
      <c r="AE245" s="190" t="str">
        <f t="shared" si="67"/>
        <v/>
      </c>
      <c r="AF245" s="190" t="str">
        <f t="shared" si="68"/>
        <v/>
      </c>
      <c r="AG245" s="190" t="str">
        <f t="shared" si="57"/>
        <v>D</v>
      </c>
      <c r="AH245" s="190">
        <f>IFERROR(VLOOKUP(Y245,SISP_Deflatores_e_INMs!B$4:F$49,3,FALSE),1)</f>
        <v>1</v>
      </c>
      <c r="AI245" s="190">
        <f>IFERROR(VLOOKUP(Y245,SISP_Deflatores_e_INMs!B$4:G$49,5,FALSE),1)</f>
        <v>1</v>
      </c>
      <c r="AJ245" s="191" t="str">
        <f t="shared" si="69"/>
        <v/>
      </c>
      <c r="AK245" s="237" t="str">
        <f t="shared" si="58"/>
        <v/>
      </c>
      <c r="AL245" s="237" t="str">
        <f t="shared" si="70"/>
        <v/>
      </c>
      <c r="AM245" s="192" t="e">
        <f t="shared" si="59"/>
        <v>#VALUE!</v>
      </c>
      <c r="AN245" s="193" t="e">
        <f t="shared" si="60"/>
        <v>#VALUE!</v>
      </c>
      <c r="AO245" s="193" t="e">
        <f t="shared" si="61"/>
        <v>#VALUE!</v>
      </c>
      <c r="AP245" s="193"/>
      <c r="AQ245" s="204"/>
      <c r="AR245" s="204"/>
      <c r="AS245" s="204"/>
      <c r="AT245" s="205"/>
      <c r="AU245"/>
    </row>
    <row r="246" spans="2:47" ht="15" customHeight="1" x14ac:dyDescent="0.25">
      <c r="B246" s="206"/>
      <c r="C246" s="185"/>
      <c r="D246" s="164"/>
      <c r="E246" s="174"/>
      <c r="F246" s="164"/>
      <c r="G246" s="174"/>
      <c r="H246" s="164"/>
      <c r="I246" s="174"/>
      <c r="J246" s="184"/>
      <c r="K246" s="186"/>
      <c r="L246" s="187" t="str">
        <f t="shared" si="62"/>
        <v/>
      </c>
      <c r="M246" s="187" t="str">
        <f t="shared" si="63"/>
        <v/>
      </c>
      <c r="N246" s="187" t="str">
        <f t="shared" si="55"/>
        <v>D</v>
      </c>
      <c r="O246" s="187" t="str">
        <f t="shared" si="64"/>
        <v>D</v>
      </c>
      <c r="P246" s="187">
        <f t="shared" si="65"/>
        <v>1</v>
      </c>
      <c r="Q246" s="187">
        <f>IFERROR(VLOOKUP(E246,Tabela_Deflator:E$43,5,FALSE),1)</f>
        <v>1</v>
      </c>
      <c r="R246" s="188" t="str">
        <f t="shared" si="66"/>
        <v/>
      </c>
      <c r="S246" s="237" t="str">
        <f t="shared" si="56"/>
        <v/>
      </c>
      <c r="T246" s="237" t="str">
        <f t="shared" si="71"/>
        <v/>
      </c>
      <c r="U246" s="189"/>
      <c r="V246" s="167"/>
      <c r="W246" s="165"/>
      <c r="X246" s="164"/>
      <c r="Y246" s="164"/>
      <c r="Z246" s="164"/>
      <c r="AA246" s="174"/>
      <c r="AB246" s="164"/>
      <c r="AC246" s="174"/>
      <c r="AD246" s="184"/>
      <c r="AE246" s="190" t="str">
        <f t="shared" si="67"/>
        <v/>
      </c>
      <c r="AF246" s="190" t="str">
        <f t="shared" si="68"/>
        <v/>
      </c>
      <c r="AG246" s="190" t="str">
        <f t="shared" si="57"/>
        <v>D</v>
      </c>
      <c r="AH246" s="190">
        <f>IFERROR(VLOOKUP(Y246,SISP_Deflatores_e_INMs!B$4:F$49,3,FALSE),1)</f>
        <v>1</v>
      </c>
      <c r="AI246" s="190">
        <f>IFERROR(VLOOKUP(Y246,SISP_Deflatores_e_INMs!B$4:G$49,5,FALSE),1)</f>
        <v>1</v>
      </c>
      <c r="AJ246" s="191" t="str">
        <f t="shared" si="69"/>
        <v/>
      </c>
      <c r="AK246" s="237" t="str">
        <f t="shared" si="58"/>
        <v/>
      </c>
      <c r="AL246" s="237" t="str">
        <f t="shared" si="70"/>
        <v/>
      </c>
      <c r="AM246" s="192" t="e">
        <f t="shared" si="59"/>
        <v>#VALUE!</v>
      </c>
      <c r="AN246" s="193" t="e">
        <f t="shared" si="60"/>
        <v>#VALUE!</v>
      </c>
      <c r="AO246" s="193" t="e">
        <f t="shared" si="61"/>
        <v>#VALUE!</v>
      </c>
      <c r="AP246" s="193"/>
      <c r="AQ246" s="204"/>
      <c r="AR246" s="204"/>
      <c r="AS246" s="204"/>
      <c r="AT246" s="205"/>
      <c r="AU246"/>
    </row>
    <row r="247" spans="2:47" ht="15" customHeight="1" x14ac:dyDescent="0.25">
      <c r="B247" s="206"/>
      <c r="C247" s="185"/>
      <c r="D247" s="164"/>
      <c r="E247" s="174"/>
      <c r="F247" s="164"/>
      <c r="G247" s="174"/>
      <c r="H247" s="164"/>
      <c r="I247" s="174"/>
      <c r="J247" s="184"/>
      <c r="K247" s="186"/>
      <c r="L247" s="187" t="str">
        <f t="shared" si="62"/>
        <v/>
      </c>
      <c r="M247" s="187" t="str">
        <f t="shared" si="63"/>
        <v/>
      </c>
      <c r="N247" s="187" t="str">
        <f t="shared" si="55"/>
        <v>D</v>
      </c>
      <c r="O247" s="187" t="str">
        <f t="shared" si="64"/>
        <v>D</v>
      </c>
      <c r="P247" s="187">
        <f t="shared" si="65"/>
        <v>1</v>
      </c>
      <c r="Q247" s="187">
        <f>IFERROR(VLOOKUP(E247,Tabela_Deflator:E$43,5,FALSE),1)</f>
        <v>1</v>
      </c>
      <c r="R247" s="188" t="str">
        <f t="shared" si="66"/>
        <v/>
      </c>
      <c r="S247" s="237" t="str">
        <f t="shared" si="56"/>
        <v/>
      </c>
      <c r="T247" s="237" t="str">
        <f t="shared" si="71"/>
        <v/>
      </c>
      <c r="U247" s="189"/>
      <c r="V247" s="167"/>
      <c r="W247" s="165"/>
      <c r="X247" s="164"/>
      <c r="Y247" s="164"/>
      <c r="Z247" s="164"/>
      <c r="AA247" s="174"/>
      <c r="AB247" s="164"/>
      <c r="AC247" s="174"/>
      <c r="AD247" s="184"/>
      <c r="AE247" s="190" t="str">
        <f t="shared" si="67"/>
        <v/>
      </c>
      <c r="AF247" s="190" t="str">
        <f t="shared" si="68"/>
        <v/>
      </c>
      <c r="AG247" s="190" t="str">
        <f t="shared" si="57"/>
        <v>D</v>
      </c>
      <c r="AH247" s="190">
        <f>IFERROR(VLOOKUP(Y247,SISP_Deflatores_e_INMs!B$4:F$49,3,FALSE),1)</f>
        <v>1</v>
      </c>
      <c r="AI247" s="190">
        <f>IFERROR(VLOOKUP(Y247,SISP_Deflatores_e_INMs!B$4:G$49,5,FALSE),1)</f>
        <v>1</v>
      </c>
      <c r="AJ247" s="191" t="str">
        <f t="shared" si="69"/>
        <v/>
      </c>
      <c r="AK247" s="237" t="str">
        <f t="shared" si="58"/>
        <v/>
      </c>
      <c r="AL247" s="237" t="str">
        <f t="shared" si="70"/>
        <v/>
      </c>
      <c r="AM247" s="192" t="e">
        <f t="shared" si="59"/>
        <v>#VALUE!</v>
      </c>
      <c r="AN247" s="193" t="e">
        <f t="shared" si="60"/>
        <v>#VALUE!</v>
      </c>
      <c r="AO247" s="193" t="e">
        <f t="shared" si="61"/>
        <v>#VALUE!</v>
      </c>
      <c r="AP247" s="193"/>
      <c r="AQ247" s="204"/>
      <c r="AR247" s="204"/>
      <c r="AS247" s="204"/>
      <c r="AT247" s="205"/>
      <c r="AU247"/>
    </row>
    <row r="248" spans="2:47" ht="15" customHeight="1" x14ac:dyDescent="0.25">
      <c r="B248" s="206"/>
      <c r="C248" s="185"/>
      <c r="D248" s="164"/>
      <c r="E248" s="174"/>
      <c r="F248" s="164"/>
      <c r="G248" s="174"/>
      <c r="H248" s="164"/>
      <c r="I248" s="174"/>
      <c r="J248" s="184"/>
      <c r="K248" s="186"/>
      <c r="L248" s="187" t="str">
        <f t="shared" si="62"/>
        <v/>
      </c>
      <c r="M248" s="187" t="str">
        <f t="shared" si="63"/>
        <v/>
      </c>
      <c r="N248" s="187" t="str">
        <f t="shared" si="55"/>
        <v>D</v>
      </c>
      <c r="O248" s="187" t="str">
        <f t="shared" si="64"/>
        <v>D</v>
      </c>
      <c r="P248" s="187">
        <f t="shared" si="65"/>
        <v>1</v>
      </c>
      <c r="Q248" s="187">
        <f>IFERROR(VLOOKUP(E248,Tabela_Deflator:E$43,5,FALSE),1)</f>
        <v>1</v>
      </c>
      <c r="R248" s="188" t="str">
        <f t="shared" si="66"/>
        <v/>
      </c>
      <c r="S248" s="237" t="str">
        <f t="shared" si="56"/>
        <v/>
      </c>
      <c r="T248" s="237" t="str">
        <f t="shared" si="71"/>
        <v/>
      </c>
      <c r="U248" s="189"/>
      <c r="V248" s="167"/>
      <c r="W248" s="165"/>
      <c r="X248" s="164"/>
      <c r="Y248" s="164"/>
      <c r="Z248" s="164"/>
      <c r="AA248" s="174"/>
      <c r="AB248" s="164"/>
      <c r="AC248" s="174"/>
      <c r="AD248" s="184"/>
      <c r="AE248" s="190" t="str">
        <f t="shared" si="67"/>
        <v/>
      </c>
      <c r="AF248" s="190" t="str">
        <f t="shared" si="68"/>
        <v/>
      </c>
      <c r="AG248" s="190" t="str">
        <f t="shared" si="57"/>
        <v>D</v>
      </c>
      <c r="AH248" s="190">
        <f>IFERROR(VLOOKUP(Y248,SISP_Deflatores_e_INMs!B$4:F$49,3,FALSE),1)</f>
        <v>1</v>
      </c>
      <c r="AI248" s="190">
        <f>IFERROR(VLOOKUP(Y248,SISP_Deflatores_e_INMs!B$4:G$49,5,FALSE),1)</f>
        <v>1</v>
      </c>
      <c r="AJ248" s="191" t="str">
        <f t="shared" si="69"/>
        <v/>
      </c>
      <c r="AK248" s="237" t="str">
        <f t="shared" si="58"/>
        <v/>
      </c>
      <c r="AL248" s="237" t="str">
        <f t="shared" si="70"/>
        <v/>
      </c>
      <c r="AM248" s="192" t="e">
        <f t="shared" si="59"/>
        <v>#VALUE!</v>
      </c>
      <c r="AN248" s="193" t="e">
        <f t="shared" si="60"/>
        <v>#VALUE!</v>
      </c>
      <c r="AO248" s="193" t="e">
        <f t="shared" si="61"/>
        <v>#VALUE!</v>
      </c>
      <c r="AP248" s="193"/>
      <c r="AQ248" s="204"/>
      <c r="AR248" s="204"/>
      <c r="AS248" s="204"/>
      <c r="AT248" s="205"/>
      <c r="AU248"/>
    </row>
    <row r="249" spans="2:47" ht="15" customHeight="1" x14ac:dyDescent="0.25">
      <c r="B249" s="206"/>
      <c r="C249" s="185"/>
      <c r="D249" s="164"/>
      <c r="E249" s="174"/>
      <c r="F249" s="164"/>
      <c r="G249" s="174"/>
      <c r="H249" s="164"/>
      <c r="I249" s="174"/>
      <c r="J249" s="184"/>
      <c r="K249" s="186"/>
      <c r="L249" s="187" t="str">
        <f t="shared" si="62"/>
        <v/>
      </c>
      <c r="M249" s="187" t="str">
        <f t="shared" si="63"/>
        <v/>
      </c>
      <c r="N249" s="187" t="str">
        <f t="shared" si="55"/>
        <v>D</v>
      </c>
      <c r="O249" s="187" t="str">
        <f t="shared" si="64"/>
        <v>D</v>
      </c>
      <c r="P249" s="187">
        <f t="shared" si="65"/>
        <v>1</v>
      </c>
      <c r="Q249" s="187">
        <f>IFERROR(VLOOKUP(E249,Tabela_Deflator:E$43,5,FALSE),1)</f>
        <v>1</v>
      </c>
      <c r="R249" s="188" t="str">
        <f t="shared" si="66"/>
        <v/>
      </c>
      <c r="S249" s="237" t="str">
        <f t="shared" si="56"/>
        <v/>
      </c>
      <c r="T249" s="237" t="str">
        <f t="shared" si="71"/>
        <v/>
      </c>
      <c r="U249" s="189"/>
      <c r="V249" s="167"/>
      <c r="W249" s="165"/>
      <c r="X249" s="164"/>
      <c r="Y249" s="164"/>
      <c r="Z249" s="164"/>
      <c r="AA249" s="174"/>
      <c r="AB249" s="164"/>
      <c r="AC249" s="174"/>
      <c r="AD249" s="184"/>
      <c r="AE249" s="190" t="str">
        <f t="shared" si="67"/>
        <v/>
      </c>
      <c r="AF249" s="190" t="str">
        <f t="shared" si="68"/>
        <v/>
      </c>
      <c r="AG249" s="190" t="str">
        <f t="shared" si="57"/>
        <v>D</v>
      </c>
      <c r="AH249" s="190">
        <f>IFERROR(VLOOKUP(Y249,SISP_Deflatores_e_INMs!B$4:F$49,3,FALSE),1)</f>
        <v>1</v>
      </c>
      <c r="AI249" s="190">
        <f>IFERROR(VLOOKUP(Y249,SISP_Deflatores_e_INMs!B$4:G$49,5,FALSE),1)</f>
        <v>1</v>
      </c>
      <c r="AJ249" s="191" t="str">
        <f t="shared" si="69"/>
        <v/>
      </c>
      <c r="AK249" s="237" t="str">
        <f t="shared" si="58"/>
        <v/>
      </c>
      <c r="AL249" s="237" t="str">
        <f t="shared" si="70"/>
        <v/>
      </c>
      <c r="AM249" s="192" t="e">
        <f t="shared" si="59"/>
        <v>#VALUE!</v>
      </c>
      <c r="AN249" s="193" t="e">
        <f t="shared" si="60"/>
        <v>#VALUE!</v>
      </c>
      <c r="AO249" s="193" t="e">
        <f t="shared" si="61"/>
        <v>#VALUE!</v>
      </c>
      <c r="AP249" s="193"/>
      <c r="AQ249" s="204"/>
      <c r="AR249" s="204"/>
      <c r="AS249" s="204"/>
      <c r="AT249" s="205"/>
      <c r="AU249"/>
    </row>
    <row r="250" spans="2:47" ht="15" customHeight="1" x14ac:dyDescent="0.25">
      <c r="B250" s="206"/>
      <c r="C250" s="185"/>
      <c r="D250" s="164"/>
      <c r="E250" s="174"/>
      <c r="F250" s="164"/>
      <c r="G250" s="174"/>
      <c r="H250" s="164"/>
      <c r="I250" s="174"/>
      <c r="J250" s="184"/>
      <c r="K250" s="186"/>
      <c r="L250" s="187" t="str">
        <f t="shared" si="62"/>
        <v/>
      </c>
      <c r="M250" s="187" t="str">
        <f t="shared" si="63"/>
        <v/>
      </c>
      <c r="N250" s="187" t="str">
        <f t="shared" si="55"/>
        <v>D</v>
      </c>
      <c r="O250" s="187" t="str">
        <f t="shared" si="64"/>
        <v>D</v>
      </c>
      <c r="P250" s="187">
        <f t="shared" si="65"/>
        <v>1</v>
      </c>
      <c r="Q250" s="187">
        <f>IFERROR(VLOOKUP(E250,Tabela_Deflator:E$43,5,FALSE),1)</f>
        <v>1</v>
      </c>
      <c r="R250" s="188" t="str">
        <f t="shared" si="66"/>
        <v/>
      </c>
      <c r="S250" s="237" t="str">
        <f t="shared" si="56"/>
        <v/>
      </c>
      <c r="T250" s="237" t="str">
        <f t="shared" si="71"/>
        <v/>
      </c>
      <c r="U250" s="189"/>
      <c r="V250" s="167"/>
      <c r="W250" s="165"/>
      <c r="X250" s="164"/>
      <c r="Y250" s="164"/>
      <c r="Z250" s="164"/>
      <c r="AA250" s="174"/>
      <c r="AB250" s="164"/>
      <c r="AC250" s="174"/>
      <c r="AD250" s="184"/>
      <c r="AE250" s="190" t="str">
        <f t="shared" si="67"/>
        <v/>
      </c>
      <c r="AF250" s="190" t="str">
        <f t="shared" si="68"/>
        <v/>
      </c>
      <c r="AG250" s="190" t="str">
        <f t="shared" si="57"/>
        <v>D</v>
      </c>
      <c r="AH250" s="190">
        <f>IFERROR(VLOOKUP(Y250,SISP_Deflatores_e_INMs!B$4:F$49,3,FALSE),1)</f>
        <v>1</v>
      </c>
      <c r="AI250" s="190">
        <f>IFERROR(VLOOKUP(Y250,SISP_Deflatores_e_INMs!B$4:G$49,5,FALSE),1)</f>
        <v>1</v>
      </c>
      <c r="AJ250" s="191" t="str">
        <f t="shared" si="69"/>
        <v/>
      </c>
      <c r="AK250" s="237" t="str">
        <f t="shared" si="58"/>
        <v/>
      </c>
      <c r="AL250" s="237" t="str">
        <f t="shared" si="70"/>
        <v/>
      </c>
      <c r="AM250" s="192" t="e">
        <f t="shared" si="59"/>
        <v>#VALUE!</v>
      </c>
      <c r="AN250" s="193" t="e">
        <f t="shared" si="60"/>
        <v>#VALUE!</v>
      </c>
      <c r="AO250" s="193" t="e">
        <f t="shared" si="61"/>
        <v>#VALUE!</v>
      </c>
      <c r="AP250" s="193"/>
      <c r="AQ250" s="204"/>
      <c r="AR250" s="204"/>
      <c r="AS250" s="204"/>
      <c r="AT250" s="205"/>
      <c r="AU250"/>
    </row>
    <row r="251" spans="2:47" ht="15" customHeight="1" x14ac:dyDescent="0.25">
      <c r="B251" s="206"/>
      <c r="C251" s="185"/>
      <c r="D251" s="164"/>
      <c r="E251" s="174"/>
      <c r="F251" s="164"/>
      <c r="G251" s="174"/>
      <c r="H251" s="164"/>
      <c r="I251" s="174"/>
      <c r="J251" s="184"/>
      <c r="K251" s="186"/>
      <c r="L251" s="187" t="str">
        <f t="shared" si="62"/>
        <v/>
      </c>
      <c r="M251" s="187" t="str">
        <f t="shared" si="63"/>
        <v/>
      </c>
      <c r="N251" s="187" t="str">
        <f t="shared" si="55"/>
        <v>D</v>
      </c>
      <c r="O251" s="187" t="str">
        <f t="shared" si="64"/>
        <v>D</v>
      </c>
      <c r="P251" s="187">
        <f t="shared" si="65"/>
        <v>1</v>
      </c>
      <c r="Q251" s="187">
        <f>IFERROR(VLOOKUP(E251,Tabela_Deflator:E$43,5,FALSE),1)</f>
        <v>1</v>
      </c>
      <c r="R251" s="188" t="str">
        <f t="shared" si="66"/>
        <v/>
      </c>
      <c r="S251" s="237" t="str">
        <f t="shared" si="56"/>
        <v/>
      </c>
      <c r="T251" s="237" t="str">
        <f t="shared" si="71"/>
        <v/>
      </c>
      <c r="U251" s="189"/>
      <c r="V251" s="167"/>
      <c r="W251" s="165"/>
      <c r="X251" s="164"/>
      <c r="Y251" s="164"/>
      <c r="Z251" s="164"/>
      <c r="AA251" s="174"/>
      <c r="AB251" s="164"/>
      <c r="AC251" s="174"/>
      <c r="AD251" s="184"/>
      <c r="AE251" s="190" t="str">
        <f t="shared" si="67"/>
        <v/>
      </c>
      <c r="AF251" s="190" t="str">
        <f t="shared" si="68"/>
        <v/>
      </c>
      <c r="AG251" s="190" t="str">
        <f t="shared" si="57"/>
        <v>D</v>
      </c>
      <c r="AH251" s="190">
        <f>IFERROR(VLOOKUP(Y251,SISP_Deflatores_e_INMs!B$4:F$49,3,FALSE),1)</f>
        <v>1</v>
      </c>
      <c r="AI251" s="190">
        <f>IFERROR(VLOOKUP(Y251,SISP_Deflatores_e_INMs!B$4:G$49,5,FALSE),1)</f>
        <v>1</v>
      </c>
      <c r="AJ251" s="191" t="str">
        <f t="shared" si="69"/>
        <v/>
      </c>
      <c r="AK251" s="237" t="str">
        <f t="shared" si="58"/>
        <v/>
      </c>
      <c r="AL251" s="237" t="str">
        <f t="shared" si="70"/>
        <v/>
      </c>
      <c r="AM251" s="192" t="e">
        <f t="shared" si="59"/>
        <v>#VALUE!</v>
      </c>
      <c r="AN251" s="193" t="e">
        <f t="shared" si="60"/>
        <v>#VALUE!</v>
      </c>
      <c r="AO251" s="193" t="e">
        <f t="shared" si="61"/>
        <v>#VALUE!</v>
      </c>
      <c r="AP251" s="193"/>
      <c r="AQ251" s="204"/>
      <c r="AR251" s="204"/>
      <c r="AS251" s="204"/>
      <c r="AT251" s="205"/>
      <c r="AU251"/>
    </row>
    <row r="252" spans="2:47" ht="15" customHeight="1" x14ac:dyDescent="0.25">
      <c r="B252" s="206"/>
      <c r="C252" s="185"/>
      <c r="D252" s="164"/>
      <c r="E252" s="174"/>
      <c r="F252" s="164"/>
      <c r="G252" s="174"/>
      <c r="H252" s="164"/>
      <c r="I252" s="174"/>
      <c r="J252" s="184"/>
      <c r="K252" s="186"/>
      <c r="L252" s="187" t="str">
        <f t="shared" si="62"/>
        <v/>
      </c>
      <c r="M252" s="187" t="str">
        <f t="shared" si="63"/>
        <v/>
      </c>
      <c r="N252" s="187" t="str">
        <f t="shared" si="55"/>
        <v>D</v>
      </c>
      <c r="O252" s="187" t="str">
        <f t="shared" si="64"/>
        <v>D</v>
      </c>
      <c r="P252" s="187">
        <f t="shared" si="65"/>
        <v>1</v>
      </c>
      <c r="Q252" s="187">
        <f>IFERROR(VLOOKUP(E252,Tabela_Deflator:E$43,5,FALSE),1)</f>
        <v>1</v>
      </c>
      <c r="R252" s="188" t="str">
        <f t="shared" si="66"/>
        <v/>
      </c>
      <c r="S252" s="237" t="str">
        <f t="shared" si="56"/>
        <v/>
      </c>
      <c r="T252" s="237" t="str">
        <f t="shared" si="71"/>
        <v/>
      </c>
      <c r="U252" s="189"/>
      <c r="V252" s="167"/>
      <c r="W252" s="165"/>
      <c r="X252" s="164"/>
      <c r="Y252" s="164"/>
      <c r="Z252" s="164"/>
      <c r="AA252" s="174"/>
      <c r="AB252" s="164"/>
      <c r="AC252" s="174"/>
      <c r="AD252" s="184"/>
      <c r="AE252" s="190" t="str">
        <f t="shared" si="67"/>
        <v/>
      </c>
      <c r="AF252" s="190" t="str">
        <f t="shared" si="68"/>
        <v/>
      </c>
      <c r="AG252" s="190" t="str">
        <f t="shared" si="57"/>
        <v>D</v>
      </c>
      <c r="AH252" s="190">
        <f>IFERROR(VLOOKUP(Y252,SISP_Deflatores_e_INMs!B$4:F$49,3,FALSE),1)</f>
        <v>1</v>
      </c>
      <c r="AI252" s="190">
        <f>IFERROR(VLOOKUP(Y252,SISP_Deflatores_e_INMs!B$4:G$49,5,FALSE),1)</f>
        <v>1</v>
      </c>
      <c r="AJ252" s="191" t="str">
        <f t="shared" si="69"/>
        <v/>
      </c>
      <c r="AK252" s="237" t="str">
        <f t="shared" si="58"/>
        <v/>
      </c>
      <c r="AL252" s="237" t="str">
        <f t="shared" si="70"/>
        <v/>
      </c>
      <c r="AM252" s="192" t="e">
        <f t="shared" si="59"/>
        <v>#VALUE!</v>
      </c>
      <c r="AN252" s="193" t="e">
        <f t="shared" si="60"/>
        <v>#VALUE!</v>
      </c>
      <c r="AO252" s="193" t="e">
        <f t="shared" si="61"/>
        <v>#VALUE!</v>
      </c>
      <c r="AP252" s="193"/>
      <c r="AQ252" s="204"/>
      <c r="AR252" s="204"/>
      <c r="AS252" s="204"/>
      <c r="AT252" s="205"/>
      <c r="AU252"/>
    </row>
    <row r="253" spans="2:47" ht="15" customHeight="1" x14ac:dyDescent="0.25">
      <c r="B253" s="206"/>
      <c r="C253" s="185"/>
      <c r="D253" s="164"/>
      <c r="E253" s="174"/>
      <c r="F253" s="164"/>
      <c r="G253" s="174"/>
      <c r="H253" s="164"/>
      <c r="I253" s="174"/>
      <c r="J253" s="184"/>
      <c r="K253" s="186"/>
      <c r="L253" s="187" t="str">
        <f t="shared" si="62"/>
        <v/>
      </c>
      <c r="M253" s="187" t="str">
        <f t="shared" si="63"/>
        <v/>
      </c>
      <c r="N253" s="187" t="str">
        <f t="shared" si="55"/>
        <v>D</v>
      </c>
      <c r="O253" s="187" t="str">
        <f t="shared" si="64"/>
        <v>D</v>
      </c>
      <c r="P253" s="187">
        <f t="shared" si="65"/>
        <v>1</v>
      </c>
      <c r="Q253" s="187">
        <f>IFERROR(VLOOKUP(E253,Tabela_Deflator:E$43,5,FALSE),1)</f>
        <v>1</v>
      </c>
      <c r="R253" s="188" t="str">
        <f t="shared" si="66"/>
        <v/>
      </c>
      <c r="S253" s="237" t="str">
        <f t="shared" si="56"/>
        <v/>
      </c>
      <c r="T253" s="237" t="str">
        <f t="shared" si="71"/>
        <v/>
      </c>
      <c r="U253" s="189"/>
      <c r="V253" s="167"/>
      <c r="W253" s="165"/>
      <c r="X253" s="164"/>
      <c r="Y253" s="164"/>
      <c r="Z253" s="164"/>
      <c r="AA253" s="174"/>
      <c r="AB253" s="164"/>
      <c r="AC253" s="174"/>
      <c r="AD253" s="184"/>
      <c r="AE253" s="190" t="str">
        <f t="shared" si="67"/>
        <v/>
      </c>
      <c r="AF253" s="190" t="str">
        <f t="shared" si="68"/>
        <v/>
      </c>
      <c r="AG253" s="190" t="str">
        <f t="shared" si="57"/>
        <v>D</v>
      </c>
      <c r="AH253" s="190">
        <f>IFERROR(VLOOKUP(Y253,SISP_Deflatores_e_INMs!B$4:F$49,3,FALSE),1)</f>
        <v>1</v>
      </c>
      <c r="AI253" s="190">
        <f>IFERROR(VLOOKUP(Y253,SISP_Deflatores_e_INMs!B$4:G$49,5,FALSE),1)</f>
        <v>1</v>
      </c>
      <c r="AJ253" s="191" t="str">
        <f t="shared" si="69"/>
        <v/>
      </c>
      <c r="AK253" s="237" t="str">
        <f t="shared" si="58"/>
        <v/>
      </c>
      <c r="AL253" s="237" t="str">
        <f t="shared" si="70"/>
        <v/>
      </c>
      <c r="AM253" s="192" t="e">
        <f t="shared" si="59"/>
        <v>#VALUE!</v>
      </c>
      <c r="AN253" s="193" t="e">
        <f t="shared" si="60"/>
        <v>#VALUE!</v>
      </c>
      <c r="AO253" s="193" t="e">
        <f t="shared" si="61"/>
        <v>#VALUE!</v>
      </c>
      <c r="AP253" s="193"/>
      <c r="AQ253" s="204"/>
      <c r="AR253" s="204"/>
      <c r="AS253" s="204"/>
      <c r="AT253" s="205"/>
      <c r="AU253"/>
    </row>
    <row r="254" spans="2:47" ht="15" customHeight="1" x14ac:dyDescent="0.25">
      <c r="B254" s="206"/>
      <c r="C254" s="185"/>
      <c r="D254" s="164"/>
      <c r="E254" s="174"/>
      <c r="F254" s="164"/>
      <c r="G254" s="174"/>
      <c r="H254" s="164"/>
      <c r="I254" s="174"/>
      <c r="J254" s="184"/>
      <c r="K254" s="186"/>
      <c r="L254" s="187" t="str">
        <f t="shared" si="62"/>
        <v/>
      </c>
      <c r="M254" s="187" t="str">
        <f t="shared" si="63"/>
        <v/>
      </c>
      <c r="N254" s="187" t="str">
        <f t="shared" si="55"/>
        <v>D</v>
      </c>
      <c r="O254" s="187" t="str">
        <f t="shared" si="64"/>
        <v>D</v>
      </c>
      <c r="P254" s="187">
        <f t="shared" si="65"/>
        <v>1</v>
      </c>
      <c r="Q254" s="187">
        <f>IFERROR(VLOOKUP(E254,Tabela_Deflator:E$43,5,FALSE),1)</f>
        <v>1</v>
      </c>
      <c r="R254" s="188" t="str">
        <f t="shared" si="66"/>
        <v/>
      </c>
      <c r="S254" s="237" t="str">
        <f t="shared" si="56"/>
        <v/>
      </c>
      <c r="T254" s="237" t="str">
        <f t="shared" si="71"/>
        <v/>
      </c>
      <c r="U254" s="189"/>
      <c r="V254" s="167"/>
      <c r="W254" s="165"/>
      <c r="X254" s="164"/>
      <c r="Y254" s="164"/>
      <c r="Z254" s="164"/>
      <c r="AA254" s="174"/>
      <c r="AB254" s="164"/>
      <c r="AC254" s="174"/>
      <c r="AD254" s="184"/>
      <c r="AE254" s="190" t="str">
        <f t="shared" si="67"/>
        <v/>
      </c>
      <c r="AF254" s="190" t="str">
        <f t="shared" si="68"/>
        <v/>
      </c>
      <c r="AG254" s="190" t="str">
        <f t="shared" si="57"/>
        <v>D</v>
      </c>
      <c r="AH254" s="190">
        <f>IFERROR(VLOOKUP(Y254,SISP_Deflatores_e_INMs!B$4:F$49,3,FALSE),1)</f>
        <v>1</v>
      </c>
      <c r="AI254" s="190">
        <f>IFERROR(VLOOKUP(Y254,SISP_Deflatores_e_INMs!B$4:G$49,5,FALSE),1)</f>
        <v>1</v>
      </c>
      <c r="AJ254" s="191" t="str">
        <f t="shared" si="69"/>
        <v/>
      </c>
      <c r="AK254" s="237" t="str">
        <f t="shared" si="58"/>
        <v/>
      </c>
      <c r="AL254" s="237" t="str">
        <f t="shared" si="70"/>
        <v/>
      </c>
      <c r="AM254" s="192" t="e">
        <f t="shared" si="59"/>
        <v>#VALUE!</v>
      </c>
      <c r="AN254" s="193" t="e">
        <f t="shared" si="60"/>
        <v>#VALUE!</v>
      </c>
      <c r="AO254" s="193" t="e">
        <f t="shared" si="61"/>
        <v>#VALUE!</v>
      </c>
      <c r="AP254" s="193"/>
      <c r="AQ254" s="204"/>
      <c r="AR254" s="204"/>
      <c r="AS254" s="204"/>
      <c r="AT254" s="205"/>
      <c r="AU254"/>
    </row>
    <row r="255" spans="2:47" ht="15" customHeight="1" x14ac:dyDescent="0.25">
      <c r="B255" s="206"/>
      <c r="C255" s="185"/>
      <c r="D255" s="164"/>
      <c r="E255" s="174"/>
      <c r="F255" s="164"/>
      <c r="G255" s="174"/>
      <c r="H255" s="164"/>
      <c r="I255" s="174"/>
      <c r="J255" s="184"/>
      <c r="K255" s="186"/>
      <c r="L255" s="187" t="str">
        <f t="shared" si="62"/>
        <v/>
      </c>
      <c r="M255" s="187" t="str">
        <f t="shared" si="63"/>
        <v/>
      </c>
      <c r="N255" s="187" t="str">
        <f t="shared" si="55"/>
        <v>D</v>
      </c>
      <c r="O255" s="187" t="str">
        <f t="shared" si="64"/>
        <v>D</v>
      </c>
      <c r="P255" s="187">
        <f t="shared" si="65"/>
        <v>1</v>
      </c>
      <c r="Q255" s="187">
        <f>IFERROR(VLOOKUP(E255,Tabela_Deflator:E$43,5,FALSE),1)</f>
        <v>1</v>
      </c>
      <c r="R255" s="188" t="str">
        <f t="shared" si="66"/>
        <v/>
      </c>
      <c r="S255" s="237" t="str">
        <f t="shared" si="56"/>
        <v/>
      </c>
      <c r="T255" s="237" t="str">
        <f t="shared" si="71"/>
        <v/>
      </c>
      <c r="U255" s="189"/>
      <c r="V255" s="167"/>
      <c r="W255" s="165"/>
      <c r="X255" s="164"/>
      <c r="Y255" s="164"/>
      <c r="Z255" s="164"/>
      <c r="AA255" s="174"/>
      <c r="AB255" s="164"/>
      <c r="AC255" s="174"/>
      <c r="AD255" s="184"/>
      <c r="AE255" s="190" t="str">
        <f t="shared" si="67"/>
        <v/>
      </c>
      <c r="AF255" s="190" t="str">
        <f t="shared" si="68"/>
        <v/>
      </c>
      <c r="AG255" s="190" t="str">
        <f t="shared" si="57"/>
        <v>D</v>
      </c>
      <c r="AH255" s="190">
        <f>IFERROR(VLOOKUP(Y255,SISP_Deflatores_e_INMs!B$4:F$49,3,FALSE),1)</f>
        <v>1</v>
      </c>
      <c r="AI255" s="190">
        <f>IFERROR(VLOOKUP(Y255,SISP_Deflatores_e_INMs!B$4:G$49,5,FALSE),1)</f>
        <v>1</v>
      </c>
      <c r="AJ255" s="191" t="str">
        <f t="shared" si="69"/>
        <v/>
      </c>
      <c r="AK255" s="237" t="str">
        <f t="shared" si="58"/>
        <v/>
      </c>
      <c r="AL255" s="237" t="str">
        <f t="shared" si="70"/>
        <v/>
      </c>
      <c r="AM255" s="192" t="e">
        <f t="shared" si="59"/>
        <v>#VALUE!</v>
      </c>
      <c r="AN255" s="193" t="e">
        <f t="shared" si="60"/>
        <v>#VALUE!</v>
      </c>
      <c r="AO255" s="193" t="e">
        <f t="shared" si="61"/>
        <v>#VALUE!</v>
      </c>
      <c r="AP255" s="193"/>
      <c r="AQ255" s="204"/>
      <c r="AR255" s="204"/>
      <c r="AS255" s="204"/>
      <c r="AT255" s="205"/>
      <c r="AU255"/>
    </row>
    <row r="256" spans="2:47" ht="15" customHeight="1" x14ac:dyDescent="0.25">
      <c r="B256" s="206"/>
      <c r="C256" s="185"/>
      <c r="D256" s="164"/>
      <c r="E256" s="174"/>
      <c r="F256" s="164"/>
      <c r="G256" s="174"/>
      <c r="H256" s="164"/>
      <c r="I256" s="174"/>
      <c r="J256" s="184"/>
      <c r="K256" s="186"/>
      <c r="L256" s="187" t="str">
        <f t="shared" si="62"/>
        <v/>
      </c>
      <c r="M256" s="187" t="str">
        <f t="shared" si="63"/>
        <v/>
      </c>
      <c r="N256" s="187" t="str">
        <f t="shared" si="55"/>
        <v>D</v>
      </c>
      <c r="O256" s="187" t="str">
        <f t="shared" si="64"/>
        <v>D</v>
      </c>
      <c r="P256" s="187">
        <f t="shared" si="65"/>
        <v>1</v>
      </c>
      <c r="Q256" s="187">
        <f>IFERROR(VLOOKUP(E256,Tabela_Deflator:E$43,5,FALSE),1)</f>
        <v>1</v>
      </c>
      <c r="R256" s="188" t="str">
        <f t="shared" si="66"/>
        <v/>
      </c>
      <c r="S256" s="237" t="str">
        <f t="shared" si="56"/>
        <v/>
      </c>
      <c r="T256" s="237" t="str">
        <f t="shared" si="71"/>
        <v/>
      </c>
      <c r="U256" s="189"/>
      <c r="V256" s="167"/>
      <c r="W256" s="165"/>
      <c r="X256" s="164"/>
      <c r="Y256" s="164"/>
      <c r="Z256" s="164"/>
      <c r="AA256" s="174"/>
      <c r="AB256" s="164"/>
      <c r="AC256" s="174"/>
      <c r="AD256" s="184"/>
      <c r="AE256" s="190" t="str">
        <f t="shared" si="67"/>
        <v/>
      </c>
      <c r="AF256" s="190" t="str">
        <f t="shared" si="68"/>
        <v/>
      </c>
      <c r="AG256" s="190" t="str">
        <f t="shared" si="57"/>
        <v>D</v>
      </c>
      <c r="AH256" s="190">
        <f>IFERROR(VLOOKUP(Y256,SISP_Deflatores_e_INMs!B$4:F$49,3,FALSE),1)</f>
        <v>1</v>
      </c>
      <c r="AI256" s="190">
        <f>IFERROR(VLOOKUP(Y256,SISP_Deflatores_e_INMs!B$4:G$49,5,FALSE),1)</f>
        <v>1</v>
      </c>
      <c r="AJ256" s="191" t="str">
        <f t="shared" si="69"/>
        <v/>
      </c>
      <c r="AK256" s="237" t="str">
        <f t="shared" si="58"/>
        <v/>
      </c>
      <c r="AL256" s="237" t="str">
        <f t="shared" si="70"/>
        <v/>
      </c>
      <c r="AM256" s="192" t="e">
        <f t="shared" si="59"/>
        <v>#VALUE!</v>
      </c>
      <c r="AN256" s="193" t="e">
        <f t="shared" si="60"/>
        <v>#VALUE!</v>
      </c>
      <c r="AO256" s="193" t="e">
        <f t="shared" si="61"/>
        <v>#VALUE!</v>
      </c>
      <c r="AP256" s="193"/>
      <c r="AQ256" s="204"/>
      <c r="AR256" s="204"/>
      <c r="AS256" s="204"/>
      <c r="AT256" s="205"/>
      <c r="AU256"/>
    </row>
    <row r="257" spans="2:47" ht="15" customHeight="1" x14ac:dyDescent="0.25">
      <c r="B257" s="206"/>
      <c r="C257" s="185"/>
      <c r="D257" s="164"/>
      <c r="E257" s="174"/>
      <c r="F257" s="164"/>
      <c r="G257" s="174"/>
      <c r="H257" s="164"/>
      <c r="I257" s="174"/>
      <c r="J257" s="184"/>
      <c r="K257" s="186"/>
      <c r="L257" s="187" t="str">
        <f t="shared" si="62"/>
        <v/>
      </c>
      <c r="M257" s="187" t="str">
        <f t="shared" si="63"/>
        <v/>
      </c>
      <c r="N257" s="187" t="str">
        <f t="shared" si="55"/>
        <v>D</v>
      </c>
      <c r="O257" s="187" t="str">
        <f t="shared" si="64"/>
        <v>D</v>
      </c>
      <c r="P257" s="187">
        <f t="shared" si="65"/>
        <v>1</v>
      </c>
      <c r="Q257" s="187">
        <f>IFERROR(VLOOKUP(E257,Tabela_Deflator:E$43,5,FALSE),1)</f>
        <v>1</v>
      </c>
      <c r="R257" s="188" t="str">
        <f t="shared" si="66"/>
        <v/>
      </c>
      <c r="S257" s="237" t="str">
        <f t="shared" si="56"/>
        <v/>
      </c>
      <c r="T257" s="237" t="str">
        <f t="shared" si="71"/>
        <v/>
      </c>
      <c r="U257" s="189"/>
      <c r="V257" s="167"/>
      <c r="W257" s="165"/>
      <c r="X257" s="164"/>
      <c r="Y257" s="164"/>
      <c r="Z257" s="164"/>
      <c r="AA257" s="174"/>
      <c r="AB257" s="164"/>
      <c r="AC257" s="174"/>
      <c r="AD257" s="184"/>
      <c r="AE257" s="190" t="str">
        <f t="shared" si="67"/>
        <v/>
      </c>
      <c r="AF257" s="190" t="str">
        <f t="shared" si="68"/>
        <v/>
      </c>
      <c r="AG257" s="190" t="str">
        <f t="shared" si="57"/>
        <v>D</v>
      </c>
      <c r="AH257" s="190">
        <f>IFERROR(VLOOKUP(Y257,SISP_Deflatores_e_INMs!B$4:F$49,3,FALSE),1)</f>
        <v>1</v>
      </c>
      <c r="AI257" s="190">
        <f>IFERROR(VLOOKUP(Y257,SISP_Deflatores_e_INMs!B$4:G$49,5,FALSE),1)</f>
        <v>1</v>
      </c>
      <c r="AJ257" s="191" t="str">
        <f t="shared" si="69"/>
        <v/>
      </c>
      <c r="AK257" s="237" t="str">
        <f t="shared" si="58"/>
        <v/>
      </c>
      <c r="AL257" s="237" t="str">
        <f t="shared" si="70"/>
        <v/>
      </c>
      <c r="AM257" s="192" t="e">
        <f t="shared" si="59"/>
        <v>#VALUE!</v>
      </c>
      <c r="AN257" s="193" t="e">
        <f t="shared" si="60"/>
        <v>#VALUE!</v>
      </c>
      <c r="AO257" s="193" t="e">
        <f t="shared" si="61"/>
        <v>#VALUE!</v>
      </c>
      <c r="AP257" s="193"/>
      <c r="AQ257" s="204"/>
      <c r="AR257" s="204"/>
      <c r="AS257" s="204"/>
      <c r="AT257" s="205"/>
      <c r="AU257"/>
    </row>
    <row r="258" spans="2:47" ht="15" customHeight="1" x14ac:dyDescent="0.25">
      <c r="B258" s="206"/>
      <c r="C258" s="185"/>
      <c r="D258" s="164"/>
      <c r="E258" s="174"/>
      <c r="F258" s="164"/>
      <c r="G258" s="174"/>
      <c r="H258" s="164"/>
      <c r="I258" s="174"/>
      <c r="J258" s="184"/>
      <c r="K258" s="186"/>
      <c r="L258" s="187" t="str">
        <f t="shared" si="62"/>
        <v/>
      </c>
      <c r="M258" s="187" t="str">
        <f t="shared" si="63"/>
        <v/>
      </c>
      <c r="N258" s="187" t="str">
        <f t="shared" si="55"/>
        <v>D</v>
      </c>
      <c r="O258" s="187" t="str">
        <f t="shared" si="64"/>
        <v>D</v>
      </c>
      <c r="P258" s="187">
        <f t="shared" si="65"/>
        <v>1</v>
      </c>
      <c r="Q258" s="187">
        <f>IFERROR(VLOOKUP(E258,Tabela_Deflator:E$43,5,FALSE),1)</f>
        <v>1</v>
      </c>
      <c r="R258" s="188" t="str">
        <f t="shared" si="66"/>
        <v/>
      </c>
      <c r="S258" s="237" t="str">
        <f t="shared" si="56"/>
        <v/>
      </c>
      <c r="T258" s="237" t="str">
        <f t="shared" si="71"/>
        <v/>
      </c>
      <c r="U258" s="189"/>
      <c r="V258" s="167"/>
      <c r="W258" s="165"/>
      <c r="X258" s="164"/>
      <c r="Y258" s="164"/>
      <c r="Z258" s="164"/>
      <c r="AA258" s="174"/>
      <c r="AB258" s="164"/>
      <c r="AC258" s="174"/>
      <c r="AD258" s="184"/>
      <c r="AE258" s="190" t="str">
        <f t="shared" si="67"/>
        <v/>
      </c>
      <c r="AF258" s="190" t="str">
        <f t="shared" si="68"/>
        <v/>
      </c>
      <c r="AG258" s="190" t="str">
        <f t="shared" si="57"/>
        <v>D</v>
      </c>
      <c r="AH258" s="190">
        <f>IFERROR(VLOOKUP(Y258,SISP_Deflatores_e_INMs!B$4:F$49,3,FALSE),1)</f>
        <v>1</v>
      </c>
      <c r="AI258" s="190">
        <f>IFERROR(VLOOKUP(Y258,SISP_Deflatores_e_INMs!B$4:G$49,5,FALSE),1)</f>
        <v>1</v>
      </c>
      <c r="AJ258" s="191" t="str">
        <f t="shared" si="69"/>
        <v/>
      </c>
      <c r="AK258" s="237" t="str">
        <f t="shared" si="58"/>
        <v/>
      </c>
      <c r="AL258" s="237" t="str">
        <f t="shared" si="70"/>
        <v/>
      </c>
      <c r="AM258" s="192" t="e">
        <f t="shared" si="59"/>
        <v>#VALUE!</v>
      </c>
      <c r="AN258" s="193" t="e">
        <f t="shared" si="60"/>
        <v>#VALUE!</v>
      </c>
      <c r="AO258" s="193" t="e">
        <f t="shared" si="61"/>
        <v>#VALUE!</v>
      </c>
      <c r="AP258" s="193"/>
      <c r="AQ258" s="204"/>
      <c r="AR258" s="204"/>
      <c r="AS258" s="204"/>
      <c r="AT258" s="205"/>
      <c r="AU258"/>
    </row>
    <row r="259" spans="2:47" ht="15" customHeight="1" x14ac:dyDescent="0.25">
      <c r="B259" s="206"/>
      <c r="C259" s="185"/>
      <c r="D259" s="164"/>
      <c r="E259" s="174"/>
      <c r="F259" s="164"/>
      <c r="G259" s="174"/>
      <c r="H259" s="164"/>
      <c r="I259" s="174"/>
      <c r="J259" s="184"/>
      <c r="K259" s="186"/>
      <c r="L259" s="187" t="str">
        <f t="shared" si="62"/>
        <v/>
      </c>
      <c r="M259" s="187" t="str">
        <f t="shared" si="63"/>
        <v/>
      </c>
      <c r="N259" s="187" t="str">
        <f t="shared" si="55"/>
        <v>D</v>
      </c>
      <c r="O259" s="187" t="str">
        <f t="shared" si="64"/>
        <v>D</v>
      </c>
      <c r="P259" s="187">
        <f t="shared" si="65"/>
        <v>1</v>
      </c>
      <c r="Q259" s="187">
        <f>IFERROR(VLOOKUP(E259,Tabela_Deflator:E$43,5,FALSE),1)</f>
        <v>1</v>
      </c>
      <c r="R259" s="188" t="str">
        <f t="shared" si="66"/>
        <v/>
      </c>
      <c r="S259" s="237" t="str">
        <f t="shared" si="56"/>
        <v/>
      </c>
      <c r="T259" s="237" t="str">
        <f t="shared" si="71"/>
        <v/>
      </c>
      <c r="U259" s="189"/>
      <c r="V259" s="167"/>
      <c r="W259" s="165"/>
      <c r="X259" s="164"/>
      <c r="Y259" s="164"/>
      <c r="Z259" s="164"/>
      <c r="AA259" s="174"/>
      <c r="AB259" s="164"/>
      <c r="AC259" s="174"/>
      <c r="AD259" s="184"/>
      <c r="AE259" s="190" t="str">
        <f t="shared" si="67"/>
        <v/>
      </c>
      <c r="AF259" s="190" t="str">
        <f t="shared" si="68"/>
        <v/>
      </c>
      <c r="AG259" s="190" t="str">
        <f t="shared" si="57"/>
        <v>D</v>
      </c>
      <c r="AH259" s="190">
        <f>IFERROR(VLOOKUP(Y259,SISP_Deflatores_e_INMs!B$4:F$49,3,FALSE),1)</f>
        <v>1</v>
      </c>
      <c r="AI259" s="190">
        <f>IFERROR(VLOOKUP(Y259,SISP_Deflatores_e_INMs!B$4:G$49,5,FALSE),1)</f>
        <v>1</v>
      </c>
      <c r="AJ259" s="191" t="str">
        <f t="shared" si="69"/>
        <v/>
      </c>
      <c r="AK259" s="237" t="str">
        <f t="shared" si="58"/>
        <v/>
      </c>
      <c r="AL259" s="237" t="str">
        <f t="shared" si="70"/>
        <v/>
      </c>
      <c r="AM259" s="192" t="e">
        <f t="shared" si="59"/>
        <v>#VALUE!</v>
      </c>
      <c r="AN259" s="193" t="e">
        <f t="shared" si="60"/>
        <v>#VALUE!</v>
      </c>
      <c r="AO259" s="193" t="e">
        <f t="shared" si="61"/>
        <v>#VALUE!</v>
      </c>
      <c r="AP259" s="193"/>
      <c r="AQ259" s="204"/>
      <c r="AR259" s="204"/>
      <c r="AS259" s="204"/>
      <c r="AT259" s="205"/>
      <c r="AU259"/>
    </row>
    <row r="260" spans="2:47" ht="15" customHeight="1" x14ac:dyDescent="0.25">
      <c r="B260" s="206"/>
      <c r="C260" s="185"/>
      <c r="D260" s="164"/>
      <c r="E260" s="174"/>
      <c r="F260" s="164"/>
      <c r="G260" s="174"/>
      <c r="H260" s="164"/>
      <c r="I260" s="174"/>
      <c r="J260" s="184"/>
      <c r="K260" s="186"/>
      <c r="L260" s="187" t="str">
        <f t="shared" si="62"/>
        <v/>
      </c>
      <c r="M260" s="187" t="str">
        <f t="shared" si="63"/>
        <v/>
      </c>
      <c r="N260" s="187" t="str">
        <f t="shared" ref="N260:N323" si="72">IF(Tipo_de_contagem="Contagem Detalhada","D",IF(Tipo_de_contagem="Contagem Estimada","E","S"))</f>
        <v>D</v>
      </c>
      <c r="O260" s="187" t="str">
        <f t="shared" si="64"/>
        <v>D</v>
      </c>
      <c r="P260" s="187">
        <f t="shared" si="65"/>
        <v>1</v>
      </c>
      <c r="Q260" s="187">
        <f>IFERROR(VLOOKUP(E260,Tabela_Deflator:E$43,5,FALSE),1)</f>
        <v>1</v>
      </c>
      <c r="R260" s="188" t="str">
        <f t="shared" si="66"/>
        <v/>
      </c>
      <c r="S260" s="237" t="str">
        <f t="shared" ref="S260:S323" si="73">IF(D260="N/A","",IF(D260="","",IFERROR(IF(D260="INM",P260*J260,VLOOKUP(O260,Tabela_Pontuação,2,FALSE)),0)))</f>
        <v/>
      </c>
      <c r="T260" s="237" t="str">
        <f t="shared" si="71"/>
        <v/>
      </c>
      <c r="U260" s="189"/>
      <c r="V260" s="167"/>
      <c r="W260" s="165"/>
      <c r="X260" s="164"/>
      <c r="Y260" s="164"/>
      <c r="Z260" s="164"/>
      <c r="AA260" s="174"/>
      <c r="AB260" s="164"/>
      <c r="AC260" s="174"/>
      <c r="AD260" s="184"/>
      <c r="AE260" s="190" t="str">
        <f t="shared" si="67"/>
        <v/>
      </c>
      <c r="AF260" s="190" t="str">
        <f t="shared" si="68"/>
        <v/>
      </c>
      <c r="AG260" s="190" t="str">
        <f t="shared" ref="AG260:AG323" si="74">IF(N260="S",X260,CONCATENATE(X260,AE260,N260))</f>
        <v>D</v>
      </c>
      <c r="AH260" s="190">
        <f>IFERROR(VLOOKUP(Y260,SISP_Deflatores_e_INMs!B$4:F$49,3,FALSE),1)</f>
        <v>1</v>
      </c>
      <c r="AI260" s="190">
        <f>IFERROR(VLOOKUP(Y260,SISP_Deflatores_e_INMs!B$4:G$49,5,FALSE),1)</f>
        <v>1</v>
      </c>
      <c r="AJ260" s="191" t="str">
        <f t="shared" si="69"/>
        <v/>
      </c>
      <c r="AK260" s="237" t="str">
        <f t="shared" ref="AK260:AK323" si="75">IFERROR(IF(X260="INM",AH260*AD260,VLOOKUP(AG260,Tabela_Pontuação,2,FALSE)),"")</f>
        <v/>
      </c>
      <c r="AL260" s="237" t="str">
        <f t="shared" si="70"/>
        <v/>
      </c>
      <c r="AM260" s="192" t="e">
        <f t="shared" ref="AM260:AM323" si="76">IF(S260&lt;=0,0,AK260-S260)</f>
        <v>#VALUE!</v>
      </c>
      <c r="AN260" s="193" t="e">
        <f t="shared" ref="AN260:AN323" si="77">AM260/S260</f>
        <v>#VALUE!</v>
      </c>
      <c r="AO260" s="193" t="e">
        <f t="shared" ref="AO260:AO323" si="78">IF(T260&lt;=0,0,AL260-T260)</f>
        <v>#VALUE!</v>
      </c>
      <c r="AP260" s="193"/>
      <c r="AQ260" s="204"/>
      <c r="AR260" s="204"/>
      <c r="AS260" s="204"/>
      <c r="AT260" s="205"/>
      <c r="AU260"/>
    </row>
    <row r="261" spans="2:47" ht="15" customHeight="1" x14ac:dyDescent="0.25">
      <c r="B261" s="206"/>
      <c r="C261" s="185"/>
      <c r="D261" s="164"/>
      <c r="E261" s="174"/>
      <c r="F261" s="164"/>
      <c r="G261" s="174"/>
      <c r="H261" s="164"/>
      <c r="I261" s="174"/>
      <c r="J261" s="184"/>
      <c r="K261" s="186"/>
      <c r="L261" s="187" t="str">
        <f t="shared" ref="L261:L324" si="79">IF(OR(ISBLANK(F261),ISBLANK(H261)),IF(OR(D261="ALI",D261="AIE"),"L",IF(ISBLANK(D261),"","A")),IF(D261="EE",IF(H261&gt;=3,IF(F261&gt;=5,"H","A"),IF(H261&gt;=2,IF(F261&gt;=16,"H",IF(F261&lt;=4,"L","A")),IF(F261&lt;=15,"L","A"))),IF(OR(D261="SE",D261="CE"),IF(H261&gt;=4,IF(F261&gt;=6,"H","A"),IF(H261&gt;=2,IF(F261&gt;=20,"H",IF(F261&lt;=5,"L","A")),IF(F261&lt;=19,"L","A"))),IF(OR(D261="ALI",D261="AIE"),IF(H261&gt;=6,IF(F261&gt;=20,"H","A"),IF(H261&gt;=2,IF(F261&gt;=51,"H",IF(F261&lt;=19,"L","A")),IF(F261&lt;=50,"L","A")))))))</f>
        <v/>
      </c>
      <c r="M261" s="187" t="str">
        <f t="shared" ref="M261:M324" si="80">CONCATENATE(D261,L261)</f>
        <v/>
      </c>
      <c r="N261" s="187" t="str">
        <f t="shared" si="72"/>
        <v>D</v>
      </c>
      <c r="O261" s="187" t="str">
        <f t="shared" ref="O261:O324" si="81">IF(N261="S",D261,CONCATENATE(D261,L261,N261))</f>
        <v>D</v>
      </c>
      <c r="P261" s="187">
        <f t="shared" ref="P261:P324" si="82">IFERROR(VLOOKUP(E261,Tabela_Deflator,3,FALSE),1)</f>
        <v>1</v>
      </c>
      <c r="Q261" s="187">
        <f>IFERROR(VLOOKUP(E261,Tabela_Deflator:E$43,5,FALSE),1)</f>
        <v>1</v>
      </c>
      <c r="R261" s="188" t="str">
        <f t="shared" ref="R261:R324" si="83">IF(OR(D261="INM",D261="N/A"),"",IF(L261="L","Baixa",IF(L261="A","Média",IF(L261="","","Alta"))))</f>
        <v/>
      </c>
      <c r="S261" s="237" t="str">
        <f t="shared" si="73"/>
        <v/>
      </c>
      <c r="T261" s="237" t="str">
        <f t="shared" si="71"/>
        <v/>
      </c>
      <c r="U261" s="189"/>
      <c r="V261" s="167"/>
      <c r="W261" s="165"/>
      <c r="X261" s="164"/>
      <c r="Y261" s="164"/>
      <c r="Z261" s="164"/>
      <c r="AA261" s="174"/>
      <c r="AB261" s="164"/>
      <c r="AC261" s="174"/>
      <c r="AD261" s="184"/>
      <c r="AE261" s="190" t="str">
        <f t="shared" ref="AE261:AE324" si="84">IF(OR(ISBLANK(Z261),ISBLANK(AB261)),IF(OR(X261="ALI",X261="AIE"),"L",IF(ISBLANK(X261),"","A")),IF(X261="EE",IF(AB261&gt;=3,IF(Z261&gt;=5,"H","A"),IF(AB261&gt;=2,IF(Z261&gt;=16,"H",IF(Z261&lt;=4,"L","A")),IF(Z261&lt;=15,"L","A"))),IF(OR(X261="SE",X261="CE"),IF(AB261&gt;=4,IF(Z261&gt;=6,"H","A"),IF(AB261&gt;=2,IF(Z261&gt;=20,"H",IF(Z261&lt;=5,"L","A")),IF(Z261&lt;=19,"L","A"))),IF(OR(X261="ALI",X261="AIE"),IF(AB261&gt;=6,IF(Z261&gt;=20,"H","A"),IF(AB261&gt;=2,IF(Z261&gt;=51,"H",IF(Z261&lt;=19,"L","A")),IF(Z261&lt;=50,"L","A")))))))</f>
        <v/>
      </c>
      <c r="AF261" s="190" t="str">
        <f t="shared" ref="AF261:AF324" si="85">CONCATENATE(X261,AE261)</f>
        <v/>
      </c>
      <c r="AG261" s="190" t="str">
        <f t="shared" si="74"/>
        <v>D</v>
      </c>
      <c r="AH261" s="190">
        <f>IFERROR(VLOOKUP(Y261,SISP_Deflatores_e_INMs!B$4:F$49,3,FALSE),1)</f>
        <v>1</v>
      </c>
      <c r="AI261" s="190">
        <f>IFERROR(VLOOKUP(Y261,SISP_Deflatores_e_INMs!B$4:G$49,5,FALSE),1)</f>
        <v>1</v>
      </c>
      <c r="AJ261" s="191" t="str">
        <f t="shared" ref="AJ261:AJ324" si="86">IF(OR(X261="INM",X261="N/A"),"",IF(AE261="L","Baixa",IF(AE261="A","Média",IF(AE261="","","Alta"))))</f>
        <v/>
      </c>
      <c r="AK261" s="237" t="str">
        <f t="shared" si="75"/>
        <v/>
      </c>
      <c r="AL261" s="237" t="str">
        <f t="shared" ref="AL261:AL324" si="87">IFERROR(IF(OR(ISBLANK(V261),V261="NOK"),"",IF(X261="INM",(1*AH261)*AD261,AK261*AH261)),"")</f>
        <v/>
      </c>
      <c r="AM261" s="192" t="e">
        <f t="shared" si="76"/>
        <v>#VALUE!</v>
      </c>
      <c r="AN261" s="193" t="e">
        <f t="shared" si="77"/>
        <v>#VALUE!</v>
      </c>
      <c r="AO261" s="193" t="e">
        <f t="shared" si="78"/>
        <v>#VALUE!</v>
      </c>
      <c r="AP261" s="193"/>
      <c r="AQ261" s="204"/>
      <c r="AR261" s="204"/>
      <c r="AS261" s="204"/>
      <c r="AT261" s="205"/>
      <c r="AU261"/>
    </row>
    <row r="262" spans="2:47" ht="15" customHeight="1" x14ac:dyDescent="0.25">
      <c r="B262" s="206"/>
      <c r="C262" s="185"/>
      <c r="D262" s="164"/>
      <c r="E262" s="174"/>
      <c r="F262" s="164"/>
      <c r="G262" s="174"/>
      <c r="H262" s="164"/>
      <c r="I262" s="174"/>
      <c r="J262" s="184"/>
      <c r="K262" s="186"/>
      <c r="L262" s="187" t="str">
        <f t="shared" si="79"/>
        <v/>
      </c>
      <c r="M262" s="187" t="str">
        <f t="shared" si="80"/>
        <v/>
      </c>
      <c r="N262" s="187" t="str">
        <f t="shared" si="72"/>
        <v>D</v>
      </c>
      <c r="O262" s="187" t="str">
        <f t="shared" si="81"/>
        <v>D</v>
      </c>
      <c r="P262" s="187">
        <f t="shared" si="82"/>
        <v>1</v>
      </c>
      <c r="Q262" s="187">
        <f>IFERROR(VLOOKUP(E262,Tabela_Deflator:E$43,5,FALSE),1)</f>
        <v>1</v>
      </c>
      <c r="R262" s="188" t="str">
        <f t="shared" si="83"/>
        <v/>
      </c>
      <c r="S262" s="237" t="str">
        <f t="shared" si="73"/>
        <v/>
      </c>
      <c r="T262" s="237" t="str">
        <f t="shared" ref="T262:T325" si="88" xml:space="preserve"> IF(D262="N/A","",IF(D262="","",IF(D262="INM",(1*P262)*J262,S262*P262)))</f>
        <v/>
      </c>
      <c r="U262" s="189"/>
      <c r="V262" s="167"/>
      <c r="W262" s="165"/>
      <c r="X262" s="164"/>
      <c r="Y262" s="164"/>
      <c r="Z262" s="164"/>
      <c r="AA262" s="174"/>
      <c r="AB262" s="164"/>
      <c r="AC262" s="174"/>
      <c r="AD262" s="184"/>
      <c r="AE262" s="190" t="str">
        <f t="shared" si="84"/>
        <v/>
      </c>
      <c r="AF262" s="190" t="str">
        <f t="shared" si="85"/>
        <v/>
      </c>
      <c r="AG262" s="190" t="str">
        <f t="shared" si="74"/>
        <v>D</v>
      </c>
      <c r="AH262" s="190">
        <f>IFERROR(VLOOKUP(Y262,SISP_Deflatores_e_INMs!B$4:F$49,3,FALSE),1)</f>
        <v>1</v>
      </c>
      <c r="AI262" s="190">
        <f>IFERROR(VLOOKUP(Y262,SISP_Deflatores_e_INMs!B$4:G$49,5,FALSE),1)</f>
        <v>1</v>
      </c>
      <c r="AJ262" s="191" t="str">
        <f t="shared" si="86"/>
        <v/>
      </c>
      <c r="AK262" s="237" t="str">
        <f t="shared" si="75"/>
        <v/>
      </c>
      <c r="AL262" s="237" t="str">
        <f t="shared" si="87"/>
        <v/>
      </c>
      <c r="AM262" s="192" t="e">
        <f t="shared" si="76"/>
        <v>#VALUE!</v>
      </c>
      <c r="AN262" s="193" t="e">
        <f t="shared" si="77"/>
        <v>#VALUE!</v>
      </c>
      <c r="AO262" s="193" t="e">
        <f t="shared" si="78"/>
        <v>#VALUE!</v>
      </c>
      <c r="AP262" s="193"/>
      <c r="AQ262" s="204"/>
      <c r="AR262" s="204"/>
      <c r="AS262" s="204"/>
      <c r="AT262" s="205"/>
      <c r="AU262"/>
    </row>
    <row r="263" spans="2:47" ht="15" customHeight="1" x14ac:dyDescent="0.25">
      <c r="B263" s="206"/>
      <c r="C263" s="185"/>
      <c r="D263" s="164"/>
      <c r="E263" s="174"/>
      <c r="F263" s="164"/>
      <c r="G263" s="174"/>
      <c r="H263" s="164"/>
      <c r="I263" s="174"/>
      <c r="J263" s="184"/>
      <c r="K263" s="186"/>
      <c r="L263" s="187" t="str">
        <f t="shared" si="79"/>
        <v/>
      </c>
      <c r="M263" s="187" t="str">
        <f t="shared" si="80"/>
        <v/>
      </c>
      <c r="N263" s="187" t="str">
        <f t="shared" si="72"/>
        <v>D</v>
      </c>
      <c r="O263" s="187" t="str">
        <f t="shared" si="81"/>
        <v>D</v>
      </c>
      <c r="P263" s="187">
        <f t="shared" si="82"/>
        <v>1</v>
      </c>
      <c r="Q263" s="187">
        <f>IFERROR(VLOOKUP(E263,Tabela_Deflator:E$43,5,FALSE),1)</f>
        <v>1</v>
      </c>
      <c r="R263" s="188" t="str">
        <f t="shared" si="83"/>
        <v/>
      </c>
      <c r="S263" s="237" t="str">
        <f t="shared" si="73"/>
        <v/>
      </c>
      <c r="T263" s="237" t="str">
        <f t="shared" si="88"/>
        <v/>
      </c>
      <c r="U263" s="189"/>
      <c r="V263" s="167"/>
      <c r="W263" s="165"/>
      <c r="X263" s="164"/>
      <c r="Y263" s="164"/>
      <c r="Z263" s="164"/>
      <c r="AA263" s="174"/>
      <c r="AB263" s="164"/>
      <c r="AC263" s="174"/>
      <c r="AD263" s="184"/>
      <c r="AE263" s="190" t="str">
        <f t="shared" si="84"/>
        <v/>
      </c>
      <c r="AF263" s="190" t="str">
        <f t="shared" si="85"/>
        <v/>
      </c>
      <c r="AG263" s="190" t="str">
        <f t="shared" si="74"/>
        <v>D</v>
      </c>
      <c r="AH263" s="190">
        <f>IFERROR(VLOOKUP(Y263,SISP_Deflatores_e_INMs!B$4:F$49,3,FALSE),1)</f>
        <v>1</v>
      </c>
      <c r="AI263" s="190">
        <f>IFERROR(VLOOKUP(Y263,SISP_Deflatores_e_INMs!B$4:G$49,5,FALSE),1)</f>
        <v>1</v>
      </c>
      <c r="AJ263" s="191" t="str">
        <f t="shared" si="86"/>
        <v/>
      </c>
      <c r="AK263" s="237" t="str">
        <f t="shared" si="75"/>
        <v/>
      </c>
      <c r="AL263" s="237" t="str">
        <f t="shared" si="87"/>
        <v/>
      </c>
      <c r="AM263" s="192" t="e">
        <f t="shared" si="76"/>
        <v>#VALUE!</v>
      </c>
      <c r="AN263" s="193" t="e">
        <f t="shared" si="77"/>
        <v>#VALUE!</v>
      </c>
      <c r="AO263" s="193" t="e">
        <f t="shared" si="78"/>
        <v>#VALUE!</v>
      </c>
      <c r="AP263" s="193"/>
      <c r="AQ263" s="204"/>
      <c r="AR263" s="204"/>
      <c r="AS263" s="204"/>
      <c r="AT263" s="205"/>
      <c r="AU263"/>
    </row>
    <row r="264" spans="2:47" ht="15" customHeight="1" x14ac:dyDescent="0.25">
      <c r="B264" s="206"/>
      <c r="C264" s="185"/>
      <c r="D264" s="164"/>
      <c r="E264" s="174"/>
      <c r="F264" s="164"/>
      <c r="G264" s="174"/>
      <c r="H264" s="164"/>
      <c r="I264" s="174"/>
      <c r="J264" s="184"/>
      <c r="K264" s="186"/>
      <c r="L264" s="187" t="str">
        <f t="shared" si="79"/>
        <v/>
      </c>
      <c r="M264" s="187" t="str">
        <f t="shared" si="80"/>
        <v/>
      </c>
      <c r="N264" s="187" t="str">
        <f t="shared" si="72"/>
        <v>D</v>
      </c>
      <c r="O264" s="187" t="str">
        <f t="shared" si="81"/>
        <v>D</v>
      </c>
      <c r="P264" s="187">
        <f t="shared" si="82"/>
        <v>1</v>
      </c>
      <c r="Q264" s="187">
        <f>IFERROR(VLOOKUP(E264,Tabela_Deflator:E$43,5,FALSE),1)</f>
        <v>1</v>
      </c>
      <c r="R264" s="188" t="str">
        <f t="shared" si="83"/>
        <v/>
      </c>
      <c r="S264" s="237" t="str">
        <f t="shared" si="73"/>
        <v/>
      </c>
      <c r="T264" s="237" t="str">
        <f t="shared" si="88"/>
        <v/>
      </c>
      <c r="U264" s="189"/>
      <c r="V264" s="167"/>
      <c r="W264" s="165"/>
      <c r="X264" s="164"/>
      <c r="Y264" s="164"/>
      <c r="Z264" s="164"/>
      <c r="AA264" s="174"/>
      <c r="AB264" s="164"/>
      <c r="AC264" s="174"/>
      <c r="AD264" s="184"/>
      <c r="AE264" s="190" t="str">
        <f t="shared" si="84"/>
        <v/>
      </c>
      <c r="AF264" s="190" t="str">
        <f t="shared" si="85"/>
        <v/>
      </c>
      <c r="AG264" s="190" t="str">
        <f t="shared" si="74"/>
        <v>D</v>
      </c>
      <c r="AH264" s="190">
        <f>IFERROR(VLOOKUP(Y264,SISP_Deflatores_e_INMs!B$4:F$49,3,FALSE),1)</f>
        <v>1</v>
      </c>
      <c r="AI264" s="190">
        <f>IFERROR(VLOOKUP(Y264,SISP_Deflatores_e_INMs!B$4:G$49,5,FALSE),1)</f>
        <v>1</v>
      </c>
      <c r="AJ264" s="191" t="str">
        <f t="shared" si="86"/>
        <v/>
      </c>
      <c r="AK264" s="237" t="str">
        <f t="shared" si="75"/>
        <v/>
      </c>
      <c r="AL264" s="237" t="str">
        <f t="shared" si="87"/>
        <v/>
      </c>
      <c r="AM264" s="192" t="e">
        <f t="shared" si="76"/>
        <v>#VALUE!</v>
      </c>
      <c r="AN264" s="193" t="e">
        <f t="shared" si="77"/>
        <v>#VALUE!</v>
      </c>
      <c r="AO264" s="193" t="e">
        <f t="shared" si="78"/>
        <v>#VALUE!</v>
      </c>
      <c r="AP264" s="193"/>
      <c r="AQ264" s="204"/>
      <c r="AR264" s="204"/>
      <c r="AS264" s="204"/>
      <c r="AT264" s="205"/>
      <c r="AU264"/>
    </row>
    <row r="265" spans="2:47" ht="15" customHeight="1" x14ac:dyDescent="0.25">
      <c r="B265" s="206"/>
      <c r="C265" s="185"/>
      <c r="D265" s="164"/>
      <c r="E265" s="174"/>
      <c r="F265" s="164"/>
      <c r="G265" s="174"/>
      <c r="H265" s="164"/>
      <c r="I265" s="174"/>
      <c r="J265" s="184"/>
      <c r="K265" s="186"/>
      <c r="L265" s="187" t="str">
        <f t="shared" si="79"/>
        <v/>
      </c>
      <c r="M265" s="187" t="str">
        <f t="shared" si="80"/>
        <v/>
      </c>
      <c r="N265" s="187" t="str">
        <f t="shared" si="72"/>
        <v>D</v>
      </c>
      <c r="O265" s="187" t="str">
        <f t="shared" si="81"/>
        <v>D</v>
      </c>
      <c r="P265" s="187">
        <f t="shared" si="82"/>
        <v>1</v>
      </c>
      <c r="Q265" s="187">
        <f>IFERROR(VLOOKUP(E265,Tabela_Deflator:E$43,5,FALSE),1)</f>
        <v>1</v>
      </c>
      <c r="R265" s="188" t="str">
        <f t="shared" si="83"/>
        <v/>
      </c>
      <c r="S265" s="237" t="str">
        <f t="shared" si="73"/>
        <v/>
      </c>
      <c r="T265" s="237" t="str">
        <f t="shared" si="88"/>
        <v/>
      </c>
      <c r="U265" s="189"/>
      <c r="V265" s="167"/>
      <c r="W265" s="165"/>
      <c r="X265" s="164"/>
      <c r="Y265" s="164"/>
      <c r="Z265" s="164"/>
      <c r="AA265" s="174"/>
      <c r="AB265" s="164"/>
      <c r="AC265" s="174"/>
      <c r="AD265" s="184"/>
      <c r="AE265" s="190" t="str">
        <f t="shared" si="84"/>
        <v/>
      </c>
      <c r="AF265" s="190" t="str">
        <f t="shared" si="85"/>
        <v/>
      </c>
      <c r="AG265" s="190" t="str">
        <f t="shared" si="74"/>
        <v>D</v>
      </c>
      <c r="AH265" s="190">
        <f>IFERROR(VLOOKUP(Y265,SISP_Deflatores_e_INMs!B$4:F$49,3,FALSE),1)</f>
        <v>1</v>
      </c>
      <c r="AI265" s="190">
        <f>IFERROR(VLOOKUP(Y265,SISP_Deflatores_e_INMs!B$4:G$49,5,FALSE),1)</f>
        <v>1</v>
      </c>
      <c r="AJ265" s="191" t="str">
        <f t="shared" si="86"/>
        <v/>
      </c>
      <c r="AK265" s="237" t="str">
        <f t="shared" si="75"/>
        <v/>
      </c>
      <c r="AL265" s="237" t="str">
        <f t="shared" si="87"/>
        <v/>
      </c>
      <c r="AM265" s="192" t="e">
        <f t="shared" si="76"/>
        <v>#VALUE!</v>
      </c>
      <c r="AN265" s="193" t="e">
        <f t="shared" si="77"/>
        <v>#VALUE!</v>
      </c>
      <c r="AO265" s="193" t="e">
        <f t="shared" si="78"/>
        <v>#VALUE!</v>
      </c>
      <c r="AP265" s="193"/>
      <c r="AQ265" s="204"/>
      <c r="AR265" s="204"/>
      <c r="AS265" s="204"/>
      <c r="AT265" s="205"/>
      <c r="AU265"/>
    </row>
    <row r="266" spans="2:47" ht="15" customHeight="1" x14ac:dyDescent="0.25">
      <c r="B266" s="206"/>
      <c r="C266" s="185"/>
      <c r="D266" s="164"/>
      <c r="E266" s="174"/>
      <c r="F266" s="164"/>
      <c r="G266" s="174"/>
      <c r="H266" s="164"/>
      <c r="I266" s="174"/>
      <c r="J266" s="184"/>
      <c r="K266" s="186"/>
      <c r="L266" s="187" t="str">
        <f t="shared" si="79"/>
        <v/>
      </c>
      <c r="M266" s="187" t="str">
        <f t="shared" si="80"/>
        <v/>
      </c>
      <c r="N266" s="187" t="str">
        <f t="shared" si="72"/>
        <v>D</v>
      </c>
      <c r="O266" s="187" t="str">
        <f t="shared" si="81"/>
        <v>D</v>
      </c>
      <c r="P266" s="187">
        <f t="shared" si="82"/>
        <v>1</v>
      </c>
      <c r="Q266" s="187">
        <f>IFERROR(VLOOKUP(E266,Tabela_Deflator:E$43,5,FALSE),1)</f>
        <v>1</v>
      </c>
      <c r="R266" s="188" t="str">
        <f t="shared" si="83"/>
        <v/>
      </c>
      <c r="S266" s="237" t="str">
        <f t="shared" si="73"/>
        <v/>
      </c>
      <c r="T266" s="237" t="str">
        <f t="shared" si="88"/>
        <v/>
      </c>
      <c r="U266" s="189"/>
      <c r="V266" s="167"/>
      <c r="W266" s="165"/>
      <c r="X266" s="164"/>
      <c r="Y266" s="164"/>
      <c r="Z266" s="164"/>
      <c r="AA266" s="174"/>
      <c r="AB266" s="164"/>
      <c r="AC266" s="174"/>
      <c r="AD266" s="184"/>
      <c r="AE266" s="190" t="str">
        <f t="shared" si="84"/>
        <v/>
      </c>
      <c r="AF266" s="190" t="str">
        <f t="shared" si="85"/>
        <v/>
      </c>
      <c r="AG266" s="190" t="str">
        <f t="shared" si="74"/>
        <v>D</v>
      </c>
      <c r="AH266" s="190">
        <f>IFERROR(VLOOKUP(Y266,SISP_Deflatores_e_INMs!B$4:F$49,3,FALSE),1)</f>
        <v>1</v>
      </c>
      <c r="AI266" s="190">
        <f>IFERROR(VLOOKUP(Y266,SISP_Deflatores_e_INMs!B$4:G$49,5,FALSE),1)</f>
        <v>1</v>
      </c>
      <c r="AJ266" s="191" t="str">
        <f t="shared" si="86"/>
        <v/>
      </c>
      <c r="AK266" s="237" t="str">
        <f t="shared" si="75"/>
        <v/>
      </c>
      <c r="AL266" s="237" t="str">
        <f t="shared" si="87"/>
        <v/>
      </c>
      <c r="AM266" s="192" t="e">
        <f t="shared" si="76"/>
        <v>#VALUE!</v>
      </c>
      <c r="AN266" s="193" t="e">
        <f t="shared" si="77"/>
        <v>#VALUE!</v>
      </c>
      <c r="AO266" s="193" t="e">
        <f t="shared" si="78"/>
        <v>#VALUE!</v>
      </c>
      <c r="AP266" s="193"/>
      <c r="AQ266" s="204"/>
      <c r="AR266" s="204"/>
      <c r="AS266" s="204"/>
      <c r="AT266" s="205"/>
      <c r="AU266"/>
    </row>
    <row r="267" spans="2:47" ht="15" customHeight="1" x14ac:dyDescent="0.25">
      <c r="B267" s="206"/>
      <c r="C267" s="185"/>
      <c r="D267" s="164"/>
      <c r="E267" s="174"/>
      <c r="F267" s="164"/>
      <c r="G267" s="174"/>
      <c r="H267" s="164"/>
      <c r="I267" s="174"/>
      <c r="J267" s="184"/>
      <c r="K267" s="186"/>
      <c r="L267" s="187" t="str">
        <f t="shared" si="79"/>
        <v/>
      </c>
      <c r="M267" s="187" t="str">
        <f t="shared" si="80"/>
        <v/>
      </c>
      <c r="N267" s="187" t="str">
        <f t="shared" si="72"/>
        <v>D</v>
      </c>
      <c r="O267" s="187" t="str">
        <f t="shared" si="81"/>
        <v>D</v>
      </c>
      <c r="P267" s="187">
        <f t="shared" si="82"/>
        <v>1</v>
      </c>
      <c r="Q267" s="187">
        <f>IFERROR(VLOOKUP(E267,Tabela_Deflator:E$43,5,FALSE),1)</f>
        <v>1</v>
      </c>
      <c r="R267" s="188" t="str">
        <f t="shared" si="83"/>
        <v/>
      </c>
      <c r="S267" s="237" t="str">
        <f t="shared" si="73"/>
        <v/>
      </c>
      <c r="T267" s="237" t="str">
        <f t="shared" si="88"/>
        <v/>
      </c>
      <c r="U267" s="189"/>
      <c r="V267" s="167"/>
      <c r="W267" s="165"/>
      <c r="X267" s="164"/>
      <c r="Y267" s="164"/>
      <c r="Z267" s="164"/>
      <c r="AA267" s="174"/>
      <c r="AB267" s="164"/>
      <c r="AC267" s="174"/>
      <c r="AD267" s="184"/>
      <c r="AE267" s="190" t="str">
        <f t="shared" si="84"/>
        <v/>
      </c>
      <c r="AF267" s="190" t="str">
        <f t="shared" si="85"/>
        <v/>
      </c>
      <c r="AG267" s="190" t="str">
        <f t="shared" si="74"/>
        <v>D</v>
      </c>
      <c r="AH267" s="190">
        <f>IFERROR(VLOOKUP(Y267,SISP_Deflatores_e_INMs!B$4:F$49,3,FALSE),1)</f>
        <v>1</v>
      </c>
      <c r="AI267" s="190">
        <f>IFERROR(VLOOKUP(Y267,SISP_Deflatores_e_INMs!B$4:G$49,5,FALSE),1)</f>
        <v>1</v>
      </c>
      <c r="AJ267" s="191" t="str">
        <f t="shared" si="86"/>
        <v/>
      </c>
      <c r="AK267" s="237" t="str">
        <f t="shared" si="75"/>
        <v/>
      </c>
      <c r="AL267" s="237" t="str">
        <f t="shared" si="87"/>
        <v/>
      </c>
      <c r="AM267" s="192" t="e">
        <f t="shared" si="76"/>
        <v>#VALUE!</v>
      </c>
      <c r="AN267" s="193" t="e">
        <f t="shared" si="77"/>
        <v>#VALUE!</v>
      </c>
      <c r="AO267" s="193" t="e">
        <f t="shared" si="78"/>
        <v>#VALUE!</v>
      </c>
      <c r="AP267" s="193"/>
      <c r="AQ267" s="204"/>
      <c r="AR267" s="204"/>
      <c r="AS267" s="204"/>
      <c r="AT267" s="205"/>
      <c r="AU267"/>
    </row>
    <row r="268" spans="2:47" ht="15" customHeight="1" x14ac:dyDescent="0.25">
      <c r="B268" s="206"/>
      <c r="C268" s="185"/>
      <c r="D268" s="164"/>
      <c r="E268" s="174"/>
      <c r="F268" s="164"/>
      <c r="G268" s="174"/>
      <c r="H268" s="164"/>
      <c r="I268" s="174"/>
      <c r="J268" s="184"/>
      <c r="K268" s="186"/>
      <c r="L268" s="187" t="str">
        <f t="shared" si="79"/>
        <v/>
      </c>
      <c r="M268" s="187" t="str">
        <f t="shared" si="80"/>
        <v/>
      </c>
      <c r="N268" s="187" t="str">
        <f t="shared" si="72"/>
        <v>D</v>
      </c>
      <c r="O268" s="187" t="str">
        <f t="shared" si="81"/>
        <v>D</v>
      </c>
      <c r="P268" s="187">
        <f t="shared" si="82"/>
        <v>1</v>
      </c>
      <c r="Q268" s="187">
        <f>IFERROR(VLOOKUP(E268,Tabela_Deflator:E$43,5,FALSE),1)</f>
        <v>1</v>
      </c>
      <c r="R268" s="188" t="str">
        <f t="shared" si="83"/>
        <v/>
      </c>
      <c r="S268" s="237" t="str">
        <f t="shared" si="73"/>
        <v/>
      </c>
      <c r="T268" s="237" t="str">
        <f t="shared" si="88"/>
        <v/>
      </c>
      <c r="U268" s="189"/>
      <c r="V268" s="167"/>
      <c r="W268" s="165"/>
      <c r="X268" s="164"/>
      <c r="Y268" s="164"/>
      <c r="Z268" s="164"/>
      <c r="AA268" s="174"/>
      <c r="AB268" s="164"/>
      <c r="AC268" s="174"/>
      <c r="AD268" s="184"/>
      <c r="AE268" s="190" t="str">
        <f t="shared" si="84"/>
        <v/>
      </c>
      <c r="AF268" s="190" t="str">
        <f t="shared" si="85"/>
        <v/>
      </c>
      <c r="AG268" s="190" t="str">
        <f t="shared" si="74"/>
        <v>D</v>
      </c>
      <c r="AH268" s="190">
        <f>IFERROR(VLOOKUP(Y268,SISP_Deflatores_e_INMs!B$4:F$49,3,FALSE),1)</f>
        <v>1</v>
      </c>
      <c r="AI268" s="190">
        <f>IFERROR(VLOOKUP(Y268,SISP_Deflatores_e_INMs!B$4:G$49,5,FALSE),1)</f>
        <v>1</v>
      </c>
      <c r="AJ268" s="191" t="str">
        <f t="shared" si="86"/>
        <v/>
      </c>
      <c r="AK268" s="237" t="str">
        <f t="shared" si="75"/>
        <v/>
      </c>
      <c r="AL268" s="237" t="str">
        <f t="shared" si="87"/>
        <v/>
      </c>
      <c r="AM268" s="192" t="e">
        <f t="shared" si="76"/>
        <v>#VALUE!</v>
      </c>
      <c r="AN268" s="193" t="e">
        <f t="shared" si="77"/>
        <v>#VALUE!</v>
      </c>
      <c r="AO268" s="193" t="e">
        <f t="shared" si="78"/>
        <v>#VALUE!</v>
      </c>
      <c r="AP268" s="193"/>
      <c r="AQ268" s="204"/>
      <c r="AR268" s="204"/>
      <c r="AS268" s="204"/>
      <c r="AT268" s="205"/>
      <c r="AU268"/>
    </row>
    <row r="269" spans="2:47" ht="15" customHeight="1" x14ac:dyDescent="0.25">
      <c r="B269" s="206"/>
      <c r="C269" s="185"/>
      <c r="D269" s="164"/>
      <c r="E269" s="174"/>
      <c r="F269" s="164"/>
      <c r="G269" s="174"/>
      <c r="H269" s="164"/>
      <c r="I269" s="174"/>
      <c r="J269" s="184"/>
      <c r="K269" s="186"/>
      <c r="L269" s="187" t="str">
        <f t="shared" si="79"/>
        <v/>
      </c>
      <c r="M269" s="187" t="str">
        <f t="shared" si="80"/>
        <v/>
      </c>
      <c r="N269" s="187" t="str">
        <f t="shared" si="72"/>
        <v>D</v>
      </c>
      <c r="O269" s="187" t="str">
        <f t="shared" si="81"/>
        <v>D</v>
      </c>
      <c r="P269" s="187">
        <f t="shared" si="82"/>
        <v>1</v>
      </c>
      <c r="Q269" s="187">
        <f>IFERROR(VLOOKUP(E269,Tabela_Deflator:E$43,5,FALSE),1)</f>
        <v>1</v>
      </c>
      <c r="R269" s="188" t="str">
        <f t="shared" si="83"/>
        <v/>
      </c>
      <c r="S269" s="237" t="str">
        <f t="shared" si="73"/>
        <v/>
      </c>
      <c r="T269" s="237" t="str">
        <f t="shared" si="88"/>
        <v/>
      </c>
      <c r="U269" s="189"/>
      <c r="V269" s="167"/>
      <c r="W269" s="165"/>
      <c r="X269" s="164"/>
      <c r="Y269" s="164"/>
      <c r="Z269" s="164"/>
      <c r="AA269" s="174"/>
      <c r="AB269" s="164"/>
      <c r="AC269" s="174"/>
      <c r="AD269" s="184"/>
      <c r="AE269" s="190" t="str">
        <f t="shared" si="84"/>
        <v/>
      </c>
      <c r="AF269" s="190" t="str">
        <f t="shared" si="85"/>
        <v/>
      </c>
      <c r="AG269" s="190" t="str">
        <f t="shared" si="74"/>
        <v>D</v>
      </c>
      <c r="AH269" s="190">
        <f>IFERROR(VLOOKUP(Y269,SISP_Deflatores_e_INMs!B$4:F$49,3,FALSE),1)</f>
        <v>1</v>
      </c>
      <c r="AI269" s="190">
        <f>IFERROR(VLOOKUP(Y269,SISP_Deflatores_e_INMs!B$4:G$49,5,FALSE),1)</f>
        <v>1</v>
      </c>
      <c r="AJ269" s="191" t="str">
        <f t="shared" si="86"/>
        <v/>
      </c>
      <c r="AK269" s="237" t="str">
        <f t="shared" si="75"/>
        <v/>
      </c>
      <c r="AL269" s="237" t="str">
        <f t="shared" si="87"/>
        <v/>
      </c>
      <c r="AM269" s="192" t="e">
        <f t="shared" si="76"/>
        <v>#VALUE!</v>
      </c>
      <c r="AN269" s="193" t="e">
        <f t="shared" si="77"/>
        <v>#VALUE!</v>
      </c>
      <c r="AO269" s="193" t="e">
        <f t="shared" si="78"/>
        <v>#VALUE!</v>
      </c>
      <c r="AP269" s="193"/>
      <c r="AQ269" s="204"/>
      <c r="AR269" s="204"/>
      <c r="AS269" s="204"/>
      <c r="AT269" s="205"/>
      <c r="AU269"/>
    </row>
    <row r="270" spans="2:47" ht="15" customHeight="1" x14ac:dyDescent="0.25">
      <c r="B270" s="206"/>
      <c r="C270" s="185"/>
      <c r="D270" s="164"/>
      <c r="E270" s="174"/>
      <c r="F270" s="164"/>
      <c r="G270" s="174"/>
      <c r="H270" s="164"/>
      <c r="I270" s="174"/>
      <c r="J270" s="184"/>
      <c r="K270" s="186"/>
      <c r="L270" s="187" t="str">
        <f t="shared" si="79"/>
        <v/>
      </c>
      <c r="M270" s="187" t="str">
        <f t="shared" si="80"/>
        <v/>
      </c>
      <c r="N270" s="187" t="str">
        <f t="shared" si="72"/>
        <v>D</v>
      </c>
      <c r="O270" s="187" t="str">
        <f t="shared" si="81"/>
        <v>D</v>
      </c>
      <c r="P270" s="187">
        <f t="shared" si="82"/>
        <v>1</v>
      </c>
      <c r="Q270" s="187">
        <f>IFERROR(VLOOKUP(E270,Tabela_Deflator:E$43,5,FALSE),1)</f>
        <v>1</v>
      </c>
      <c r="R270" s="188" t="str">
        <f t="shared" si="83"/>
        <v/>
      </c>
      <c r="S270" s="237" t="str">
        <f t="shared" si="73"/>
        <v/>
      </c>
      <c r="T270" s="237" t="str">
        <f t="shared" si="88"/>
        <v/>
      </c>
      <c r="U270" s="189"/>
      <c r="V270" s="167"/>
      <c r="W270" s="165"/>
      <c r="X270" s="164"/>
      <c r="Y270" s="164"/>
      <c r="Z270" s="164"/>
      <c r="AA270" s="174"/>
      <c r="AB270" s="164"/>
      <c r="AC270" s="174"/>
      <c r="AD270" s="184"/>
      <c r="AE270" s="190" t="str">
        <f t="shared" si="84"/>
        <v/>
      </c>
      <c r="AF270" s="190" t="str">
        <f t="shared" si="85"/>
        <v/>
      </c>
      <c r="AG270" s="190" t="str">
        <f t="shared" si="74"/>
        <v>D</v>
      </c>
      <c r="AH270" s="190">
        <f>IFERROR(VLOOKUP(Y270,SISP_Deflatores_e_INMs!B$4:F$49,3,FALSE),1)</f>
        <v>1</v>
      </c>
      <c r="AI270" s="190">
        <f>IFERROR(VLOOKUP(Y270,SISP_Deflatores_e_INMs!B$4:G$49,5,FALSE),1)</f>
        <v>1</v>
      </c>
      <c r="AJ270" s="191" t="str">
        <f t="shared" si="86"/>
        <v/>
      </c>
      <c r="AK270" s="237" t="str">
        <f t="shared" si="75"/>
        <v/>
      </c>
      <c r="AL270" s="237" t="str">
        <f t="shared" si="87"/>
        <v/>
      </c>
      <c r="AM270" s="192" t="e">
        <f t="shared" si="76"/>
        <v>#VALUE!</v>
      </c>
      <c r="AN270" s="193" t="e">
        <f t="shared" si="77"/>
        <v>#VALUE!</v>
      </c>
      <c r="AO270" s="193" t="e">
        <f t="shared" si="78"/>
        <v>#VALUE!</v>
      </c>
      <c r="AP270" s="193"/>
      <c r="AQ270" s="204"/>
      <c r="AR270" s="204"/>
      <c r="AS270" s="204"/>
      <c r="AT270" s="205"/>
      <c r="AU270"/>
    </row>
    <row r="271" spans="2:47" ht="15" customHeight="1" x14ac:dyDescent="0.25">
      <c r="B271" s="206"/>
      <c r="C271" s="185"/>
      <c r="D271" s="164"/>
      <c r="E271" s="174"/>
      <c r="F271" s="164"/>
      <c r="G271" s="174"/>
      <c r="H271" s="164"/>
      <c r="I271" s="174"/>
      <c r="J271" s="184"/>
      <c r="K271" s="186"/>
      <c r="L271" s="187" t="str">
        <f t="shared" si="79"/>
        <v/>
      </c>
      <c r="M271" s="187" t="str">
        <f t="shared" si="80"/>
        <v/>
      </c>
      <c r="N271" s="187" t="str">
        <f t="shared" si="72"/>
        <v>D</v>
      </c>
      <c r="O271" s="187" t="str">
        <f t="shared" si="81"/>
        <v>D</v>
      </c>
      <c r="P271" s="187">
        <f t="shared" si="82"/>
        <v>1</v>
      </c>
      <c r="Q271" s="187">
        <f>IFERROR(VLOOKUP(E271,Tabela_Deflator:E$43,5,FALSE),1)</f>
        <v>1</v>
      </c>
      <c r="R271" s="188" t="str">
        <f t="shared" si="83"/>
        <v/>
      </c>
      <c r="S271" s="237" t="str">
        <f t="shared" si="73"/>
        <v/>
      </c>
      <c r="T271" s="237" t="str">
        <f t="shared" si="88"/>
        <v/>
      </c>
      <c r="U271" s="189"/>
      <c r="V271" s="167"/>
      <c r="W271" s="165"/>
      <c r="X271" s="164"/>
      <c r="Y271" s="164"/>
      <c r="Z271" s="164"/>
      <c r="AA271" s="174"/>
      <c r="AB271" s="164"/>
      <c r="AC271" s="174"/>
      <c r="AD271" s="184"/>
      <c r="AE271" s="190" t="str">
        <f t="shared" si="84"/>
        <v/>
      </c>
      <c r="AF271" s="190" t="str">
        <f t="shared" si="85"/>
        <v/>
      </c>
      <c r="AG271" s="190" t="str">
        <f t="shared" si="74"/>
        <v>D</v>
      </c>
      <c r="AH271" s="190">
        <f>IFERROR(VLOOKUP(Y271,SISP_Deflatores_e_INMs!B$4:F$49,3,FALSE),1)</f>
        <v>1</v>
      </c>
      <c r="AI271" s="190">
        <f>IFERROR(VLOOKUP(Y271,SISP_Deflatores_e_INMs!B$4:G$49,5,FALSE),1)</f>
        <v>1</v>
      </c>
      <c r="AJ271" s="191" t="str">
        <f t="shared" si="86"/>
        <v/>
      </c>
      <c r="AK271" s="237" t="str">
        <f t="shared" si="75"/>
        <v/>
      </c>
      <c r="AL271" s="237" t="str">
        <f t="shared" si="87"/>
        <v/>
      </c>
      <c r="AM271" s="192" t="e">
        <f t="shared" si="76"/>
        <v>#VALUE!</v>
      </c>
      <c r="AN271" s="193" t="e">
        <f t="shared" si="77"/>
        <v>#VALUE!</v>
      </c>
      <c r="AO271" s="193" t="e">
        <f t="shared" si="78"/>
        <v>#VALUE!</v>
      </c>
      <c r="AP271" s="193"/>
      <c r="AQ271" s="204"/>
      <c r="AR271" s="204"/>
      <c r="AS271" s="204"/>
      <c r="AT271" s="205"/>
      <c r="AU271"/>
    </row>
    <row r="272" spans="2:47" ht="15" customHeight="1" x14ac:dyDescent="0.25">
      <c r="B272" s="206"/>
      <c r="C272" s="185"/>
      <c r="D272" s="164"/>
      <c r="E272" s="174"/>
      <c r="F272" s="164"/>
      <c r="G272" s="174"/>
      <c r="H272" s="164"/>
      <c r="I272" s="174"/>
      <c r="J272" s="184"/>
      <c r="K272" s="186"/>
      <c r="L272" s="187" t="str">
        <f t="shared" si="79"/>
        <v/>
      </c>
      <c r="M272" s="187" t="str">
        <f t="shared" si="80"/>
        <v/>
      </c>
      <c r="N272" s="187" t="str">
        <f t="shared" si="72"/>
        <v>D</v>
      </c>
      <c r="O272" s="187" t="str">
        <f t="shared" si="81"/>
        <v>D</v>
      </c>
      <c r="P272" s="187">
        <f t="shared" si="82"/>
        <v>1</v>
      </c>
      <c r="Q272" s="187">
        <f>IFERROR(VLOOKUP(E272,Tabela_Deflator:E$43,5,FALSE),1)</f>
        <v>1</v>
      </c>
      <c r="R272" s="188" t="str">
        <f t="shared" si="83"/>
        <v/>
      </c>
      <c r="S272" s="237" t="str">
        <f t="shared" si="73"/>
        <v/>
      </c>
      <c r="T272" s="237" t="str">
        <f t="shared" si="88"/>
        <v/>
      </c>
      <c r="U272" s="189"/>
      <c r="V272" s="167"/>
      <c r="W272" s="165"/>
      <c r="X272" s="164"/>
      <c r="Y272" s="164"/>
      <c r="Z272" s="164"/>
      <c r="AA272" s="174"/>
      <c r="AB272" s="164"/>
      <c r="AC272" s="174"/>
      <c r="AD272" s="184"/>
      <c r="AE272" s="190" t="str">
        <f t="shared" si="84"/>
        <v/>
      </c>
      <c r="AF272" s="190" t="str">
        <f t="shared" si="85"/>
        <v/>
      </c>
      <c r="AG272" s="190" t="str">
        <f t="shared" si="74"/>
        <v>D</v>
      </c>
      <c r="AH272" s="190">
        <f>IFERROR(VLOOKUP(Y272,SISP_Deflatores_e_INMs!B$4:F$49,3,FALSE),1)</f>
        <v>1</v>
      </c>
      <c r="AI272" s="190">
        <f>IFERROR(VLOOKUP(Y272,SISP_Deflatores_e_INMs!B$4:G$49,5,FALSE),1)</f>
        <v>1</v>
      </c>
      <c r="AJ272" s="191" t="str">
        <f t="shared" si="86"/>
        <v/>
      </c>
      <c r="AK272" s="237" t="str">
        <f t="shared" si="75"/>
        <v/>
      </c>
      <c r="AL272" s="237" t="str">
        <f t="shared" si="87"/>
        <v/>
      </c>
      <c r="AM272" s="192" t="e">
        <f t="shared" si="76"/>
        <v>#VALUE!</v>
      </c>
      <c r="AN272" s="193" t="e">
        <f t="shared" si="77"/>
        <v>#VALUE!</v>
      </c>
      <c r="AO272" s="193" t="e">
        <f t="shared" si="78"/>
        <v>#VALUE!</v>
      </c>
      <c r="AP272" s="193"/>
      <c r="AQ272" s="204"/>
      <c r="AR272" s="204"/>
      <c r="AS272" s="204"/>
      <c r="AT272" s="205"/>
      <c r="AU272"/>
    </row>
    <row r="273" spans="2:47" ht="15" customHeight="1" x14ac:dyDescent="0.25">
      <c r="B273" s="206"/>
      <c r="C273" s="185"/>
      <c r="D273" s="164"/>
      <c r="E273" s="174"/>
      <c r="F273" s="164"/>
      <c r="G273" s="174"/>
      <c r="H273" s="164"/>
      <c r="I273" s="174"/>
      <c r="J273" s="184"/>
      <c r="K273" s="186"/>
      <c r="L273" s="187" t="str">
        <f t="shared" si="79"/>
        <v/>
      </c>
      <c r="M273" s="187" t="str">
        <f t="shared" si="80"/>
        <v/>
      </c>
      <c r="N273" s="187" t="str">
        <f t="shared" si="72"/>
        <v>D</v>
      </c>
      <c r="O273" s="187" t="str">
        <f t="shared" si="81"/>
        <v>D</v>
      </c>
      <c r="P273" s="187">
        <f t="shared" si="82"/>
        <v>1</v>
      </c>
      <c r="Q273" s="187">
        <f>IFERROR(VLOOKUP(E273,Tabela_Deflator:E$43,5,FALSE),1)</f>
        <v>1</v>
      </c>
      <c r="R273" s="188" t="str">
        <f t="shared" si="83"/>
        <v/>
      </c>
      <c r="S273" s="237" t="str">
        <f t="shared" si="73"/>
        <v/>
      </c>
      <c r="T273" s="237" t="str">
        <f t="shared" si="88"/>
        <v/>
      </c>
      <c r="U273" s="189"/>
      <c r="V273" s="167"/>
      <c r="W273" s="165"/>
      <c r="X273" s="164"/>
      <c r="Y273" s="164"/>
      <c r="Z273" s="164"/>
      <c r="AA273" s="174"/>
      <c r="AB273" s="164"/>
      <c r="AC273" s="174"/>
      <c r="AD273" s="184"/>
      <c r="AE273" s="190" t="str">
        <f t="shared" si="84"/>
        <v/>
      </c>
      <c r="AF273" s="190" t="str">
        <f t="shared" si="85"/>
        <v/>
      </c>
      <c r="AG273" s="190" t="str">
        <f t="shared" si="74"/>
        <v>D</v>
      </c>
      <c r="AH273" s="190">
        <f>IFERROR(VLOOKUP(Y273,SISP_Deflatores_e_INMs!B$4:F$49,3,FALSE),1)</f>
        <v>1</v>
      </c>
      <c r="AI273" s="190">
        <f>IFERROR(VLOOKUP(Y273,SISP_Deflatores_e_INMs!B$4:G$49,5,FALSE),1)</f>
        <v>1</v>
      </c>
      <c r="AJ273" s="191" t="str">
        <f t="shared" si="86"/>
        <v/>
      </c>
      <c r="AK273" s="237" t="str">
        <f t="shared" si="75"/>
        <v/>
      </c>
      <c r="AL273" s="237" t="str">
        <f t="shared" si="87"/>
        <v/>
      </c>
      <c r="AM273" s="192" t="e">
        <f t="shared" si="76"/>
        <v>#VALUE!</v>
      </c>
      <c r="AN273" s="193" t="e">
        <f t="shared" si="77"/>
        <v>#VALUE!</v>
      </c>
      <c r="AO273" s="193" t="e">
        <f t="shared" si="78"/>
        <v>#VALUE!</v>
      </c>
      <c r="AP273" s="193"/>
      <c r="AQ273" s="204"/>
      <c r="AR273" s="204"/>
      <c r="AS273" s="204"/>
      <c r="AT273" s="205"/>
      <c r="AU273"/>
    </row>
    <row r="274" spans="2:47" ht="15" customHeight="1" x14ac:dyDescent="0.25">
      <c r="B274" s="206"/>
      <c r="C274" s="185"/>
      <c r="D274" s="164"/>
      <c r="E274" s="174"/>
      <c r="F274" s="164"/>
      <c r="G274" s="174"/>
      <c r="H274" s="164"/>
      <c r="I274" s="174"/>
      <c r="J274" s="184"/>
      <c r="K274" s="186"/>
      <c r="L274" s="187" t="str">
        <f t="shared" si="79"/>
        <v/>
      </c>
      <c r="M274" s="187" t="str">
        <f t="shared" si="80"/>
        <v/>
      </c>
      <c r="N274" s="187" t="str">
        <f t="shared" si="72"/>
        <v>D</v>
      </c>
      <c r="O274" s="187" t="str">
        <f t="shared" si="81"/>
        <v>D</v>
      </c>
      <c r="P274" s="187">
        <f t="shared" si="82"/>
        <v>1</v>
      </c>
      <c r="Q274" s="187">
        <f>IFERROR(VLOOKUP(E274,Tabela_Deflator:E$43,5,FALSE),1)</f>
        <v>1</v>
      </c>
      <c r="R274" s="188" t="str">
        <f t="shared" si="83"/>
        <v/>
      </c>
      <c r="S274" s="237" t="str">
        <f t="shared" si="73"/>
        <v/>
      </c>
      <c r="T274" s="237" t="str">
        <f t="shared" si="88"/>
        <v/>
      </c>
      <c r="U274" s="189"/>
      <c r="V274" s="167"/>
      <c r="W274" s="165"/>
      <c r="X274" s="164"/>
      <c r="Y274" s="164"/>
      <c r="Z274" s="164"/>
      <c r="AA274" s="174"/>
      <c r="AB274" s="164"/>
      <c r="AC274" s="174"/>
      <c r="AD274" s="184"/>
      <c r="AE274" s="190" t="str">
        <f t="shared" si="84"/>
        <v/>
      </c>
      <c r="AF274" s="190" t="str">
        <f t="shared" si="85"/>
        <v/>
      </c>
      <c r="AG274" s="190" t="str">
        <f t="shared" si="74"/>
        <v>D</v>
      </c>
      <c r="AH274" s="190">
        <f>IFERROR(VLOOKUP(Y274,SISP_Deflatores_e_INMs!B$4:F$49,3,FALSE),1)</f>
        <v>1</v>
      </c>
      <c r="AI274" s="190">
        <f>IFERROR(VLOOKUP(Y274,SISP_Deflatores_e_INMs!B$4:G$49,5,FALSE),1)</f>
        <v>1</v>
      </c>
      <c r="AJ274" s="191" t="str">
        <f t="shared" si="86"/>
        <v/>
      </c>
      <c r="AK274" s="237" t="str">
        <f t="shared" si="75"/>
        <v/>
      </c>
      <c r="AL274" s="237" t="str">
        <f t="shared" si="87"/>
        <v/>
      </c>
      <c r="AM274" s="192" t="e">
        <f t="shared" si="76"/>
        <v>#VALUE!</v>
      </c>
      <c r="AN274" s="193" t="e">
        <f t="shared" si="77"/>
        <v>#VALUE!</v>
      </c>
      <c r="AO274" s="193" t="e">
        <f t="shared" si="78"/>
        <v>#VALUE!</v>
      </c>
      <c r="AP274" s="193"/>
      <c r="AQ274" s="204"/>
      <c r="AR274" s="204"/>
      <c r="AS274" s="204"/>
      <c r="AT274" s="205"/>
      <c r="AU274"/>
    </row>
    <row r="275" spans="2:47" ht="15" customHeight="1" x14ac:dyDescent="0.25">
      <c r="B275" s="206"/>
      <c r="C275" s="185"/>
      <c r="D275" s="164"/>
      <c r="E275" s="174"/>
      <c r="F275" s="164"/>
      <c r="G275" s="174"/>
      <c r="H275" s="164"/>
      <c r="I275" s="174"/>
      <c r="J275" s="184"/>
      <c r="K275" s="186"/>
      <c r="L275" s="187" t="str">
        <f t="shared" si="79"/>
        <v/>
      </c>
      <c r="M275" s="187" t="str">
        <f t="shared" si="80"/>
        <v/>
      </c>
      <c r="N275" s="187" t="str">
        <f t="shared" si="72"/>
        <v>D</v>
      </c>
      <c r="O275" s="187" t="str">
        <f t="shared" si="81"/>
        <v>D</v>
      </c>
      <c r="P275" s="187">
        <f t="shared" si="82"/>
        <v>1</v>
      </c>
      <c r="Q275" s="187">
        <f>IFERROR(VLOOKUP(E275,Tabela_Deflator:E$43,5,FALSE),1)</f>
        <v>1</v>
      </c>
      <c r="R275" s="188" t="str">
        <f t="shared" si="83"/>
        <v/>
      </c>
      <c r="S275" s="237" t="str">
        <f t="shared" si="73"/>
        <v/>
      </c>
      <c r="T275" s="237" t="str">
        <f t="shared" si="88"/>
        <v/>
      </c>
      <c r="U275" s="189"/>
      <c r="V275" s="167"/>
      <c r="W275" s="165"/>
      <c r="X275" s="164"/>
      <c r="Y275" s="164"/>
      <c r="Z275" s="164"/>
      <c r="AA275" s="174"/>
      <c r="AB275" s="164"/>
      <c r="AC275" s="174"/>
      <c r="AD275" s="184"/>
      <c r="AE275" s="190" t="str">
        <f t="shared" si="84"/>
        <v/>
      </c>
      <c r="AF275" s="190" t="str">
        <f t="shared" si="85"/>
        <v/>
      </c>
      <c r="AG275" s="190" t="str">
        <f t="shared" si="74"/>
        <v>D</v>
      </c>
      <c r="AH275" s="190">
        <f>IFERROR(VLOOKUP(Y275,SISP_Deflatores_e_INMs!B$4:F$49,3,FALSE),1)</f>
        <v>1</v>
      </c>
      <c r="AI275" s="190">
        <f>IFERROR(VLOOKUP(Y275,SISP_Deflatores_e_INMs!B$4:G$49,5,FALSE),1)</f>
        <v>1</v>
      </c>
      <c r="AJ275" s="191" t="str">
        <f t="shared" si="86"/>
        <v/>
      </c>
      <c r="AK275" s="237" t="str">
        <f t="shared" si="75"/>
        <v/>
      </c>
      <c r="AL275" s="237" t="str">
        <f t="shared" si="87"/>
        <v/>
      </c>
      <c r="AM275" s="192" t="e">
        <f t="shared" si="76"/>
        <v>#VALUE!</v>
      </c>
      <c r="AN275" s="193" t="e">
        <f t="shared" si="77"/>
        <v>#VALUE!</v>
      </c>
      <c r="AO275" s="193" t="e">
        <f t="shared" si="78"/>
        <v>#VALUE!</v>
      </c>
      <c r="AP275" s="193"/>
      <c r="AQ275" s="204"/>
      <c r="AR275" s="204"/>
      <c r="AS275" s="204"/>
      <c r="AT275" s="205"/>
      <c r="AU275"/>
    </row>
    <row r="276" spans="2:47" ht="15" customHeight="1" x14ac:dyDescent="0.25">
      <c r="B276" s="206"/>
      <c r="C276" s="185"/>
      <c r="D276" s="164"/>
      <c r="E276" s="174"/>
      <c r="F276" s="164"/>
      <c r="G276" s="174"/>
      <c r="H276" s="164"/>
      <c r="I276" s="174"/>
      <c r="J276" s="184"/>
      <c r="K276" s="186"/>
      <c r="L276" s="187" t="str">
        <f t="shared" si="79"/>
        <v/>
      </c>
      <c r="M276" s="187" t="str">
        <f t="shared" si="80"/>
        <v/>
      </c>
      <c r="N276" s="187" t="str">
        <f t="shared" si="72"/>
        <v>D</v>
      </c>
      <c r="O276" s="187" t="str">
        <f t="shared" si="81"/>
        <v>D</v>
      </c>
      <c r="P276" s="187">
        <f t="shared" si="82"/>
        <v>1</v>
      </c>
      <c r="Q276" s="187">
        <f>IFERROR(VLOOKUP(E276,Tabela_Deflator:E$43,5,FALSE),1)</f>
        <v>1</v>
      </c>
      <c r="R276" s="188" t="str">
        <f t="shared" si="83"/>
        <v/>
      </c>
      <c r="S276" s="237" t="str">
        <f t="shared" si="73"/>
        <v/>
      </c>
      <c r="T276" s="237" t="str">
        <f t="shared" si="88"/>
        <v/>
      </c>
      <c r="U276" s="189"/>
      <c r="V276" s="167"/>
      <c r="W276" s="165"/>
      <c r="X276" s="164"/>
      <c r="Y276" s="164"/>
      <c r="Z276" s="164"/>
      <c r="AA276" s="174"/>
      <c r="AB276" s="164"/>
      <c r="AC276" s="174"/>
      <c r="AD276" s="184"/>
      <c r="AE276" s="190" t="str">
        <f t="shared" si="84"/>
        <v/>
      </c>
      <c r="AF276" s="190" t="str">
        <f t="shared" si="85"/>
        <v/>
      </c>
      <c r="AG276" s="190" t="str">
        <f t="shared" si="74"/>
        <v>D</v>
      </c>
      <c r="AH276" s="190">
        <f>IFERROR(VLOOKUP(Y276,SISP_Deflatores_e_INMs!B$4:F$49,3,FALSE),1)</f>
        <v>1</v>
      </c>
      <c r="AI276" s="190">
        <f>IFERROR(VLOOKUP(Y276,SISP_Deflatores_e_INMs!B$4:G$49,5,FALSE),1)</f>
        <v>1</v>
      </c>
      <c r="AJ276" s="191" t="str">
        <f t="shared" si="86"/>
        <v/>
      </c>
      <c r="AK276" s="237" t="str">
        <f t="shared" si="75"/>
        <v/>
      </c>
      <c r="AL276" s="237" t="str">
        <f t="shared" si="87"/>
        <v/>
      </c>
      <c r="AM276" s="192" t="e">
        <f t="shared" si="76"/>
        <v>#VALUE!</v>
      </c>
      <c r="AN276" s="193" t="e">
        <f t="shared" si="77"/>
        <v>#VALUE!</v>
      </c>
      <c r="AO276" s="193" t="e">
        <f t="shared" si="78"/>
        <v>#VALUE!</v>
      </c>
      <c r="AP276" s="193"/>
      <c r="AQ276" s="204"/>
      <c r="AR276" s="204"/>
      <c r="AS276" s="204"/>
      <c r="AT276" s="205"/>
      <c r="AU276"/>
    </row>
    <row r="277" spans="2:47" ht="15" customHeight="1" x14ac:dyDescent="0.25">
      <c r="B277" s="206"/>
      <c r="C277" s="185"/>
      <c r="D277" s="164"/>
      <c r="E277" s="174"/>
      <c r="F277" s="164"/>
      <c r="G277" s="174"/>
      <c r="H277" s="164"/>
      <c r="I277" s="174"/>
      <c r="J277" s="184"/>
      <c r="K277" s="186"/>
      <c r="L277" s="187" t="str">
        <f t="shared" si="79"/>
        <v/>
      </c>
      <c r="M277" s="187" t="str">
        <f t="shared" si="80"/>
        <v/>
      </c>
      <c r="N277" s="187" t="str">
        <f t="shared" si="72"/>
        <v>D</v>
      </c>
      <c r="O277" s="187" t="str">
        <f t="shared" si="81"/>
        <v>D</v>
      </c>
      <c r="P277" s="187">
        <f t="shared" si="82"/>
        <v>1</v>
      </c>
      <c r="Q277" s="187">
        <f>IFERROR(VLOOKUP(E277,Tabela_Deflator:E$43,5,FALSE),1)</f>
        <v>1</v>
      </c>
      <c r="R277" s="188" t="str">
        <f t="shared" si="83"/>
        <v/>
      </c>
      <c r="S277" s="237" t="str">
        <f t="shared" si="73"/>
        <v/>
      </c>
      <c r="T277" s="237" t="str">
        <f t="shared" si="88"/>
        <v/>
      </c>
      <c r="U277" s="189"/>
      <c r="V277" s="167"/>
      <c r="W277" s="165"/>
      <c r="X277" s="164"/>
      <c r="Y277" s="164"/>
      <c r="Z277" s="164"/>
      <c r="AA277" s="174"/>
      <c r="AB277" s="164"/>
      <c r="AC277" s="174"/>
      <c r="AD277" s="184"/>
      <c r="AE277" s="190" t="str">
        <f t="shared" si="84"/>
        <v/>
      </c>
      <c r="AF277" s="190" t="str">
        <f t="shared" si="85"/>
        <v/>
      </c>
      <c r="AG277" s="190" t="str">
        <f t="shared" si="74"/>
        <v>D</v>
      </c>
      <c r="AH277" s="190">
        <f>IFERROR(VLOOKUP(Y277,SISP_Deflatores_e_INMs!B$4:F$49,3,FALSE),1)</f>
        <v>1</v>
      </c>
      <c r="AI277" s="190">
        <f>IFERROR(VLOOKUP(Y277,SISP_Deflatores_e_INMs!B$4:G$49,5,FALSE),1)</f>
        <v>1</v>
      </c>
      <c r="AJ277" s="191" t="str">
        <f t="shared" si="86"/>
        <v/>
      </c>
      <c r="AK277" s="237" t="str">
        <f t="shared" si="75"/>
        <v/>
      </c>
      <c r="AL277" s="237" t="str">
        <f t="shared" si="87"/>
        <v/>
      </c>
      <c r="AM277" s="192" t="e">
        <f t="shared" si="76"/>
        <v>#VALUE!</v>
      </c>
      <c r="AN277" s="193" t="e">
        <f t="shared" si="77"/>
        <v>#VALUE!</v>
      </c>
      <c r="AO277" s="193" t="e">
        <f t="shared" si="78"/>
        <v>#VALUE!</v>
      </c>
      <c r="AP277" s="193"/>
      <c r="AQ277" s="204"/>
      <c r="AR277" s="204"/>
      <c r="AS277" s="204"/>
      <c r="AT277" s="205"/>
      <c r="AU277"/>
    </row>
    <row r="278" spans="2:47" ht="15" customHeight="1" x14ac:dyDescent="0.25">
      <c r="B278" s="206"/>
      <c r="C278" s="185"/>
      <c r="D278" s="164"/>
      <c r="E278" s="174"/>
      <c r="F278" s="164"/>
      <c r="G278" s="174"/>
      <c r="H278" s="164"/>
      <c r="I278" s="174"/>
      <c r="J278" s="184"/>
      <c r="K278" s="186"/>
      <c r="L278" s="187" t="str">
        <f t="shared" si="79"/>
        <v/>
      </c>
      <c r="M278" s="187" t="str">
        <f t="shared" si="80"/>
        <v/>
      </c>
      <c r="N278" s="187" t="str">
        <f t="shared" si="72"/>
        <v>D</v>
      </c>
      <c r="O278" s="187" t="str">
        <f t="shared" si="81"/>
        <v>D</v>
      </c>
      <c r="P278" s="187">
        <f t="shared" si="82"/>
        <v>1</v>
      </c>
      <c r="Q278" s="187">
        <f>IFERROR(VLOOKUP(E278,Tabela_Deflator:E$43,5,FALSE),1)</f>
        <v>1</v>
      </c>
      <c r="R278" s="188" t="str">
        <f t="shared" si="83"/>
        <v/>
      </c>
      <c r="S278" s="237" t="str">
        <f t="shared" si="73"/>
        <v/>
      </c>
      <c r="T278" s="237" t="str">
        <f t="shared" si="88"/>
        <v/>
      </c>
      <c r="U278" s="189"/>
      <c r="V278" s="167"/>
      <c r="W278" s="165"/>
      <c r="X278" s="164"/>
      <c r="Y278" s="164"/>
      <c r="Z278" s="164"/>
      <c r="AA278" s="174"/>
      <c r="AB278" s="164"/>
      <c r="AC278" s="174"/>
      <c r="AD278" s="184"/>
      <c r="AE278" s="190" t="str">
        <f t="shared" si="84"/>
        <v/>
      </c>
      <c r="AF278" s="190" t="str">
        <f t="shared" si="85"/>
        <v/>
      </c>
      <c r="AG278" s="190" t="str">
        <f t="shared" si="74"/>
        <v>D</v>
      </c>
      <c r="AH278" s="190">
        <f>IFERROR(VLOOKUP(Y278,SISP_Deflatores_e_INMs!B$4:F$49,3,FALSE),1)</f>
        <v>1</v>
      </c>
      <c r="AI278" s="190">
        <f>IFERROR(VLOOKUP(Y278,SISP_Deflatores_e_INMs!B$4:G$49,5,FALSE),1)</f>
        <v>1</v>
      </c>
      <c r="AJ278" s="191" t="str">
        <f t="shared" si="86"/>
        <v/>
      </c>
      <c r="AK278" s="237" t="str">
        <f t="shared" si="75"/>
        <v/>
      </c>
      <c r="AL278" s="237" t="str">
        <f t="shared" si="87"/>
        <v/>
      </c>
      <c r="AM278" s="192" t="e">
        <f t="shared" si="76"/>
        <v>#VALUE!</v>
      </c>
      <c r="AN278" s="193" t="e">
        <f t="shared" si="77"/>
        <v>#VALUE!</v>
      </c>
      <c r="AO278" s="193" t="e">
        <f t="shared" si="78"/>
        <v>#VALUE!</v>
      </c>
      <c r="AP278" s="193"/>
      <c r="AQ278" s="204"/>
      <c r="AR278" s="204"/>
      <c r="AS278" s="204"/>
      <c r="AT278" s="205"/>
      <c r="AU278"/>
    </row>
    <row r="279" spans="2:47" ht="15" customHeight="1" x14ac:dyDescent="0.25">
      <c r="B279" s="206"/>
      <c r="C279" s="185"/>
      <c r="D279" s="164"/>
      <c r="E279" s="174"/>
      <c r="F279" s="164"/>
      <c r="G279" s="174"/>
      <c r="H279" s="164"/>
      <c r="I279" s="174"/>
      <c r="J279" s="184"/>
      <c r="K279" s="186"/>
      <c r="L279" s="187" t="str">
        <f t="shared" si="79"/>
        <v/>
      </c>
      <c r="M279" s="187" t="str">
        <f t="shared" si="80"/>
        <v/>
      </c>
      <c r="N279" s="187" t="str">
        <f t="shared" si="72"/>
        <v>D</v>
      </c>
      <c r="O279" s="187" t="str">
        <f t="shared" si="81"/>
        <v>D</v>
      </c>
      <c r="P279" s="187">
        <f t="shared" si="82"/>
        <v>1</v>
      </c>
      <c r="Q279" s="187">
        <f>IFERROR(VLOOKUP(E279,Tabela_Deflator:E$43,5,FALSE),1)</f>
        <v>1</v>
      </c>
      <c r="R279" s="188" t="str">
        <f t="shared" si="83"/>
        <v/>
      </c>
      <c r="S279" s="237" t="str">
        <f t="shared" si="73"/>
        <v/>
      </c>
      <c r="T279" s="237" t="str">
        <f t="shared" si="88"/>
        <v/>
      </c>
      <c r="U279" s="189"/>
      <c r="V279" s="167"/>
      <c r="W279" s="165"/>
      <c r="X279" s="164"/>
      <c r="Y279" s="164"/>
      <c r="Z279" s="164"/>
      <c r="AA279" s="174"/>
      <c r="AB279" s="164"/>
      <c r="AC279" s="174"/>
      <c r="AD279" s="184"/>
      <c r="AE279" s="190" t="str">
        <f t="shared" si="84"/>
        <v/>
      </c>
      <c r="AF279" s="190" t="str">
        <f t="shared" si="85"/>
        <v/>
      </c>
      <c r="AG279" s="190" t="str">
        <f t="shared" si="74"/>
        <v>D</v>
      </c>
      <c r="AH279" s="190">
        <f>IFERROR(VLOOKUP(Y279,SISP_Deflatores_e_INMs!B$4:F$49,3,FALSE),1)</f>
        <v>1</v>
      </c>
      <c r="AI279" s="190">
        <f>IFERROR(VLOOKUP(Y279,SISP_Deflatores_e_INMs!B$4:G$49,5,FALSE),1)</f>
        <v>1</v>
      </c>
      <c r="AJ279" s="191" t="str">
        <f t="shared" si="86"/>
        <v/>
      </c>
      <c r="AK279" s="237" t="str">
        <f t="shared" si="75"/>
        <v/>
      </c>
      <c r="AL279" s="237" t="str">
        <f t="shared" si="87"/>
        <v/>
      </c>
      <c r="AM279" s="192" t="e">
        <f t="shared" si="76"/>
        <v>#VALUE!</v>
      </c>
      <c r="AN279" s="193" t="e">
        <f t="shared" si="77"/>
        <v>#VALUE!</v>
      </c>
      <c r="AO279" s="193" t="e">
        <f t="shared" si="78"/>
        <v>#VALUE!</v>
      </c>
      <c r="AP279" s="193"/>
      <c r="AQ279" s="204"/>
      <c r="AR279" s="204"/>
      <c r="AS279" s="204"/>
      <c r="AT279" s="205"/>
      <c r="AU279"/>
    </row>
    <row r="280" spans="2:47" ht="15" customHeight="1" x14ac:dyDescent="0.25">
      <c r="B280" s="206"/>
      <c r="C280" s="185"/>
      <c r="D280" s="164"/>
      <c r="E280" s="174"/>
      <c r="F280" s="164"/>
      <c r="G280" s="174"/>
      <c r="H280" s="164"/>
      <c r="I280" s="174"/>
      <c r="J280" s="184"/>
      <c r="K280" s="186"/>
      <c r="L280" s="187" t="str">
        <f t="shared" si="79"/>
        <v/>
      </c>
      <c r="M280" s="187" t="str">
        <f t="shared" si="80"/>
        <v/>
      </c>
      <c r="N280" s="187" t="str">
        <f t="shared" si="72"/>
        <v>D</v>
      </c>
      <c r="O280" s="187" t="str">
        <f t="shared" si="81"/>
        <v>D</v>
      </c>
      <c r="P280" s="187">
        <f t="shared" si="82"/>
        <v>1</v>
      </c>
      <c r="Q280" s="187">
        <f>IFERROR(VLOOKUP(E280,Tabela_Deflator:E$43,5,FALSE),1)</f>
        <v>1</v>
      </c>
      <c r="R280" s="188" t="str">
        <f t="shared" si="83"/>
        <v/>
      </c>
      <c r="S280" s="237" t="str">
        <f t="shared" si="73"/>
        <v/>
      </c>
      <c r="T280" s="237" t="str">
        <f t="shared" si="88"/>
        <v/>
      </c>
      <c r="U280" s="189"/>
      <c r="V280" s="167"/>
      <c r="W280" s="165"/>
      <c r="X280" s="164"/>
      <c r="Y280" s="164"/>
      <c r="Z280" s="164"/>
      <c r="AA280" s="174"/>
      <c r="AB280" s="164"/>
      <c r="AC280" s="174"/>
      <c r="AD280" s="184"/>
      <c r="AE280" s="190" t="str">
        <f t="shared" si="84"/>
        <v/>
      </c>
      <c r="AF280" s="190" t="str">
        <f t="shared" si="85"/>
        <v/>
      </c>
      <c r="AG280" s="190" t="str">
        <f t="shared" si="74"/>
        <v>D</v>
      </c>
      <c r="AH280" s="190">
        <f>IFERROR(VLOOKUP(Y280,SISP_Deflatores_e_INMs!B$4:F$49,3,FALSE),1)</f>
        <v>1</v>
      </c>
      <c r="AI280" s="190">
        <f>IFERROR(VLOOKUP(Y280,SISP_Deflatores_e_INMs!B$4:G$49,5,FALSE),1)</f>
        <v>1</v>
      </c>
      <c r="AJ280" s="191" t="str">
        <f t="shared" si="86"/>
        <v/>
      </c>
      <c r="AK280" s="237" t="str">
        <f t="shared" si="75"/>
        <v/>
      </c>
      <c r="AL280" s="237" t="str">
        <f t="shared" si="87"/>
        <v/>
      </c>
      <c r="AM280" s="192" t="e">
        <f t="shared" si="76"/>
        <v>#VALUE!</v>
      </c>
      <c r="AN280" s="193" t="e">
        <f t="shared" si="77"/>
        <v>#VALUE!</v>
      </c>
      <c r="AO280" s="193" t="e">
        <f t="shared" si="78"/>
        <v>#VALUE!</v>
      </c>
      <c r="AP280" s="193"/>
      <c r="AQ280" s="204"/>
      <c r="AR280" s="204"/>
      <c r="AS280" s="204"/>
      <c r="AT280" s="205"/>
      <c r="AU280"/>
    </row>
    <row r="281" spans="2:47" ht="15" customHeight="1" x14ac:dyDescent="0.25">
      <c r="B281" s="206"/>
      <c r="C281" s="185"/>
      <c r="D281" s="164"/>
      <c r="E281" s="174"/>
      <c r="F281" s="164"/>
      <c r="G281" s="174"/>
      <c r="H281" s="164"/>
      <c r="I281" s="174"/>
      <c r="J281" s="184"/>
      <c r="K281" s="186"/>
      <c r="L281" s="187" t="str">
        <f t="shared" si="79"/>
        <v/>
      </c>
      <c r="M281" s="187" t="str">
        <f t="shared" si="80"/>
        <v/>
      </c>
      <c r="N281" s="187" t="str">
        <f t="shared" si="72"/>
        <v>D</v>
      </c>
      <c r="O281" s="187" t="str">
        <f t="shared" si="81"/>
        <v>D</v>
      </c>
      <c r="P281" s="187">
        <f t="shared" si="82"/>
        <v>1</v>
      </c>
      <c r="Q281" s="187">
        <f>IFERROR(VLOOKUP(E281,Tabela_Deflator:E$43,5,FALSE),1)</f>
        <v>1</v>
      </c>
      <c r="R281" s="188" t="str">
        <f t="shared" si="83"/>
        <v/>
      </c>
      <c r="S281" s="237" t="str">
        <f t="shared" si="73"/>
        <v/>
      </c>
      <c r="T281" s="237" t="str">
        <f t="shared" si="88"/>
        <v/>
      </c>
      <c r="U281" s="189"/>
      <c r="V281" s="167"/>
      <c r="W281" s="165"/>
      <c r="X281" s="164"/>
      <c r="Y281" s="164"/>
      <c r="Z281" s="164"/>
      <c r="AA281" s="174"/>
      <c r="AB281" s="164"/>
      <c r="AC281" s="174"/>
      <c r="AD281" s="184"/>
      <c r="AE281" s="190" t="str">
        <f t="shared" si="84"/>
        <v/>
      </c>
      <c r="AF281" s="190" t="str">
        <f t="shared" si="85"/>
        <v/>
      </c>
      <c r="AG281" s="190" t="str">
        <f t="shared" si="74"/>
        <v>D</v>
      </c>
      <c r="AH281" s="190">
        <f>IFERROR(VLOOKUP(Y281,SISP_Deflatores_e_INMs!B$4:F$49,3,FALSE),1)</f>
        <v>1</v>
      </c>
      <c r="AI281" s="190">
        <f>IFERROR(VLOOKUP(Y281,SISP_Deflatores_e_INMs!B$4:G$49,5,FALSE),1)</f>
        <v>1</v>
      </c>
      <c r="AJ281" s="191" t="str">
        <f t="shared" si="86"/>
        <v/>
      </c>
      <c r="AK281" s="237" t="str">
        <f t="shared" si="75"/>
        <v/>
      </c>
      <c r="AL281" s="237" t="str">
        <f t="shared" si="87"/>
        <v/>
      </c>
      <c r="AM281" s="192" t="e">
        <f t="shared" si="76"/>
        <v>#VALUE!</v>
      </c>
      <c r="AN281" s="193" t="e">
        <f t="shared" si="77"/>
        <v>#VALUE!</v>
      </c>
      <c r="AO281" s="193" t="e">
        <f t="shared" si="78"/>
        <v>#VALUE!</v>
      </c>
      <c r="AP281" s="193"/>
      <c r="AQ281" s="204"/>
      <c r="AR281" s="204"/>
      <c r="AS281" s="204"/>
      <c r="AT281" s="205"/>
      <c r="AU281"/>
    </row>
    <row r="282" spans="2:47" ht="15" customHeight="1" x14ac:dyDescent="0.25">
      <c r="B282" s="206"/>
      <c r="C282" s="185"/>
      <c r="D282" s="164"/>
      <c r="E282" s="174"/>
      <c r="F282" s="164"/>
      <c r="G282" s="174"/>
      <c r="H282" s="164"/>
      <c r="I282" s="174"/>
      <c r="J282" s="184"/>
      <c r="K282" s="186"/>
      <c r="L282" s="187" t="str">
        <f t="shared" si="79"/>
        <v/>
      </c>
      <c r="M282" s="187" t="str">
        <f t="shared" si="80"/>
        <v/>
      </c>
      <c r="N282" s="187" t="str">
        <f t="shared" si="72"/>
        <v>D</v>
      </c>
      <c r="O282" s="187" t="str">
        <f t="shared" si="81"/>
        <v>D</v>
      </c>
      <c r="P282" s="187">
        <f t="shared" si="82"/>
        <v>1</v>
      </c>
      <c r="Q282" s="187">
        <f>IFERROR(VLOOKUP(E282,Tabela_Deflator:E$43,5,FALSE),1)</f>
        <v>1</v>
      </c>
      <c r="R282" s="188" t="str">
        <f t="shared" si="83"/>
        <v/>
      </c>
      <c r="S282" s="237" t="str">
        <f t="shared" si="73"/>
        <v/>
      </c>
      <c r="T282" s="237" t="str">
        <f t="shared" si="88"/>
        <v/>
      </c>
      <c r="U282" s="189"/>
      <c r="V282" s="167"/>
      <c r="W282" s="165"/>
      <c r="X282" s="164"/>
      <c r="Y282" s="164"/>
      <c r="Z282" s="164"/>
      <c r="AA282" s="174"/>
      <c r="AB282" s="164"/>
      <c r="AC282" s="174"/>
      <c r="AD282" s="184"/>
      <c r="AE282" s="190" t="str">
        <f t="shared" si="84"/>
        <v/>
      </c>
      <c r="AF282" s="190" t="str">
        <f t="shared" si="85"/>
        <v/>
      </c>
      <c r="AG282" s="190" t="str">
        <f t="shared" si="74"/>
        <v>D</v>
      </c>
      <c r="AH282" s="190">
        <f>IFERROR(VLOOKUP(Y282,SISP_Deflatores_e_INMs!B$4:F$49,3,FALSE),1)</f>
        <v>1</v>
      </c>
      <c r="AI282" s="190">
        <f>IFERROR(VLOOKUP(Y282,SISP_Deflatores_e_INMs!B$4:G$49,5,FALSE),1)</f>
        <v>1</v>
      </c>
      <c r="AJ282" s="191" t="str">
        <f t="shared" si="86"/>
        <v/>
      </c>
      <c r="AK282" s="237" t="str">
        <f t="shared" si="75"/>
        <v/>
      </c>
      <c r="AL282" s="237" t="str">
        <f t="shared" si="87"/>
        <v/>
      </c>
      <c r="AM282" s="192" t="e">
        <f t="shared" si="76"/>
        <v>#VALUE!</v>
      </c>
      <c r="AN282" s="193" t="e">
        <f t="shared" si="77"/>
        <v>#VALUE!</v>
      </c>
      <c r="AO282" s="193" t="e">
        <f t="shared" si="78"/>
        <v>#VALUE!</v>
      </c>
      <c r="AP282" s="193"/>
      <c r="AQ282" s="204"/>
      <c r="AR282" s="204"/>
      <c r="AS282" s="204"/>
      <c r="AT282" s="205"/>
      <c r="AU282"/>
    </row>
    <row r="283" spans="2:47" ht="15" customHeight="1" x14ac:dyDescent="0.25">
      <c r="B283" s="206"/>
      <c r="C283" s="185"/>
      <c r="D283" s="164"/>
      <c r="E283" s="174"/>
      <c r="F283" s="164"/>
      <c r="G283" s="174"/>
      <c r="H283" s="164"/>
      <c r="I283" s="174"/>
      <c r="J283" s="184"/>
      <c r="K283" s="186"/>
      <c r="L283" s="187" t="str">
        <f t="shared" si="79"/>
        <v/>
      </c>
      <c r="M283" s="187" t="str">
        <f t="shared" si="80"/>
        <v/>
      </c>
      <c r="N283" s="187" t="str">
        <f t="shared" si="72"/>
        <v>D</v>
      </c>
      <c r="O283" s="187" t="str">
        <f t="shared" si="81"/>
        <v>D</v>
      </c>
      <c r="P283" s="187">
        <f t="shared" si="82"/>
        <v>1</v>
      </c>
      <c r="Q283" s="187">
        <f>IFERROR(VLOOKUP(E283,Tabela_Deflator:E$43,5,FALSE),1)</f>
        <v>1</v>
      </c>
      <c r="R283" s="188" t="str">
        <f t="shared" si="83"/>
        <v/>
      </c>
      <c r="S283" s="237" t="str">
        <f t="shared" si="73"/>
        <v/>
      </c>
      <c r="T283" s="237" t="str">
        <f t="shared" si="88"/>
        <v/>
      </c>
      <c r="U283" s="189"/>
      <c r="V283" s="167"/>
      <c r="W283" s="165"/>
      <c r="X283" s="164"/>
      <c r="Y283" s="164"/>
      <c r="Z283" s="164"/>
      <c r="AA283" s="174"/>
      <c r="AB283" s="164"/>
      <c r="AC283" s="174"/>
      <c r="AD283" s="184"/>
      <c r="AE283" s="190" t="str">
        <f t="shared" si="84"/>
        <v/>
      </c>
      <c r="AF283" s="190" t="str">
        <f t="shared" si="85"/>
        <v/>
      </c>
      <c r="AG283" s="190" t="str">
        <f t="shared" si="74"/>
        <v>D</v>
      </c>
      <c r="AH283" s="190">
        <f>IFERROR(VLOOKUP(Y283,SISP_Deflatores_e_INMs!B$4:F$49,3,FALSE),1)</f>
        <v>1</v>
      </c>
      <c r="AI283" s="190">
        <f>IFERROR(VLOOKUP(Y283,SISP_Deflatores_e_INMs!B$4:G$49,5,FALSE),1)</f>
        <v>1</v>
      </c>
      <c r="AJ283" s="191" t="str">
        <f t="shared" si="86"/>
        <v/>
      </c>
      <c r="AK283" s="237" t="str">
        <f t="shared" si="75"/>
        <v/>
      </c>
      <c r="AL283" s="237" t="str">
        <f t="shared" si="87"/>
        <v/>
      </c>
      <c r="AM283" s="192" t="e">
        <f t="shared" si="76"/>
        <v>#VALUE!</v>
      </c>
      <c r="AN283" s="193" t="e">
        <f t="shared" si="77"/>
        <v>#VALUE!</v>
      </c>
      <c r="AO283" s="193" t="e">
        <f t="shared" si="78"/>
        <v>#VALUE!</v>
      </c>
      <c r="AP283" s="193"/>
      <c r="AQ283" s="204"/>
      <c r="AR283" s="204"/>
      <c r="AS283" s="204"/>
      <c r="AT283" s="205"/>
      <c r="AU283"/>
    </row>
    <row r="284" spans="2:47" ht="15" customHeight="1" x14ac:dyDescent="0.25">
      <c r="B284" s="206"/>
      <c r="C284" s="185"/>
      <c r="D284" s="164"/>
      <c r="E284" s="174"/>
      <c r="F284" s="164"/>
      <c r="G284" s="174"/>
      <c r="H284" s="164"/>
      <c r="I284" s="174"/>
      <c r="J284" s="184"/>
      <c r="K284" s="186"/>
      <c r="L284" s="187" t="str">
        <f t="shared" si="79"/>
        <v/>
      </c>
      <c r="M284" s="187" t="str">
        <f t="shared" si="80"/>
        <v/>
      </c>
      <c r="N284" s="187" t="str">
        <f t="shared" si="72"/>
        <v>D</v>
      </c>
      <c r="O284" s="187" t="str">
        <f t="shared" si="81"/>
        <v>D</v>
      </c>
      <c r="P284" s="187">
        <f t="shared" si="82"/>
        <v>1</v>
      </c>
      <c r="Q284" s="187">
        <f>IFERROR(VLOOKUP(E284,Tabela_Deflator:E$43,5,FALSE),1)</f>
        <v>1</v>
      </c>
      <c r="R284" s="188" t="str">
        <f t="shared" si="83"/>
        <v/>
      </c>
      <c r="S284" s="237" t="str">
        <f t="shared" si="73"/>
        <v/>
      </c>
      <c r="T284" s="237" t="str">
        <f t="shared" si="88"/>
        <v/>
      </c>
      <c r="U284" s="189"/>
      <c r="V284" s="167"/>
      <c r="W284" s="165"/>
      <c r="X284" s="164"/>
      <c r="Y284" s="164"/>
      <c r="Z284" s="164"/>
      <c r="AA284" s="174"/>
      <c r="AB284" s="164"/>
      <c r="AC284" s="174"/>
      <c r="AD284" s="184"/>
      <c r="AE284" s="190" t="str">
        <f t="shared" si="84"/>
        <v/>
      </c>
      <c r="AF284" s="190" t="str">
        <f t="shared" si="85"/>
        <v/>
      </c>
      <c r="AG284" s="190" t="str">
        <f t="shared" si="74"/>
        <v>D</v>
      </c>
      <c r="AH284" s="190">
        <f>IFERROR(VLOOKUP(Y284,SISP_Deflatores_e_INMs!B$4:F$49,3,FALSE),1)</f>
        <v>1</v>
      </c>
      <c r="AI284" s="190">
        <f>IFERROR(VLOOKUP(Y284,SISP_Deflatores_e_INMs!B$4:G$49,5,FALSE),1)</f>
        <v>1</v>
      </c>
      <c r="AJ284" s="191" t="str">
        <f t="shared" si="86"/>
        <v/>
      </c>
      <c r="AK284" s="237" t="str">
        <f t="shared" si="75"/>
        <v/>
      </c>
      <c r="AL284" s="237" t="str">
        <f t="shared" si="87"/>
        <v/>
      </c>
      <c r="AM284" s="192" t="e">
        <f t="shared" si="76"/>
        <v>#VALUE!</v>
      </c>
      <c r="AN284" s="193" t="e">
        <f t="shared" si="77"/>
        <v>#VALUE!</v>
      </c>
      <c r="AO284" s="193" t="e">
        <f t="shared" si="78"/>
        <v>#VALUE!</v>
      </c>
      <c r="AP284" s="193"/>
      <c r="AQ284" s="204"/>
      <c r="AR284" s="204"/>
      <c r="AS284" s="204"/>
      <c r="AT284" s="205"/>
      <c r="AU284"/>
    </row>
    <row r="285" spans="2:47" ht="15" customHeight="1" x14ac:dyDescent="0.25">
      <c r="B285" s="206"/>
      <c r="C285" s="185"/>
      <c r="D285" s="164"/>
      <c r="E285" s="174"/>
      <c r="F285" s="164"/>
      <c r="G285" s="174"/>
      <c r="H285" s="164"/>
      <c r="I285" s="174"/>
      <c r="J285" s="184"/>
      <c r="K285" s="186"/>
      <c r="L285" s="187" t="str">
        <f t="shared" si="79"/>
        <v/>
      </c>
      <c r="M285" s="187" t="str">
        <f t="shared" si="80"/>
        <v/>
      </c>
      <c r="N285" s="187" t="str">
        <f t="shared" si="72"/>
        <v>D</v>
      </c>
      <c r="O285" s="187" t="str">
        <f t="shared" si="81"/>
        <v>D</v>
      </c>
      <c r="P285" s="187">
        <f t="shared" si="82"/>
        <v>1</v>
      </c>
      <c r="Q285" s="187">
        <f>IFERROR(VLOOKUP(E285,Tabela_Deflator:E$43,5,FALSE),1)</f>
        <v>1</v>
      </c>
      <c r="R285" s="188" t="str">
        <f t="shared" si="83"/>
        <v/>
      </c>
      <c r="S285" s="237" t="str">
        <f t="shared" si="73"/>
        <v/>
      </c>
      <c r="T285" s="237" t="str">
        <f t="shared" si="88"/>
        <v/>
      </c>
      <c r="U285" s="189"/>
      <c r="V285" s="167"/>
      <c r="W285" s="165"/>
      <c r="X285" s="164"/>
      <c r="Y285" s="164"/>
      <c r="Z285" s="164"/>
      <c r="AA285" s="174"/>
      <c r="AB285" s="164"/>
      <c r="AC285" s="174"/>
      <c r="AD285" s="184"/>
      <c r="AE285" s="190" t="str">
        <f t="shared" si="84"/>
        <v/>
      </c>
      <c r="AF285" s="190" t="str">
        <f t="shared" si="85"/>
        <v/>
      </c>
      <c r="AG285" s="190" t="str">
        <f t="shared" si="74"/>
        <v>D</v>
      </c>
      <c r="AH285" s="190">
        <f>IFERROR(VLOOKUP(Y285,SISP_Deflatores_e_INMs!B$4:F$49,3,FALSE),1)</f>
        <v>1</v>
      </c>
      <c r="AI285" s="190">
        <f>IFERROR(VLOOKUP(Y285,SISP_Deflatores_e_INMs!B$4:G$49,5,FALSE),1)</f>
        <v>1</v>
      </c>
      <c r="AJ285" s="191" t="str">
        <f t="shared" si="86"/>
        <v/>
      </c>
      <c r="AK285" s="237" t="str">
        <f t="shared" si="75"/>
        <v/>
      </c>
      <c r="AL285" s="237" t="str">
        <f t="shared" si="87"/>
        <v/>
      </c>
      <c r="AM285" s="192" t="e">
        <f t="shared" si="76"/>
        <v>#VALUE!</v>
      </c>
      <c r="AN285" s="193" t="e">
        <f t="shared" si="77"/>
        <v>#VALUE!</v>
      </c>
      <c r="AO285" s="193" t="e">
        <f t="shared" si="78"/>
        <v>#VALUE!</v>
      </c>
      <c r="AP285" s="193"/>
      <c r="AQ285" s="204"/>
      <c r="AR285" s="204"/>
      <c r="AS285" s="204"/>
      <c r="AT285" s="205"/>
      <c r="AU285"/>
    </row>
    <row r="286" spans="2:47" ht="15" customHeight="1" x14ac:dyDescent="0.25">
      <c r="B286" s="206"/>
      <c r="C286" s="185"/>
      <c r="D286" s="164"/>
      <c r="E286" s="174"/>
      <c r="F286" s="164"/>
      <c r="G286" s="174"/>
      <c r="H286" s="164"/>
      <c r="I286" s="174"/>
      <c r="J286" s="184"/>
      <c r="K286" s="186"/>
      <c r="L286" s="187" t="str">
        <f t="shared" si="79"/>
        <v/>
      </c>
      <c r="M286" s="187" t="str">
        <f t="shared" si="80"/>
        <v/>
      </c>
      <c r="N286" s="187" t="str">
        <f t="shared" si="72"/>
        <v>D</v>
      </c>
      <c r="O286" s="187" t="str">
        <f t="shared" si="81"/>
        <v>D</v>
      </c>
      <c r="P286" s="187">
        <f t="shared" si="82"/>
        <v>1</v>
      </c>
      <c r="Q286" s="187">
        <f>IFERROR(VLOOKUP(E286,Tabela_Deflator:E$43,5,FALSE),1)</f>
        <v>1</v>
      </c>
      <c r="R286" s="188" t="str">
        <f t="shared" si="83"/>
        <v/>
      </c>
      <c r="S286" s="237" t="str">
        <f t="shared" si="73"/>
        <v/>
      </c>
      <c r="T286" s="237" t="str">
        <f t="shared" si="88"/>
        <v/>
      </c>
      <c r="U286" s="189"/>
      <c r="V286" s="167"/>
      <c r="W286" s="165"/>
      <c r="X286" s="164"/>
      <c r="Y286" s="164"/>
      <c r="Z286" s="164"/>
      <c r="AA286" s="174"/>
      <c r="AB286" s="164"/>
      <c r="AC286" s="174"/>
      <c r="AD286" s="184"/>
      <c r="AE286" s="190" t="str">
        <f t="shared" si="84"/>
        <v/>
      </c>
      <c r="AF286" s="190" t="str">
        <f t="shared" si="85"/>
        <v/>
      </c>
      <c r="AG286" s="190" t="str">
        <f t="shared" si="74"/>
        <v>D</v>
      </c>
      <c r="AH286" s="190">
        <f>IFERROR(VLOOKUP(Y286,SISP_Deflatores_e_INMs!B$4:F$49,3,FALSE),1)</f>
        <v>1</v>
      </c>
      <c r="AI286" s="190">
        <f>IFERROR(VLOOKUP(Y286,SISP_Deflatores_e_INMs!B$4:G$49,5,FALSE),1)</f>
        <v>1</v>
      </c>
      <c r="AJ286" s="191" t="str">
        <f t="shared" si="86"/>
        <v/>
      </c>
      <c r="AK286" s="237" t="str">
        <f t="shared" si="75"/>
        <v/>
      </c>
      <c r="AL286" s="237" t="str">
        <f t="shared" si="87"/>
        <v/>
      </c>
      <c r="AM286" s="192" t="e">
        <f t="shared" si="76"/>
        <v>#VALUE!</v>
      </c>
      <c r="AN286" s="193" t="e">
        <f t="shared" si="77"/>
        <v>#VALUE!</v>
      </c>
      <c r="AO286" s="193" t="e">
        <f t="shared" si="78"/>
        <v>#VALUE!</v>
      </c>
      <c r="AP286" s="193"/>
      <c r="AQ286" s="204"/>
      <c r="AR286" s="204"/>
      <c r="AS286" s="204"/>
      <c r="AT286" s="205"/>
      <c r="AU286"/>
    </row>
    <row r="287" spans="2:47" ht="15" customHeight="1" x14ac:dyDescent="0.25">
      <c r="B287" s="206"/>
      <c r="C287" s="185"/>
      <c r="D287" s="164"/>
      <c r="E287" s="174"/>
      <c r="F287" s="164"/>
      <c r="G287" s="174"/>
      <c r="H287" s="164"/>
      <c r="I287" s="174"/>
      <c r="J287" s="184"/>
      <c r="K287" s="186"/>
      <c r="L287" s="187" t="str">
        <f t="shared" si="79"/>
        <v/>
      </c>
      <c r="M287" s="187" t="str">
        <f t="shared" si="80"/>
        <v/>
      </c>
      <c r="N287" s="187" t="str">
        <f t="shared" si="72"/>
        <v>D</v>
      </c>
      <c r="O287" s="187" t="str">
        <f t="shared" si="81"/>
        <v>D</v>
      </c>
      <c r="P287" s="187">
        <f t="shared" si="82"/>
        <v>1</v>
      </c>
      <c r="Q287" s="187">
        <f>IFERROR(VLOOKUP(E287,Tabela_Deflator:E$43,5,FALSE),1)</f>
        <v>1</v>
      </c>
      <c r="R287" s="188" t="str">
        <f t="shared" si="83"/>
        <v/>
      </c>
      <c r="S287" s="237" t="str">
        <f t="shared" si="73"/>
        <v/>
      </c>
      <c r="T287" s="237" t="str">
        <f t="shared" si="88"/>
        <v/>
      </c>
      <c r="U287" s="189"/>
      <c r="V287" s="167"/>
      <c r="W287" s="165"/>
      <c r="X287" s="164"/>
      <c r="Y287" s="164"/>
      <c r="Z287" s="164"/>
      <c r="AA287" s="174"/>
      <c r="AB287" s="164"/>
      <c r="AC287" s="174"/>
      <c r="AD287" s="184"/>
      <c r="AE287" s="190" t="str">
        <f t="shared" si="84"/>
        <v/>
      </c>
      <c r="AF287" s="190" t="str">
        <f t="shared" si="85"/>
        <v/>
      </c>
      <c r="AG287" s="190" t="str">
        <f t="shared" si="74"/>
        <v>D</v>
      </c>
      <c r="AH287" s="190">
        <f>IFERROR(VLOOKUP(Y287,SISP_Deflatores_e_INMs!B$4:F$49,3,FALSE),1)</f>
        <v>1</v>
      </c>
      <c r="AI287" s="190">
        <f>IFERROR(VLOOKUP(Y287,SISP_Deflatores_e_INMs!B$4:G$49,5,FALSE),1)</f>
        <v>1</v>
      </c>
      <c r="AJ287" s="191" t="str">
        <f t="shared" si="86"/>
        <v/>
      </c>
      <c r="AK287" s="237" t="str">
        <f t="shared" si="75"/>
        <v/>
      </c>
      <c r="AL287" s="237" t="str">
        <f t="shared" si="87"/>
        <v/>
      </c>
      <c r="AM287" s="192" t="e">
        <f t="shared" si="76"/>
        <v>#VALUE!</v>
      </c>
      <c r="AN287" s="193" t="e">
        <f t="shared" si="77"/>
        <v>#VALUE!</v>
      </c>
      <c r="AO287" s="193" t="e">
        <f t="shared" si="78"/>
        <v>#VALUE!</v>
      </c>
      <c r="AP287" s="193"/>
      <c r="AQ287" s="204"/>
      <c r="AR287" s="204"/>
      <c r="AS287" s="204"/>
      <c r="AT287" s="205"/>
      <c r="AU287"/>
    </row>
    <row r="288" spans="2:47" ht="15" customHeight="1" x14ac:dyDescent="0.25">
      <c r="B288" s="206"/>
      <c r="C288" s="185"/>
      <c r="D288" s="164"/>
      <c r="E288" s="174"/>
      <c r="F288" s="164"/>
      <c r="G288" s="174"/>
      <c r="H288" s="164"/>
      <c r="I288" s="174"/>
      <c r="J288" s="184"/>
      <c r="K288" s="186"/>
      <c r="L288" s="187" t="str">
        <f t="shared" si="79"/>
        <v/>
      </c>
      <c r="M288" s="187" t="str">
        <f t="shared" si="80"/>
        <v/>
      </c>
      <c r="N288" s="187" t="str">
        <f t="shared" si="72"/>
        <v>D</v>
      </c>
      <c r="O288" s="187" t="str">
        <f t="shared" si="81"/>
        <v>D</v>
      </c>
      <c r="P288" s="187">
        <f t="shared" si="82"/>
        <v>1</v>
      </c>
      <c r="Q288" s="187">
        <f>IFERROR(VLOOKUP(E288,Tabela_Deflator:E$43,5,FALSE),1)</f>
        <v>1</v>
      </c>
      <c r="R288" s="188" t="str">
        <f t="shared" si="83"/>
        <v/>
      </c>
      <c r="S288" s="237" t="str">
        <f t="shared" si="73"/>
        <v/>
      </c>
      <c r="T288" s="237" t="str">
        <f t="shared" si="88"/>
        <v/>
      </c>
      <c r="U288" s="189"/>
      <c r="V288" s="167"/>
      <c r="W288" s="165"/>
      <c r="X288" s="164"/>
      <c r="Y288" s="164"/>
      <c r="Z288" s="164"/>
      <c r="AA288" s="174"/>
      <c r="AB288" s="164"/>
      <c r="AC288" s="174"/>
      <c r="AD288" s="184"/>
      <c r="AE288" s="190" t="str">
        <f t="shared" si="84"/>
        <v/>
      </c>
      <c r="AF288" s="190" t="str">
        <f t="shared" si="85"/>
        <v/>
      </c>
      <c r="AG288" s="190" t="str">
        <f t="shared" si="74"/>
        <v>D</v>
      </c>
      <c r="AH288" s="190">
        <f>IFERROR(VLOOKUP(Y288,SISP_Deflatores_e_INMs!B$4:F$49,3,FALSE),1)</f>
        <v>1</v>
      </c>
      <c r="AI288" s="190">
        <f>IFERROR(VLOOKUP(Y288,SISP_Deflatores_e_INMs!B$4:G$49,5,FALSE),1)</f>
        <v>1</v>
      </c>
      <c r="AJ288" s="191" t="str">
        <f t="shared" si="86"/>
        <v/>
      </c>
      <c r="AK288" s="237" t="str">
        <f t="shared" si="75"/>
        <v/>
      </c>
      <c r="AL288" s="237" t="str">
        <f t="shared" si="87"/>
        <v/>
      </c>
      <c r="AM288" s="192" t="e">
        <f t="shared" si="76"/>
        <v>#VALUE!</v>
      </c>
      <c r="AN288" s="193" t="e">
        <f t="shared" si="77"/>
        <v>#VALUE!</v>
      </c>
      <c r="AO288" s="193" t="e">
        <f t="shared" si="78"/>
        <v>#VALUE!</v>
      </c>
      <c r="AP288" s="193"/>
      <c r="AQ288" s="204"/>
      <c r="AR288" s="204"/>
      <c r="AS288" s="204"/>
      <c r="AT288" s="205"/>
      <c r="AU288"/>
    </row>
    <row r="289" spans="2:47" ht="15" customHeight="1" x14ac:dyDescent="0.25">
      <c r="B289" s="206"/>
      <c r="C289" s="185"/>
      <c r="D289" s="164"/>
      <c r="E289" s="174"/>
      <c r="F289" s="164"/>
      <c r="G289" s="174"/>
      <c r="H289" s="164"/>
      <c r="I289" s="174"/>
      <c r="J289" s="184"/>
      <c r="K289" s="186"/>
      <c r="L289" s="187" t="str">
        <f t="shared" si="79"/>
        <v/>
      </c>
      <c r="M289" s="187" t="str">
        <f t="shared" si="80"/>
        <v/>
      </c>
      <c r="N289" s="187" t="str">
        <f t="shared" si="72"/>
        <v>D</v>
      </c>
      <c r="O289" s="187" t="str">
        <f t="shared" si="81"/>
        <v>D</v>
      </c>
      <c r="P289" s="187">
        <f t="shared" si="82"/>
        <v>1</v>
      </c>
      <c r="Q289" s="187">
        <f>IFERROR(VLOOKUP(E289,Tabela_Deflator:E$43,5,FALSE),1)</f>
        <v>1</v>
      </c>
      <c r="R289" s="188" t="str">
        <f t="shared" si="83"/>
        <v/>
      </c>
      <c r="S289" s="237" t="str">
        <f t="shared" si="73"/>
        <v/>
      </c>
      <c r="T289" s="237" t="str">
        <f t="shared" si="88"/>
        <v/>
      </c>
      <c r="U289" s="189"/>
      <c r="V289" s="167"/>
      <c r="W289" s="165"/>
      <c r="X289" s="164"/>
      <c r="Y289" s="164"/>
      <c r="Z289" s="164"/>
      <c r="AA289" s="174"/>
      <c r="AB289" s="164"/>
      <c r="AC289" s="174"/>
      <c r="AD289" s="184"/>
      <c r="AE289" s="190" t="str">
        <f t="shared" si="84"/>
        <v/>
      </c>
      <c r="AF289" s="190" t="str">
        <f t="shared" si="85"/>
        <v/>
      </c>
      <c r="AG289" s="190" t="str">
        <f t="shared" si="74"/>
        <v>D</v>
      </c>
      <c r="AH289" s="190">
        <f>IFERROR(VLOOKUP(Y289,SISP_Deflatores_e_INMs!B$4:F$49,3,FALSE),1)</f>
        <v>1</v>
      </c>
      <c r="AI289" s="190">
        <f>IFERROR(VLOOKUP(Y289,SISP_Deflatores_e_INMs!B$4:G$49,5,FALSE),1)</f>
        <v>1</v>
      </c>
      <c r="AJ289" s="191" t="str">
        <f t="shared" si="86"/>
        <v/>
      </c>
      <c r="AK289" s="237" t="str">
        <f t="shared" si="75"/>
        <v/>
      </c>
      <c r="AL289" s="237" t="str">
        <f t="shared" si="87"/>
        <v/>
      </c>
      <c r="AM289" s="192" t="e">
        <f t="shared" si="76"/>
        <v>#VALUE!</v>
      </c>
      <c r="AN289" s="193" t="e">
        <f t="shared" si="77"/>
        <v>#VALUE!</v>
      </c>
      <c r="AO289" s="193" t="e">
        <f t="shared" si="78"/>
        <v>#VALUE!</v>
      </c>
      <c r="AP289" s="193"/>
      <c r="AQ289" s="204"/>
      <c r="AR289" s="204"/>
      <c r="AS289" s="204"/>
      <c r="AT289" s="205"/>
      <c r="AU289"/>
    </row>
    <row r="290" spans="2:47" ht="15" customHeight="1" x14ac:dyDescent="0.25">
      <c r="B290" s="206"/>
      <c r="C290" s="185"/>
      <c r="D290" s="164"/>
      <c r="E290" s="174"/>
      <c r="F290" s="164"/>
      <c r="G290" s="174"/>
      <c r="H290" s="164"/>
      <c r="I290" s="174"/>
      <c r="J290" s="184"/>
      <c r="K290" s="186"/>
      <c r="L290" s="187" t="str">
        <f t="shared" si="79"/>
        <v/>
      </c>
      <c r="M290" s="187" t="str">
        <f t="shared" si="80"/>
        <v/>
      </c>
      <c r="N290" s="187" t="str">
        <f t="shared" si="72"/>
        <v>D</v>
      </c>
      <c r="O290" s="187" t="str">
        <f t="shared" si="81"/>
        <v>D</v>
      </c>
      <c r="P290" s="187">
        <f t="shared" si="82"/>
        <v>1</v>
      </c>
      <c r="Q290" s="187">
        <f>IFERROR(VLOOKUP(E290,Tabela_Deflator:E$43,5,FALSE),1)</f>
        <v>1</v>
      </c>
      <c r="R290" s="188" t="str">
        <f t="shared" si="83"/>
        <v/>
      </c>
      <c r="S290" s="237" t="str">
        <f t="shared" si="73"/>
        <v/>
      </c>
      <c r="T290" s="237" t="str">
        <f t="shared" si="88"/>
        <v/>
      </c>
      <c r="U290" s="189"/>
      <c r="V290" s="167"/>
      <c r="W290" s="165"/>
      <c r="X290" s="164"/>
      <c r="Y290" s="164"/>
      <c r="Z290" s="164"/>
      <c r="AA290" s="174"/>
      <c r="AB290" s="164"/>
      <c r="AC290" s="174"/>
      <c r="AD290" s="184"/>
      <c r="AE290" s="190" t="str">
        <f t="shared" si="84"/>
        <v/>
      </c>
      <c r="AF290" s="190" t="str">
        <f t="shared" si="85"/>
        <v/>
      </c>
      <c r="AG290" s="190" t="str">
        <f t="shared" si="74"/>
        <v>D</v>
      </c>
      <c r="AH290" s="190">
        <f>IFERROR(VLOOKUP(Y290,SISP_Deflatores_e_INMs!B$4:F$49,3,FALSE),1)</f>
        <v>1</v>
      </c>
      <c r="AI290" s="190">
        <f>IFERROR(VLOOKUP(Y290,SISP_Deflatores_e_INMs!B$4:G$49,5,FALSE),1)</f>
        <v>1</v>
      </c>
      <c r="AJ290" s="191" t="str">
        <f t="shared" si="86"/>
        <v/>
      </c>
      <c r="AK290" s="237" t="str">
        <f t="shared" si="75"/>
        <v/>
      </c>
      <c r="AL290" s="237" t="str">
        <f t="shared" si="87"/>
        <v/>
      </c>
      <c r="AM290" s="192" t="e">
        <f t="shared" si="76"/>
        <v>#VALUE!</v>
      </c>
      <c r="AN290" s="193" t="e">
        <f t="shared" si="77"/>
        <v>#VALUE!</v>
      </c>
      <c r="AO290" s="193" t="e">
        <f t="shared" si="78"/>
        <v>#VALUE!</v>
      </c>
      <c r="AP290" s="193"/>
      <c r="AQ290" s="204"/>
      <c r="AR290" s="204"/>
      <c r="AS290" s="204"/>
      <c r="AT290" s="205"/>
      <c r="AU290"/>
    </row>
    <row r="291" spans="2:47" ht="15" customHeight="1" x14ac:dyDescent="0.25">
      <c r="B291" s="206"/>
      <c r="C291" s="185"/>
      <c r="D291" s="164"/>
      <c r="E291" s="174"/>
      <c r="F291" s="164"/>
      <c r="G291" s="174"/>
      <c r="H291" s="164"/>
      <c r="I291" s="174"/>
      <c r="J291" s="184"/>
      <c r="K291" s="186"/>
      <c r="L291" s="187" t="str">
        <f t="shared" si="79"/>
        <v/>
      </c>
      <c r="M291" s="187" t="str">
        <f t="shared" si="80"/>
        <v/>
      </c>
      <c r="N291" s="187" t="str">
        <f t="shared" si="72"/>
        <v>D</v>
      </c>
      <c r="O291" s="187" t="str">
        <f t="shared" si="81"/>
        <v>D</v>
      </c>
      <c r="P291" s="187">
        <f t="shared" si="82"/>
        <v>1</v>
      </c>
      <c r="Q291" s="187">
        <f>IFERROR(VLOOKUP(E291,Tabela_Deflator:E$43,5,FALSE),1)</f>
        <v>1</v>
      </c>
      <c r="R291" s="188" t="str">
        <f t="shared" si="83"/>
        <v/>
      </c>
      <c r="S291" s="237" t="str">
        <f t="shared" si="73"/>
        <v/>
      </c>
      <c r="T291" s="237" t="str">
        <f t="shared" si="88"/>
        <v/>
      </c>
      <c r="U291" s="189"/>
      <c r="V291" s="167"/>
      <c r="W291" s="165"/>
      <c r="X291" s="164"/>
      <c r="Y291" s="164"/>
      <c r="Z291" s="164"/>
      <c r="AA291" s="174"/>
      <c r="AB291" s="164"/>
      <c r="AC291" s="174"/>
      <c r="AD291" s="184"/>
      <c r="AE291" s="190" t="str">
        <f t="shared" si="84"/>
        <v/>
      </c>
      <c r="AF291" s="190" t="str">
        <f t="shared" si="85"/>
        <v/>
      </c>
      <c r="AG291" s="190" t="str">
        <f t="shared" si="74"/>
        <v>D</v>
      </c>
      <c r="AH291" s="190">
        <f>IFERROR(VLOOKUP(Y291,SISP_Deflatores_e_INMs!B$4:F$49,3,FALSE),1)</f>
        <v>1</v>
      </c>
      <c r="AI291" s="190">
        <f>IFERROR(VLOOKUP(Y291,SISP_Deflatores_e_INMs!B$4:G$49,5,FALSE),1)</f>
        <v>1</v>
      </c>
      <c r="AJ291" s="191" t="str">
        <f t="shared" si="86"/>
        <v/>
      </c>
      <c r="AK291" s="237" t="str">
        <f t="shared" si="75"/>
        <v/>
      </c>
      <c r="AL291" s="237" t="str">
        <f t="shared" si="87"/>
        <v/>
      </c>
      <c r="AM291" s="192" t="e">
        <f t="shared" si="76"/>
        <v>#VALUE!</v>
      </c>
      <c r="AN291" s="193" t="e">
        <f t="shared" si="77"/>
        <v>#VALUE!</v>
      </c>
      <c r="AO291" s="193" t="e">
        <f t="shared" si="78"/>
        <v>#VALUE!</v>
      </c>
      <c r="AP291" s="193"/>
      <c r="AQ291" s="204"/>
      <c r="AR291" s="204"/>
      <c r="AS291" s="204"/>
      <c r="AT291" s="205"/>
      <c r="AU291"/>
    </row>
    <row r="292" spans="2:47" ht="15" customHeight="1" x14ac:dyDescent="0.25">
      <c r="B292" s="206"/>
      <c r="C292" s="185"/>
      <c r="D292" s="164"/>
      <c r="E292" s="174"/>
      <c r="F292" s="164"/>
      <c r="G292" s="174"/>
      <c r="H292" s="164"/>
      <c r="I292" s="174"/>
      <c r="J292" s="184"/>
      <c r="K292" s="186"/>
      <c r="L292" s="187" t="str">
        <f t="shared" si="79"/>
        <v/>
      </c>
      <c r="M292" s="187" t="str">
        <f t="shared" si="80"/>
        <v/>
      </c>
      <c r="N292" s="187" t="str">
        <f t="shared" si="72"/>
        <v>D</v>
      </c>
      <c r="O292" s="187" t="str">
        <f t="shared" si="81"/>
        <v>D</v>
      </c>
      <c r="P292" s="187">
        <f t="shared" si="82"/>
        <v>1</v>
      </c>
      <c r="Q292" s="187">
        <f>IFERROR(VLOOKUP(E292,Tabela_Deflator:E$43,5,FALSE),1)</f>
        <v>1</v>
      </c>
      <c r="R292" s="188" t="str">
        <f t="shared" si="83"/>
        <v/>
      </c>
      <c r="S292" s="237" t="str">
        <f t="shared" si="73"/>
        <v/>
      </c>
      <c r="T292" s="237" t="str">
        <f t="shared" si="88"/>
        <v/>
      </c>
      <c r="U292" s="189"/>
      <c r="V292" s="167"/>
      <c r="W292" s="165"/>
      <c r="X292" s="164"/>
      <c r="Y292" s="164"/>
      <c r="Z292" s="164"/>
      <c r="AA292" s="174"/>
      <c r="AB292" s="164"/>
      <c r="AC292" s="174"/>
      <c r="AD292" s="184"/>
      <c r="AE292" s="190" t="str">
        <f t="shared" si="84"/>
        <v/>
      </c>
      <c r="AF292" s="190" t="str">
        <f t="shared" si="85"/>
        <v/>
      </c>
      <c r="AG292" s="190" t="str">
        <f t="shared" si="74"/>
        <v>D</v>
      </c>
      <c r="AH292" s="190">
        <f>IFERROR(VLOOKUP(Y292,SISP_Deflatores_e_INMs!B$4:F$49,3,FALSE),1)</f>
        <v>1</v>
      </c>
      <c r="AI292" s="190">
        <f>IFERROR(VLOOKUP(Y292,SISP_Deflatores_e_INMs!B$4:G$49,5,FALSE),1)</f>
        <v>1</v>
      </c>
      <c r="AJ292" s="191" t="str">
        <f t="shared" si="86"/>
        <v/>
      </c>
      <c r="AK292" s="237" t="str">
        <f t="shared" si="75"/>
        <v/>
      </c>
      <c r="AL292" s="237" t="str">
        <f t="shared" si="87"/>
        <v/>
      </c>
      <c r="AM292" s="192" t="e">
        <f t="shared" si="76"/>
        <v>#VALUE!</v>
      </c>
      <c r="AN292" s="193" t="e">
        <f t="shared" si="77"/>
        <v>#VALUE!</v>
      </c>
      <c r="AO292" s="193" t="e">
        <f t="shared" si="78"/>
        <v>#VALUE!</v>
      </c>
      <c r="AP292" s="193"/>
      <c r="AQ292" s="204"/>
      <c r="AR292" s="204"/>
      <c r="AS292" s="204"/>
      <c r="AT292" s="205"/>
      <c r="AU292"/>
    </row>
    <row r="293" spans="2:47" ht="15" customHeight="1" x14ac:dyDescent="0.25">
      <c r="B293" s="206"/>
      <c r="C293" s="185"/>
      <c r="D293" s="164"/>
      <c r="E293" s="174"/>
      <c r="F293" s="164"/>
      <c r="G293" s="174"/>
      <c r="H293" s="164"/>
      <c r="I293" s="174"/>
      <c r="J293" s="184"/>
      <c r="K293" s="186"/>
      <c r="L293" s="187" t="str">
        <f t="shared" si="79"/>
        <v/>
      </c>
      <c r="M293" s="187" t="str">
        <f t="shared" si="80"/>
        <v/>
      </c>
      <c r="N293" s="187" t="str">
        <f t="shared" si="72"/>
        <v>D</v>
      </c>
      <c r="O293" s="187" t="str">
        <f t="shared" si="81"/>
        <v>D</v>
      </c>
      <c r="P293" s="187">
        <f t="shared" si="82"/>
        <v>1</v>
      </c>
      <c r="Q293" s="187">
        <f>IFERROR(VLOOKUP(E293,Tabela_Deflator:E$43,5,FALSE),1)</f>
        <v>1</v>
      </c>
      <c r="R293" s="188" t="str">
        <f t="shared" si="83"/>
        <v/>
      </c>
      <c r="S293" s="237" t="str">
        <f t="shared" si="73"/>
        <v/>
      </c>
      <c r="T293" s="237" t="str">
        <f t="shared" si="88"/>
        <v/>
      </c>
      <c r="U293" s="189"/>
      <c r="V293" s="167"/>
      <c r="W293" s="165"/>
      <c r="X293" s="164"/>
      <c r="Y293" s="164"/>
      <c r="Z293" s="164"/>
      <c r="AA293" s="174"/>
      <c r="AB293" s="164"/>
      <c r="AC293" s="174"/>
      <c r="AD293" s="184"/>
      <c r="AE293" s="190" t="str">
        <f t="shared" si="84"/>
        <v/>
      </c>
      <c r="AF293" s="190" t="str">
        <f t="shared" si="85"/>
        <v/>
      </c>
      <c r="AG293" s="190" t="str">
        <f t="shared" si="74"/>
        <v>D</v>
      </c>
      <c r="AH293" s="190">
        <f>IFERROR(VLOOKUP(Y293,SISP_Deflatores_e_INMs!B$4:F$49,3,FALSE),1)</f>
        <v>1</v>
      </c>
      <c r="AI293" s="190">
        <f>IFERROR(VLOOKUP(Y293,SISP_Deflatores_e_INMs!B$4:G$49,5,FALSE),1)</f>
        <v>1</v>
      </c>
      <c r="AJ293" s="191" t="str">
        <f t="shared" si="86"/>
        <v/>
      </c>
      <c r="AK293" s="237" t="str">
        <f t="shared" si="75"/>
        <v/>
      </c>
      <c r="AL293" s="237" t="str">
        <f t="shared" si="87"/>
        <v/>
      </c>
      <c r="AM293" s="192" t="e">
        <f t="shared" si="76"/>
        <v>#VALUE!</v>
      </c>
      <c r="AN293" s="193" t="e">
        <f t="shared" si="77"/>
        <v>#VALUE!</v>
      </c>
      <c r="AO293" s="193" t="e">
        <f t="shared" si="78"/>
        <v>#VALUE!</v>
      </c>
      <c r="AP293" s="193"/>
      <c r="AQ293" s="204"/>
      <c r="AR293" s="204"/>
      <c r="AS293" s="204"/>
      <c r="AT293" s="205"/>
      <c r="AU293"/>
    </row>
    <row r="294" spans="2:47" ht="15" customHeight="1" x14ac:dyDescent="0.25">
      <c r="B294" s="206"/>
      <c r="C294" s="185"/>
      <c r="D294" s="164"/>
      <c r="E294" s="174"/>
      <c r="F294" s="164"/>
      <c r="G294" s="174"/>
      <c r="H294" s="164"/>
      <c r="I294" s="174"/>
      <c r="J294" s="184"/>
      <c r="K294" s="186"/>
      <c r="L294" s="187" t="str">
        <f t="shared" si="79"/>
        <v/>
      </c>
      <c r="M294" s="187" t="str">
        <f t="shared" si="80"/>
        <v/>
      </c>
      <c r="N294" s="187" t="str">
        <f t="shared" si="72"/>
        <v>D</v>
      </c>
      <c r="O294" s="187" t="str">
        <f t="shared" si="81"/>
        <v>D</v>
      </c>
      <c r="P294" s="187">
        <f t="shared" si="82"/>
        <v>1</v>
      </c>
      <c r="Q294" s="187">
        <f>IFERROR(VLOOKUP(E294,Tabela_Deflator:E$43,5,FALSE),1)</f>
        <v>1</v>
      </c>
      <c r="R294" s="188" t="str">
        <f t="shared" si="83"/>
        <v/>
      </c>
      <c r="S294" s="237" t="str">
        <f t="shared" si="73"/>
        <v/>
      </c>
      <c r="T294" s="237" t="str">
        <f t="shared" si="88"/>
        <v/>
      </c>
      <c r="U294" s="189"/>
      <c r="V294" s="167"/>
      <c r="W294" s="165"/>
      <c r="X294" s="164"/>
      <c r="Y294" s="164"/>
      <c r="Z294" s="164"/>
      <c r="AA294" s="174"/>
      <c r="AB294" s="164"/>
      <c r="AC294" s="174"/>
      <c r="AD294" s="184"/>
      <c r="AE294" s="190" t="str">
        <f t="shared" si="84"/>
        <v/>
      </c>
      <c r="AF294" s="190" t="str">
        <f t="shared" si="85"/>
        <v/>
      </c>
      <c r="AG294" s="190" t="str">
        <f t="shared" si="74"/>
        <v>D</v>
      </c>
      <c r="AH294" s="190">
        <f>IFERROR(VLOOKUP(Y294,SISP_Deflatores_e_INMs!B$4:F$49,3,FALSE),1)</f>
        <v>1</v>
      </c>
      <c r="AI294" s="190">
        <f>IFERROR(VLOOKUP(Y294,SISP_Deflatores_e_INMs!B$4:G$49,5,FALSE),1)</f>
        <v>1</v>
      </c>
      <c r="AJ294" s="191" t="str">
        <f t="shared" si="86"/>
        <v/>
      </c>
      <c r="AK294" s="237" t="str">
        <f t="shared" si="75"/>
        <v/>
      </c>
      <c r="AL294" s="237" t="str">
        <f t="shared" si="87"/>
        <v/>
      </c>
      <c r="AM294" s="192" t="e">
        <f t="shared" si="76"/>
        <v>#VALUE!</v>
      </c>
      <c r="AN294" s="193" t="e">
        <f t="shared" si="77"/>
        <v>#VALUE!</v>
      </c>
      <c r="AO294" s="193" t="e">
        <f t="shared" si="78"/>
        <v>#VALUE!</v>
      </c>
      <c r="AP294" s="193"/>
      <c r="AQ294" s="204"/>
      <c r="AR294" s="204"/>
      <c r="AS294" s="204"/>
      <c r="AT294" s="205"/>
      <c r="AU294"/>
    </row>
    <row r="295" spans="2:47" ht="15" customHeight="1" x14ac:dyDescent="0.25">
      <c r="B295" s="206"/>
      <c r="C295" s="185"/>
      <c r="D295" s="164"/>
      <c r="E295" s="174"/>
      <c r="F295" s="164"/>
      <c r="G295" s="174"/>
      <c r="H295" s="164"/>
      <c r="I295" s="174"/>
      <c r="J295" s="184"/>
      <c r="K295" s="186"/>
      <c r="L295" s="187" t="str">
        <f t="shared" si="79"/>
        <v/>
      </c>
      <c r="M295" s="187" t="str">
        <f t="shared" si="80"/>
        <v/>
      </c>
      <c r="N295" s="187" t="str">
        <f t="shared" si="72"/>
        <v>D</v>
      </c>
      <c r="O295" s="187" t="str">
        <f t="shared" si="81"/>
        <v>D</v>
      </c>
      <c r="P295" s="187">
        <f t="shared" si="82"/>
        <v>1</v>
      </c>
      <c r="Q295" s="187">
        <f>IFERROR(VLOOKUP(E295,Tabela_Deflator:E$43,5,FALSE),1)</f>
        <v>1</v>
      </c>
      <c r="R295" s="188" t="str">
        <f t="shared" si="83"/>
        <v/>
      </c>
      <c r="S295" s="237" t="str">
        <f t="shared" si="73"/>
        <v/>
      </c>
      <c r="T295" s="237" t="str">
        <f t="shared" si="88"/>
        <v/>
      </c>
      <c r="U295" s="189"/>
      <c r="V295" s="167"/>
      <c r="W295" s="165"/>
      <c r="X295" s="164"/>
      <c r="Y295" s="164"/>
      <c r="Z295" s="164"/>
      <c r="AA295" s="174"/>
      <c r="AB295" s="164"/>
      <c r="AC295" s="174"/>
      <c r="AD295" s="184"/>
      <c r="AE295" s="190" t="str">
        <f t="shared" si="84"/>
        <v/>
      </c>
      <c r="AF295" s="190" t="str">
        <f t="shared" si="85"/>
        <v/>
      </c>
      <c r="AG295" s="190" t="str">
        <f t="shared" si="74"/>
        <v>D</v>
      </c>
      <c r="AH295" s="190">
        <f>IFERROR(VLOOKUP(Y295,SISP_Deflatores_e_INMs!B$4:F$49,3,FALSE),1)</f>
        <v>1</v>
      </c>
      <c r="AI295" s="190">
        <f>IFERROR(VLOOKUP(Y295,SISP_Deflatores_e_INMs!B$4:G$49,5,FALSE),1)</f>
        <v>1</v>
      </c>
      <c r="AJ295" s="191" t="str">
        <f t="shared" si="86"/>
        <v/>
      </c>
      <c r="AK295" s="237" t="str">
        <f t="shared" si="75"/>
        <v/>
      </c>
      <c r="AL295" s="237" t="str">
        <f t="shared" si="87"/>
        <v/>
      </c>
      <c r="AM295" s="192" t="e">
        <f t="shared" si="76"/>
        <v>#VALUE!</v>
      </c>
      <c r="AN295" s="193" t="e">
        <f t="shared" si="77"/>
        <v>#VALUE!</v>
      </c>
      <c r="AO295" s="193" t="e">
        <f t="shared" si="78"/>
        <v>#VALUE!</v>
      </c>
      <c r="AP295" s="193"/>
      <c r="AQ295" s="204"/>
      <c r="AR295" s="204"/>
      <c r="AS295" s="204"/>
      <c r="AT295" s="205"/>
      <c r="AU295"/>
    </row>
    <row r="296" spans="2:47" ht="15" customHeight="1" x14ac:dyDescent="0.25">
      <c r="B296" s="206"/>
      <c r="C296" s="185"/>
      <c r="D296" s="164"/>
      <c r="E296" s="174"/>
      <c r="F296" s="164"/>
      <c r="G296" s="174"/>
      <c r="H296" s="164"/>
      <c r="I296" s="174"/>
      <c r="J296" s="184"/>
      <c r="K296" s="186"/>
      <c r="L296" s="187" t="str">
        <f t="shared" si="79"/>
        <v/>
      </c>
      <c r="M296" s="187" t="str">
        <f t="shared" si="80"/>
        <v/>
      </c>
      <c r="N296" s="187" t="str">
        <f t="shared" si="72"/>
        <v>D</v>
      </c>
      <c r="O296" s="187" t="str">
        <f t="shared" si="81"/>
        <v>D</v>
      </c>
      <c r="P296" s="187">
        <f t="shared" si="82"/>
        <v>1</v>
      </c>
      <c r="Q296" s="187">
        <f>IFERROR(VLOOKUP(E296,Tabela_Deflator:E$43,5,FALSE),1)</f>
        <v>1</v>
      </c>
      <c r="R296" s="188" t="str">
        <f t="shared" si="83"/>
        <v/>
      </c>
      <c r="S296" s="237" t="str">
        <f t="shared" si="73"/>
        <v/>
      </c>
      <c r="T296" s="237" t="str">
        <f t="shared" si="88"/>
        <v/>
      </c>
      <c r="U296" s="189"/>
      <c r="V296" s="167"/>
      <c r="W296" s="165"/>
      <c r="X296" s="164"/>
      <c r="Y296" s="164"/>
      <c r="Z296" s="164"/>
      <c r="AA296" s="174"/>
      <c r="AB296" s="164"/>
      <c r="AC296" s="174"/>
      <c r="AD296" s="184"/>
      <c r="AE296" s="190" t="str">
        <f t="shared" si="84"/>
        <v/>
      </c>
      <c r="AF296" s="190" t="str">
        <f t="shared" si="85"/>
        <v/>
      </c>
      <c r="AG296" s="190" t="str">
        <f t="shared" si="74"/>
        <v>D</v>
      </c>
      <c r="AH296" s="190">
        <f>IFERROR(VLOOKUP(Y296,SISP_Deflatores_e_INMs!B$4:F$49,3,FALSE),1)</f>
        <v>1</v>
      </c>
      <c r="AI296" s="190">
        <f>IFERROR(VLOOKUP(Y296,SISP_Deflatores_e_INMs!B$4:G$49,5,FALSE),1)</f>
        <v>1</v>
      </c>
      <c r="AJ296" s="191" t="str">
        <f t="shared" si="86"/>
        <v/>
      </c>
      <c r="AK296" s="237" t="str">
        <f t="shared" si="75"/>
        <v/>
      </c>
      <c r="AL296" s="237" t="str">
        <f t="shared" si="87"/>
        <v/>
      </c>
      <c r="AM296" s="192" t="e">
        <f t="shared" si="76"/>
        <v>#VALUE!</v>
      </c>
      <c r="AN296" s="193" t="e">
        <f t="shared" si="77"/>
        <v>#VALUE!</v>
      </c>
      <c r="AO296" s="193" t="e">
        <f t="shared" si="78"/>
        <v>#VALUE!</v>
      </c>
      <c r="AP296" s="193"/>
      <c r="AQ296" s="204"/>
      <c r="AR296" s="204"/>
      <c r="AS296" s="204"/>
      <c r="AT296" s="205"/>
      <c r="AU296"/>
    </row>
    <row r="297" spans="2:47" ht="15" customHeight="1" x14ac:dyDescent="0.25">
      <c r="B297" s="206"/>
      <c r="C297" s="185"/>
      <c r="D297" s="164"/>
      <c r="E297" s="174"/>
      <c r="F297" s="164"/>
      <c r="G297" s="174"/>
      <c r="H297" s="164"/>
      <c r="I297" s="174"/>
      <c r="J297" s="184"/>
      <c r="K297" s="186"/>
      <c r="L297" s="187" t="str">
        <f t="shared" si="79"/>
        <v/>
      </c>
      <c r="M297" s="187" t="str">
        <f t="shared" si="80"/>
        <v/>
      </c>
      <c r="N297" s="187" t="str">
        <f t="shared" si="72"/>
        <v>D</v>
      </c>
      <c r="O297" s="187" t="str">
        <f t="shared" si="81"/>
        <v>D</v>
      </c>
      <c r="P297" s="187">
        <f t="shared" si="82"/>
        <v>1</v>
      </c>
      <c r="Q297" s="187">
        <f>IFERROR(VLOOKUP(E297,Tabela_Deflator:E$43,5,FALSE),1)</f>
        <v>1</v>
      </c>
      <c r="R297" s="188" t="str">
        <f t="shared" si="83"/>
        <v/>
      </c>
      <c r="S297" s="237" t="str">
        <f t="shared" si="73"/>
        <v/>
      </c>
      <c r="T297" s="237" t="str">
        <f t="shared" si="88"/>
        <v/>
      </c>
      <c r="U297" s="189"/>
      <c r="V297" s="167"/>
      <c r="W297" s="165"/>
      <c r="X297" s="164"/>
      <c r="Y297" s="164"/>
      <c r="Z297" s="164"/>
      <c r="AA297" s="174"/>
      <c r="AB297" s="164"/>
      <c r="AC297" s="174"/>
      <c r="AD297" s="184"/>
      <c r="AE297" s="190" t="str">
        <f t="shared" si="84"/>
        <v/>
      </c>
      <c r="AF297" s="190" t="str">
        <f t="shared" si="85"/>
        <v/>
      </c>
      <c r="AG297" s="190" t="str">
        <f t="shared" si="74"/>
        <v>D</v>
      </c>
      <c r="AH297" s="190">
        <f>IFERROR(VLOOKUP(Y297,SISP_Deflatores_e_INMs!B$4:F$49,3,FALSE),1)</f>
        <v>1</v>
      </c>
      <c r="AI297" s="190">
        <f>IFERROR(VLOOKUP(Y297,SISP_Deflatores_e_INMs!B$4:G$49,5,FALSE),1)</f>
        <v>1</v>
      </c>
      <c r="AJ297" s="191" t="str">
        <f t="shared" si="86"/>
        <v/>
      </c>
      <c r="AK297" s="237" t="str">
        <f t="shared" si="75"/>
        <v/>
      </c>
      <c r="AL297" s="237" t="str">
        <f t="shared" si="87"/>
        <v/>
      </c>
      <c r="AM297" s="192" t="e">
        <f t="shared" si="76"/>
        <v>#VALUE!</v>
      </c>
      <c r="AN297" s="193" t="e">
        <f t="shared" si="77"/>
        <v>#VALUE!</v>
      </c>
      <c r="AO297" s="193" t="e">
        <f t="shared" si="78"/>
        <v>#VALUE!</v>
      </c>
      <c r="AP297" s="193"/>
      <c r="AQ297" s="204"/>
      <c r="AR297" s="204"/>
      <c r="AS297" s="204"/>
      <c r="AT297" s="205"/>
      <c r="AU297"/>
    </row>
    <row r="298" spans="2:47" ht="15" customHeight="1" x14ac:dyDescent="0.25">
      <c r="B298" s="206"/>
      <c r="C298" s="185"/>
      <c r="D298" s="164"/>
      <c r="E298" s="174"/>
      <c r="F298" s="164"/>
      <c r="G298" s="174"/>
      <c r="H298" s="164"/>
      <c r="I298" s="174"/>
      <c r="J298" s="184"/>
      <c r="K298" s="186"/>
      <c r="L298" s="187" t="str">
        <f t="shared" si="79"/>
        <v/>
      </c>
      <c r="M298" s="187" t="str">
        <f t="shared" si="80"/>
        <v/>
      </c>
      <c r="N298" s="187" t="str">
        <f t="shared" si="72"/>
        <v>D</v>
      </c>
      <c r="O298" s="187" t="str">
        <f t="shared" si="81"/>
        <v>D</v>
      </c>
      <c r="P298" s="187">
        <f t="shared" si="82"/>
        <v>1</v>
      </c>
      <c r="Q298" s="187">
        <f>IFERROR(VLOOKUP(E298,Tabela_Deflator:E$43,5,FALSE),1)</f>
        <v>1</v>
      </c>
      <c r="R298" s="188" t="str">
        <f t="shared" si="83"/>
        <v/>
      </c>
      <c r="S298" s="237" t="str">
        <f t="shared" si="73"/>
        <v/>
      </c>
      <c r="T298" s="237" t="str">
        <f t="shared" si="88"/>
        <v/>
      </c>
      <c r="U298" s="189"/>
      <c r="V298" s="167"/>
      <c r="W298" s="165"/>
      <c r="X298" s="164"/>
      <c r="Y298" s="164"/>
      <c r="Z298" s="164"/>
      <c r="AA298" s="174"/>
      <c r="AB298" s="164"/>
      <c r="AC298" s="174"/>
      <c r="AD298" s="184"/>
      <c r="AE298" s="190" t="str">
        <f t="shared" si="84"/>
        <v/>
      </c>
      <c r="AF298" s="190" t="str">
        <f t="shared" si="85"/>
        <v/>
      </c>
      <c r="AG298" s="190" t="str">
        <f t="shared" si="74"/>
        <v>D</v>
      </c>
      <c r="AH298" s="190">
        <f>IFERROR(VLOOKUP(Y298,SISP_Deflatores_e_INMs!B$4:F$49,3,FALSE),1)</f>
        <v>1</v>
      </c>
      <c r="AI298" s="190">
        <f>IFERROR(VLOOKUP(Y298,SISP_Deflatores_e_INMs!B$4:G$49,5,FALSE),1)</f>
        <v>1</v>
      </c>
      <c r="AJ298" s="191" t="str">
        <f t="shared" si="86"/>
        <v/>
      </c>
      <c r="AK298" s="237" t="str">
        <f t="shared" si="75"/>
        <v/>
      </c>
      <c r="AL298" s="237" t="str">
        <f t="shared" si="87"/>
        <v/>
      </c>
      <c r="AM298" s="192" t="e">
        <f t="shared" si="76"/>
        <v>#VALUE!</v>
      </c>
      <c r="AN298" s="193" t="e">
        <f t="shared" si="77"/>
        <v>#VALUE!</v>
      </c>
      <c r="AO298" s="193" t="e">
        <f t="shared" si="78"/>
        <v>#VALUE!</v>
      </c>
      <c r="AP298" s="193"/>
      <c r="AQ298" s="204"/>
      <c r="AR298" s="204"/>
      <c r="AS298" s="204"/>
      <c r="AT298" s="205"/>
      <c r="AU298"/>
    </row>
    <row r="299" spans="2:47" ht="15" customHeight="1" x14ac:dyDescent="0.25">
      <c r="B299" s="206"/>
      <c r="C299" s="185"/>
      <c r="D299" s="164"/>
      <c r="E299" s="174"/>
      <c r="F299" s="164"/>
      <c r="G299" s="174"/>
      <c r="H299" s="164"/>
      <c r="I299" s="174"/>
      <c r="J299" s="184"/>
      <c r="K299" s="186"/>
      <c r="L299" s="187" t="str">
        <f t="shared" si="79"/>
        <v/>
      </c>
      <c r="M299" s="187" t="str">
        <f t="shared" si="80"/>
        <v/>
      </c>
      <c r="N299" s="187" t="str">
        <f t="shared" si="72"/>
        <v>D</v>
      </c>
      <c r="O299" s="187" t="str">
        <f t="shared" si="81"/>
        <v>D</v>
      </c>
      <c r="P299" s="187">
        <f t="shared" si="82"/>
        <v>1</v>
      </c>
      <c r="Q299" s="187">
        <f>IFERROR(VLOOKUP(E299,Tabela_Deflator:E$43,5,FALSE),1)</f>
        <v>1</v>
      </c>
      <c r="R299" s="188" t="str">
        <f t="shared" si="83"/>
        <v/>
      </c>
      <c r="S299" s="237" t="str">
        <f t="shared" si="73"/>
        <v/>
      </c>
      <c r="T299" s="237" t="str">
        <f t="shared" si="88"/>
        <v/>
      </c>
      <c r="U299" s="189"/>
      <c r="V299" s="167"/>
      <c r="W299" s="165"/>
      <c r="X299" s="164"/>
      <c r="Y299" s="164"/>
      <c r="Z299" s="164"/>
      <c r="AA299" s="174"/>
      <c r="AB299" s="164"/>
      <c r="AC299" s="174"/>
      <c r="AD299" s="184"/>
      <c r="AE299" s="190" t="str">
        <f t="shared" si="84"/>
        <v/>
      </c>
      <c r="AF299" s="190" t="str">
        <f t="shared" si="85"/>
        <v/>
      </c>
      <c r="AG299" s="190" t="str">
        <f t="shared" si="74"/>
        <v>D</v>
      </c>
      <c r="AH299" s="190">
        <f>IFERROR(VLOOKUP(Y299,SISP_Deflatores_e_INMs!B$4:F$49,3,FALSE),1)</f>
        <v>1</v>
      </c>
      <c r="AI299" s="190">
        <f>IFERROR(VLOOKUP(Y299,SISP_Deflatores_e_INMs!B$4:G$49,5,FALSE),1)</f>
        <v>1</v>
      </c>
      <c r="AJ299" s="191" t="str">
        <f t="shared" si="86"/>
        <v/>
      </c>
      <c r="AK299" s="237" t="str">
        <f t="shared" si="75"/>
        <v/>
      </c>
      <c r="AL299" s="237" t="str">
        <f t="shared" si="87"/>
        <v/>
      </c>
      <c r="AM299" s="192" t="e">
        <f t="shared" si="76"/>
        <v>#VALUE!</v>
      </c>
      <c r="AN299" s="193" t="e">
        <f t="shared" si="77"/>
        <v>#VALUE!</v>
      </c>
      <c r="AO299" s="193" t="e">
        <f t="shared" si="78"/>
        <v>#VALUE!</v>
      </c>
      <c r="AP299" s="193"/>
      <c r="AQ299" s="204"/>
      <c r="AR299" s="204"/>
      <c r="AS299" s="204"/>
      <c r="AT299" s="205"/>
      <c r="AU299"/>
    </row>
    <row r="300" spans="2:47" ht="15" customHeight="1" x14ac:dyDescent="0.25">
      <c r="B300" s="206"/>
      <c r="C300" s="185"/>
      <c r="D300" s="164"/>
      <c r="E300" s="174"/>
      <c r="F300" s="164"/>
      <c r="G300" s="174"/>
      <c r="H300" s="164"/>
      <c r="I300" s="174"/>
      <c r="J300" s="184"/>
      <c r="K300" s="186"/>
      <c r="L300" s="187" t="str">
        <f t="shared" si="79"/>
        <v/>
      </c>
      <c r="M300" s="187" t="str">
        <f t="shared" si="80"/>
        <v/>
      </c>
      <c r="N300" s="187" t="str">
        <f t="shared" si="72"/>
        <v>D</v>
      </c>
      <c r="O300" s="187" t="str">
        <f t="shared" si="81"/>
        <v>D</v>
      </c>
      <c r="P300" s="187">
        <f t="shared" si="82"/>
        <v>1</v>
      </c>
      <c r="Q300" s="187">
        <f>IFERROR(VLOOKUP(E300,Tabela_Deflator:E$43,5,FALSE),1)</f>
        <v>1</v>
      </c>
      <c r="R300" s="188" t="str">
        <f t="shared" si="83"/>
        <v/>
      </c>
      <c r="S300" s="237" t="str">
        <f t="shared" si="73"/>
        <v/>
      </c>
      <c r="T300" s="237" t="str">
        <f t="shared" si="88"/>
        <v/>
      </c>
      <c r="U300" s="189"/>
      <c r="V300" s="167"/>
      <c r="W300" s="165"/>
      <c r="X300" s="164"/>
      <c r="Y300" s="164"/>
      <c r="Z300" s="164"/>
      <c r="AA300" s="174"/>
      <c r="AB300" s="164"/>
      <c r="AC300" s="174"/>
      <c r="AD300" s="184"/>
      <c r="AE300" s="190" t="str">
        <f t="shared" si="84"/>
        <v/>
      </c>
      <c r="AF300" s="190" t="str">
        <f t="shared" si="85"/>
        <v/>
      </c>
      <c r="AG300" s="190" t="str">
        <f t="shared" si="74"/>
        <v>D</v>
      </c>
      <c r="AH300" s="190">
        <f>IFERROR(VLOOKUP(Y300,SISP_Deflatores_e_INMs!B$4:F$49,3,FALSE),1)</f>
        <v>1</v>
      </c>
      <c r="AI300" s="190">
        <f>IFERROR(VLOOKUP(Y300,SISP_Deflatores_e_INMs!B$4:G$49,5,FALSE),1)</f>
        <v>1</v>
      </c>
      <c r="AJ300" s="191" t="str">
        <f t="shared" si="86"/>
        <v/>
      </c>
      <c r="AK300" s="237" t="str">
        <f t="shared" si="75"/>
        <v/>
      </c>
      <c r="AL300" s="237" t="str">
        <f t="shared" si="87"/>
        <v/>
      </c>
      <c r="AM300" s="192" t="e">
        <f t="shared" si="76"/>
        <v>#VALUE!</v>
      </c>
      <c r="AN300" s="193" t="e">
        <f t="shared" si="77"/>
        <v>#VALUE!</v>
      </c>
      <c r="AO300" s="193" t="e">
        <f t="shared" si="78"/>
        <v>#VALUE!</v>
      </c>
      <c r="AP300" s="193"/>
      <c r="AQ300" s="204"/>
      <c r="AR300" s="204"/>
      <c r="AS300" s="204"/>
      <c r="AT300" s="205"/>
      <c r="AU300"/>
    </row>
    <row r="301" spans="2:47" ht="15" customHeight="1" x14ac:dyDescent="0.25">
      <c r="B301" s="206"/>
      <c r="C301" s="185"/>
      <c r="D301" s="164"/>
      <c r="E301" s="174"/>
      <c r="F301" s="164"/>
      <c r="G301" s="174"/>
      <c r="H301" s="164"/>
      <c r="I301" s="174"/>
      <c r="J301" s="184"/>
      <c r="K301" s="186"/>
      <c r="L301" s="187" t="str">
        <f t="shared" si="79"/>
        <v/>
      </c>
      <c r="M301" s="187" t="str">
        <f t="shared" si="80"/>
        <v/>
      </c>
      <c r="N301" s="187" t="str">
        <f t="shared" si="72"/>
        <v>D</v>
      </c>
      <c r="O301" s="187" t="str">
        <f t="shared" si="81"/>
        <v>D</v>
      </c>
      <c r="P301" s="187">
        <f t="shared" si="82"/>
        <v>1</v>
      </c>
      <c r="Q301" s="187">
        <f>IFERROR(VLOOKUP(E301,Tabela_Deflator:E$43,5,FALSE),1)</f>
        <v>1</v>
      </c>
      <c r="R301" s="188" t="str">
        <f t="shared" si="83"/>
        <v/>
      </c>
      <c r="S301" s="237" t="str">
        <f t="shared" si="73"/>
        <v/>
      </c>
      <c r="T301" s="237" t="str">
        <f t="shared" si="88"/>
        <v/>
      </c>
      <c r="U301" s="189"/>
      <c r="V301" s="167"/>
      <c r="W301" s="165"/>
      <c r="X301" s="164"/>
      <c r="Y301" s="164"/>
      <c r="Z301" s="164"/>
      <c r="AA301" s="174"/>
      <c r="AB301" s="164"/>
      <c r="AC301" s="174"/>
      <c r="AD301" s="184"/>
      <c r="AE301" s="190" t="str">
        <f t="shared" si="84"/>
        <v/>
      </c>
      <c r="AF301" s="190" t="str">
        <f t="shared" si="85"/>
        <v/>
      </c>
      <c r="AG301" s="190" t="str">
        <f t="shared" si="74"/>
        <v>D</v>
      </c>
      <c r="AH301" s="190">
        <f>IFERROR(VLOOKUP(Y301,SISP_Deflatores_e_INMs!B$4:F$49,3,FALSE),1)</f>
        <v>1</v>
      </c>
      <c r="AI301" s="190">
        <f>IFERROR(VLOOKUP(Y301,SISP_Deflatores_e_INMs!B$4:G$49,5,FALSE),1)</f>
        <v>1</v>
      </c>
      <c r="AJ301" s="191" t="str">
        <f t="shared" si="86"/>
        <v/>
      </c>
      <c r="AK301" s="237" t="str">
        <f t="shared" si="75"/>
        <v/>
      </c>
      <c r="AL301" s="237" t="str">
        <f t="shared" si="87"/>
        <v/>
      </c>
      <c r="AM301" s="192" t="e">
        <f t="shared" si="76"/>
        <v>#VALUE!</v>
      </c>
      <c r="AN301" s="193" t="e">
        <f t="shared" si="77"/>
        <v>#VALUE!</v>
      </c>
      <c r="AO301" s="193" t="e">
        <f t="shared" si="78"/>
        <v>#VALUE!</v>
      </c>
      <c r="AP301" s="193"/>
      <c r="AQ301" s="204"/>
      <c r="AR301" s="204"/>
      <c r="AS301" s="204"/>
      <c r="AT301" s="205"/>
      <c r="AU301"/>
    </row>
    <row r="302" spans="2:47" ht="15" customHeight="1" x14ac:dyDescent="0.25">
      <c r="B302" s="206"/>
      <c r="C302" s="185"/>
      <c r="D302" s="164"/>
      <c r="E302" s="174"/>
      <c r="F302" s="164"/>
      <c r="G302" s="174"/>
      <c r="H302" s="164"/>
      <c r="I302" s="174"/>
      <c r="J302" s="184"/>
      <c r="K302" s="186"/>
      <c r="L302" s="187" t="str">
        <f t="shared" si="79"/>
        <v/>
      </c>
      <c r="M302" s="187" t="str">
        <f t="shared" si="80"/>
        <v/>
      </c>
      <c r="N302" s="187" t="str">
        <f t="shared" si="72"/>
        <v>D</v>
      </c>
      <c r="O302" s="187" t="str">
        <f t="shared" si="81"/>
        <v>D</v>
      </c>
      <c r="P302" s="187">
        <f t="shared" si="82"/>
        <v>1</v>
      </c>
      <c r="Q302" s="187">
        <f>IFERROR(VLOOKUP(E302,Tabela_Deflator:E$43,5,FALSE),1)</f>
        <v>1</v>
      </c>
      <c r="R302" s="188" t="str">
        <f t="shared" si="83"/>
        <v/>
      </c>
      <c r="S302" s="237" t="str">
        <f t="shared" si="73"/>
        <v/>
      </c>
      <c r="T302" s="237" t="str">
        <f t="shared" si="88"/>
        <v/>
      </c>
      <c r="U302" s="189"/>
      <c r="V302" s="167"/>
      <c r="W302" s="165"/>
      <c r="X302" s="164"/>
      <c r="Y302" s="164"/>
      <c r="Z302" s="164"/>
      <c r="AA302" s="174"/>
      <c r="AB302" s="164"/>
      <c r="AC302" s="174"/>
      <c r="AD302" s="184"/>
      <c r="AE302" s="190" t="str">
        <f t="shared" si="84"/>
        <v/>
      </c>
      <c r="AF302" s="190" t="str">
        <f t="shared" si="85"/>
        <v/>
      </c>
      <c r="AG302" s="190" t="str">
        <f t="shared" si="74"/>
        <v>D</v>
      </c>
      <c r="AH302" s="190">
        <f>IFERROR(VLOOKUP(Y302,SISP_Deflatores_e_INMs!B$4:F$49,3,FALSE),1)</f>
        <v>1</v>
      </c>
      <c r="AI302" s="190">
        <f>IFERROR(VLOOKUP(Y302,SISP_Deflatores_e_INMs!B$4:G$49,5,FALSE),1)</f>
        <v>1</v>
      </c>
      <c r="AJ302" s="191" t="str">
        <f t="shared" si="86"/>
        <v/>
      </c>
      <c r="AK302" s="237" t="str">
        <f t="shared" si="75"/>
        <v/>
      </c>
      <c r="AL302" s="237" t="str">
        <f t="shared" si="87"/>
        <v/>
      </c>
      <c r="AM302" s="192" t="e">
        <f t="shared" si="76"/>
        <v>#VALUE!</v>
      </c>
      <c r="AN302" s="193" t="e">
        <f t="shared" si="77"/>
        <v>#VALUE!</v>
      </c>
      <c r="AO302" s="193" t="e">
        <f t="shared" si="78"/>
        <v>#VALUE!</v>
      </c>
      <c r="AP302" s="193"/>
      <c r="AQ302" s="204"/>
      <c r="AR302" s="204"/>
      <c r="AS302" s="204"/>
      <c r="AT302" s="205"/>
      <c r="AU302"/>
    </row>
    <row r="303" spans="2:47" ht="15" customHeight="1" x14ac:dyDescent="0.25">
      <c r="B303" s="206"/>
      <c r="C303" s="185"/>
      <c r="D303" s="164"/>
      <c r="E303" s="174"/>
      <c r="F303" s="164"/>
      <c r="G303" s="174"/>
      <c r="H303" s="164"/>
      <c r="I303" s="174"/>
      <c r="J303" s="184"/>
      <c r="K303" s="186"/>
      <c r="L303" s="187" t="str">
        <f t="shared" si="79"/>
        <v/>
      </c>
      <c r="M303" s="187" t="str">
        <f t="shared" si="80"/>
        <v/>
      </c>
      <c r="N303" s="187" t="str">
        <f t="shared" si="72"/>
        <v>D</v>
      </c>
      <c r="O303" s="187" t="str">
        <f t="shared" si="81"/>
        <v>D</v>
      </c>
      <c r="P303" s="187">
        <f t="shared" si="82"/>
        <v>1</v>
      </c>
      <c r="Q303" s="187">
        <f>IFERROR(VLOOKUP(E303,Tabela_Deflator:E$43,5,FALSE),1)</f>
        <v>1</v>
      </c>
      <c r="R303" s="188" t="str">
        <f t="shared" si="83"/>
        <v/>
      </c>
      <c r="S303" s="237" t="str">
        <f t="shared" si="73"/>
        <v/>
      </c>
      <c r="T303" s="237" t="str">
        <f t="shared" si="88"/>
        <v/>
      </c>
      <c r="U303" s="189"/>
      <c r="V303" s="167"/>
      <c r="W303" s="165"/>
      <c r="X303" s="164"/>
      <c r="Y303" s="164"/>
      <c r="Z303" s="164"/>
      <c r="AA303" s="174"/>
      <c r="AB303" s="164"/>
      <c r="AC303" s="174"/>
      <c r="AD303" s="184"/>
      <c r="AE303" s="190" t="str">
        <f t="shared" si="84"/>
        <v/>
      </c>
      <c r="AF303" s="190" t="str">
        <f t="shared" si="85"/>
        <v/>
      </c>
      <c r="AG303" s="190" t="str">
        <f t="shared" si="74"/>
        <v>D</v>
      </c>
      <c r="AH303" s="190">
        <f>IFERROR(VLOOKUP(Y303,SISP_Deflatores_e_INMs!B$4:F$49,3,FALSE),1)</f>
        <v>1</v>
      </c>
      <c r="AI303" s="190">
        <f>IFERROR(VLOOKUP(Y303,SISP_Deflatores_e_INMs!B$4:G$49,5,FALSE),1)</f>
        <v>1</v>
      </c>
      <c r="AJ303" s="191" t="str">
        <f t="shared" si="86"/>
        <v/>
      </c>
      <c r="AK303" s="237" t="str">
        <f t="shared" si="75"/>
        <v/>
      </c>
      <c r="AL303" s="237" t="str">
        <f t="shared" si="87"/>
        <v/>
      </c>
      <c r="AM303" s="192" t="e">
        <f t="shared" si="76"/>
        <v>#VALUE!</v>
      </c>
      <c r="AN303" s="193" t="e">
        <f t="shared" si="77"/>
        <v>#VALUE!</v>
      </c>
      <c r="AO303" s="193" t="e">
        <f t="shared" si="78"/>
        <v>#VALUE!</v>
      </c>
      <c r="AP303" s="193"/>
      <c r="AQ303" s="204"/>
      <c r="AR303" s="204"/>
      <c r="AS303" s="204"/>
      <c r="AT303" s="205"/>
      <c r="AU303"/>
    </row>
    <row r="304" spans="2:47" ht="15" customHeight="1" x14ac:dyDescent="0.25">
      <c r="B304" s="206"/>
      <c r="C304" s="185"/>
      <c r="D304" s="164"/>
      <c r="E304" s="174"/>
      <c r="F304" s="164"/>
      <c r="G304" s="174"/>
      <c r="H304" s="164"/>
      <c r="I304" s="174"/>
      <c r="J304" s="184"/>
      <c r="K304" s="186"/>
      <c r="L304" s="187" t="str">
        <f t="shared" si="79"/>
        <v/>
      </c>
      <c r="M304" s="187" t="str">
        <f t="shared" si="80"/>
        <v/>
      </c>
      <c r="N304" s="187" t="str">
        <f t="shared" si="72"/>
        <v>D</v>
      </c>
      <c r="O304" s="187" t="str">
        <f t="shared" si="81"/>
        <v>D</v>
      </c>
      <c r="P304" s="187">
        <f t="shared" si="82"/>
        <v>1</v>
      </c>
      <c r="Q304" s="187">
        <f>IFERROR(VLOOKUP(E304,Tabela_Deflator:E$43,5,FALSE),1)</f>
        <v>1</v>
      </c>
      <c r="R304" s="188" t="str">
        <f t="shared" si="83"/>
        <v/>
      </c>
      <c r="S304" s="237" t="str">
        <f t="shared" si="73"/>
        <v/>
      </c>
      <c r="T304" s="237" t="str">
        <f t="shared" si="88"/>
        <v/>
      </c>
      <c r="U304" s="189"/>
      <c r="V304" s="167"/>
      <c r="W304" s="165"/>
      <c r="X304" s="164"/>
      <c r="Y304" s="164"/>
      <c r="Z304" s="164"/>
      <c r="AA304" s="174"/>
      <c r="AB304" s="164"/>
      <c r="AC304" s="174"/>
      <c r="AD304" s="184"/>
      <c r="AE304" s="190" t="str">
        <f t="shared" si="84"/>
        <v/>
      </c>
      <c r="AF304" s="190" t="str">
        <f t="shared" si="85"/>
        <v/>
      </c>
      <c r="AG304" s="190" t="str">
        <f t="shared" si="74"/>
        <v>D</v>
      </c>
      <c r="AH304" s="190">
        <f>IFERROR(VLOOKUP(Y304,SISP_Deflatores_e_INMs!B$4:F$49,3,FALSE),1)</f>
        <v>1</v>
      </c>
      <c r="AI304" s="190">
        <f>IFERROR(VLOOKUP(Y304,SISP_Deflatores_e_INMs!B$4:G$49,5,FALSE),1)</f>
        <v>1</v>
      </c>
      <c r="AJ304" s="191" t="str">
        <f t="shared" si="86"/>
        <v/>
      </c>
      <c r="AK304" s="237" t="str">
        <f t="shared" si="75"/>
        <v/>
      </c>
      <c r="AL304" s="237" t="str">
        <f t="shared" si="87"/>
        <v/>
      </c>
      <c r="AM304" s="192" t="e">
        <f t="shared" si="76"/>
        <v>#VALUE!</v>
      </c>
      <c r="AN304" s="193" t="e">
        <f t="shared" si="77"/>
        <v>#VALUE!</v>
      </c>
      <c r="AO304" s="193" t="e">
        <f t="shared" si="78"/>
        <v>#VALUE!</v>
      </c>
      <c r="AP304" s="193"/>
      <c r="AQ304" s="204"/>
      <c r="AR304" s="204"/>
      <c r="AS304" s="204"/>
      <c r="AT304" s="205"/>
      <c r="AU304"/>
    </row>
    <row r="305" spans="2:47" ht="15" customHeight="1" x14ac:dyDescent="0.25">
      <c r="B305" s="206"/>
      <c r="C305" s="185"/>
      <c r="D305" s="164"/>
      <c r="E305" s="174"/>
      <c r="F305" s="164"/>
      <c r="G305" s="174"/>
      <c r="H305" s="164"/>
      <c r="I305" s="174"/>
      <c r="J305" s="184"/>
      <c r="K305" s="186"/>
      <c r="L305" s="187" t="str">
        <f t="shared" si="79"/>
        <v/>
      </c>
      <c r="M305" s="187" t="str">
        <f t="shared" si="80"/>
        <v/>
      </c>
      <c r="N305" s="187" t="str">
        <f t="shared" si="72"/>
        <v>D</v>
      </c>
      <c r="O305" s="187" t="str">
        <f t="shared" si="81"/>
        <v>D</v>
      </c>
      <c r="P305" s="187">
        <f t="shared" si="82"/>
        <v>1</v>
      </c>
      <c r="Q305" s="187">
        <f>IFERROR(VLOOKUP(E305,Tabela_Deflator:E$43,5,FALSE),1)</f>
        <v>1</v>
      </c>
      <c r="R305" s="188" t="str">
        <f t="shared" si="83"/>
        <v/>
      </c>
      <c r="S305" s="237" t="str">
        <f t="shared" si="73"/>
        <v/>
      </c>
      <c r="T305" s="237" t="str">
        <f t="shared" si="88"/>
        <v/>
      </c>
      <c r="U305" s="189"/>
      <c r="V305" s="167"/>
      <c r="W305" s="165"/>
      <c r="X305" s="164"/>
      <c r="Y305" s="164"/>
      <c r="Z305" s="164"/>
      <c r="AA305" s="174"/>
      <c r="AB305" s="164"/>
      <c r="AC305" s="174"/>
      <c r="AD305" s="184"/>
      <c r="AE305" s="190" t="str">
        <f t="shared" si="84"/>
        <v/>
      </c>
      <c r="AF305" s="190" t="str">
        <f t="shared" si="85"/>
        <v/>
      </c>
      <c r="AG305" s="190" t="str">
        <f t="shared" si="74"/>
        <v>D</v>
      </c>
      <c r="AH305" s="190">
        <f>IFERROR(VLOOKUP(Y305,SISP_Deflatores_e_INMs!B$4:F$49,3,FALSE),1)</f>
        <v>1</v>
      </c>
      <c r="AI305" s="190">
        <f>IFERROR(VLOOKUP(Y305,SISP_Deflatores_e_INMs!B$4:G$49,5,FALSE),1)</f>
        <v>1</v>
      </c>
      <c r="AJ305" s="191" t="str">
        <f t="shared" si="86"/>
        <v/>
      </c>
      <c r="AK305" s="237" t="str">
        <f t="shared" si="75"/>
        <v/>
      </c>
      <c r="AL305" s="237" t="str">
        <f t="shared" si="87"/>
        <v/>
      </c>
      <c r="AM305" s="192" t="e">
        <f t="shared" si="76"/>
        <v>#VALUE!</v>
      </c>
      <c r="AN305" s="193" t="e">
        <f t="shared" si="77"/>
        <v>#VALUE!</v>
      </c>
      <c r="AO305" s="193" t="e">
        <f t="shared" si="78"/>
        <v>#VALUE!</v>
      </c>
      <c r="AP305" s="193"/>
      <c r="AQ305" s="204"/>
      <c r="AR305" s="204"/>
      <c r="AS305" s="204"/>
      <c r="AT305" s="205"/>
      <c r="AU305"/>
    </row>
    <row r="306" spans="2:47" ht="15" customHeight="1" x14ac:dyDescent="0.25">
      <c r="B306" s="206"/>
      <c r="C306" s="185"/>
      <c r="D306" s="164"/>
      <c r="E306" s="174"/>
      <c r="F306" s="164"/>
      <c r="G306" s="174"/>
      <c r="H306" s="164"/>
      <c r="I306" s="174"/>
      <c r="J306" s="184"/>
      <c r="K306" s="186"/>
      <c r="L306" s="187" t="str">
        <f t="shared" si="79"/>
        <v/>
      </c>
      <c r="M306" s="187" t="str">
        <f t="shared" si="80"/>
        <v/>
      </c>
      <c r="N306" s="187" t="str">
        <f t="shared" si="72"/>
        <v>D</v>
      </c>
      <c r="O306" s="187" t="str">
        <f t="shared" si="81"/>
        <v>D</v>
      </c>
      <c r="P306" s="187">
        <f t="shared" si="82"/>
        <v>1</v>
      </c>
      <c r="Q306" s="187">
        <f>IFERROR(VLOOKUP(E306,Tabela_Deflator:E$43,5,FALSE),1)</f>
        <v>1</v>
      </c>
      <c r="R306" s="188" t="str">
        <f t="shared" si="83"/>
        <v/>
      </c>
      <c r="S306" s="237" t="str">
        <f t="shared" si="73"/>
        <v/>
      </c>
      <c r="T306" s="237" t="str">
        <f t="shared" si="88"/>
        <v/>
      </c>
      <c r="U306" s="189"/>
      <c r="V306" s="167"/>
      <c r="W306" s="165"/>
      <c r="X306" s="164"/>
      <c r="Y306" s="164"/>
      <c r="Z306" s="164"/>
      <c r="AA306" s="174"/>
      <c r="AB306" s="164"/>
      <c r="AC306" s="174"/>
      <c r="AD306" s="184"/>
      <c r="AE306" s="190" t="str">
        <f t="shared" si="84"/>
        <v/>
      </c>
      <c r="AF306" s="190" t="str">
        <f t="shared" si="85"/>
        <v/>
      </c>
      <c r="AG306" s="190" t="str">
        <f t="shared" si="74"/>
        <v>D</v>
      </c>
      <c r="AH306" s="190">
        <f>IFERROR(VLOOKUP(Y306,SISP_Deflatores_e_INMs!B$4:F$49,3,FALSE),1)</f>
        <v>1</v>
      </c>
      <c r="AI306" s="190">
        <f>IFERROR(VLOOKUP(Y306,SISP_Deflatores_e_INMs!B$4:G$49,5,FALSE),1)</f>
        <v>1</v>
      </c>
      <c r="AJ306" s="191" t="str">
        <f t="shared" si="86"/>
        <v/>
      </c>
      <c r="AK306" s="237" t="str">
        <f t="shared" si="75"/>
        <v/>
      </c>
      <c r="AL306" s="237" t="str">
        <f t="shared" si="87"/>
        <v/>
      </c>
      <c r="AM306" s="192" t="e">
        <f t="shared" si="76"/>
        <v>#VALUE!</v>
      </c>
      <c r="AN306" s="193" t="e">
        <f t="shared" si="77"/>
        <v>#VALUE!</v>
      </c>
      <c r="AO306" s="193" t="e">
        <f t="shared" si="78"/>
        <v>#VALUE!</v>
      </c>
      <c r="AP306" s="193"/>
      <c r="AQ306" s="204"/>
      <c r="AR306" s="204"/>
      <c r="AS306" s="204"/>
      <c r="AT306" s="205"/>
      <c r="AU306"/>
    </row>
    <row r="307" spans="2:47" ht="15" customHeight="1" x14ac:dyDescent="0.25">
      <c r="B307" s="206"/>
      <c r="C307" s="185"/>
      <c r="D307" s="164"/>
      <c r="E307" s="174"/>
      <c r="F307" s="164"/>
      <c r="G307" s="174"/>
      <c r="H307" s="164"/>
      <c r="I307" s="174"/>
      <c r="J307" s="184"/>
      <c r="K307" s="186"/>
      <c r="L307" s="187" t="str">
        <f t="shared" si="79"/>
        <v/>
      </c>
      <c r="M307" s="187" t="str">
        <f t="shared" si="80"/>
        <v/>
      </c>
      <c r="N307" s="187" t="str">
        <f t="shared" si="72"/>
        <v>D</v>
      </c>
      <c r="O307" s="187" t="str">
        <f t="shared" si="81"/>
        <v>D</v>
      </c>
      <c r="P307" s="187">
        <f t="shared" si="82"/>
        <v>1</v>
      </c>
      <c r="Q307" s="187">
        <f>IFERROR(VLOOKUP(E307,Tabela_Deflator:E$43,5,FALSE),1)</f>
        <v>1</v>
      </c>
      <c r="R307" s="188" t="str">
        <f t="shared" si="83"/>
        <v/>
      </c>
      <c r="S307" s="237" t="str">
        <f t="shared" si="73"/>
        <v/>
      </c>
      <c r="T307" s="237" t="str">
        <f t="shared" si="88"/>
        <v/>
      </c>
      <c r="U307" s="189"/>
      <c r="V307" s="167"/>
      <c r="W307" s="165"/>
      <c r="X307" s="164"/>
      <c r="Y307" s="164"/>
      <c r="Z307" s="164"/>
      <c r="AA307" s="174"/>
      <c r="AB307" s="164"/>
      <c r="AC307" s="174"/>
      <c r="AD307" s="184"/>
      <c r="AE307" s="190" t="str">
        <f t="shared" si="84"/>
        <v/>
      </c>
      <c r="AF307" s="190" t="str">
        <f t="shared" si="85"/>
        <v/>
      </c>
      <c r="AG307" s="190" t="str">
        <f t="shared" si="74"/>
        <v>D</v>
      </c>
      <c r="AH307" s="190">
        <f>IFERROR(VLOOKUP(Y307,SISP_Deflatores_e_INMs!B$4:F$49,3,FALSE),1)</f>
        <v>1</v>
      </c>
      <c r="AI307" s="190">
        <f>IFERROR(VLOOKUP(Y307,SISP_Deflatores_e_INMs!B$4:G$49,5,FALSE),1)</f>
        <v>1</v>
      </c>
      <c r="AJ307" s="191" t="str">
        <f t="shared" si="86"/>
        <v/>
      </c>
      <c r="AK307" s="237" t="str">
        <f t="shared" si="75"/>
        <v/>
      </c>
      <c r="AL307" s="237" t="str">
        <f t="shared" si="87"/>
        <v/>
      </c>
      <c r="AM307" s="192" t="e">
        <f t="shared" si="76"/>
        <v>#VALUE!</v>
      </c>
      <c r="AN307" s="193" t="e">
        <f t="shared" si="77"/>
        <v>#VALUE!</v>
      </c>
      <c r="AO307" s="193" t="e">
        <f t="shared" si="78"/>
        <v>#VALUE!</v>
      </c>
      <c r="AP307" s="193"/>
      <c r="AQ307" s="204"/>
      <c r="AR307" s="204"/>
      <c r="AS307" s="204"/>
      <c r="AT307" s="205"/>
      <c r="AU307"/>
    </row>
    <row r="308" spans="2:47" ht="15" customHeight="1" x14ac:dyDescent="0.25">
      <c r="B308" s="206"/>
      <c r="C308" s="185"/>
      <c r="D308" s="164"/>
      <c r="E308" s="174"/>
      <c r="F308" s="164"/>
      <c r="G308" s="174"/>
      <c r="H308" s="164"/>
      <c r="I308" s="174"/>
      <c r="J308" s="184"/>
      <c r="K308" s="186"/>
      <c r="L308" s="187" t="str">
        <f t="shared" si="79"/>
        <v/>
      </c>
      <c r="M308" s="187" t="str">
        <f t="shared" si="80"/>
        <v/>
      </c>
      <c r="N308" s="187" t="str">
        <f t="shared" si="72"/>
        <v>D</v>
      </c>
      <c r="O308" s="187" t="str">
        <f t="shared" si="81"/>
        <v>D</v>
      </c>
      <c r="P308" s="187">
        <f t="shared" si="82"/>
        <v>1</v>
      </c>
      <c r="Q308" s="187">
        <f>IFERROR(VLOOKUP(E308,Tabela_Deflator:E$43,5,FALSE),1)</f>
        <v>1</v>
      </c>
      <c r="R308" s="188" t="str">
        <f t="shared" si="83"/>
        <v/>
      </c>
      <c r="S308" s="237" t="str">
        <f t="shared" si="73"/>
        <v/>
      </c>
      <c r="T308" s="237" t="str">
        <f t="shared" si="88"/>
        <v/>
      </c>
      <c r="U308" s="189"/>
      <c r="V308" s="167"/>
      <c r="W308" s="165"/>
      <c r="X308" s="164"/>
      <c r="Y308" s="164"/>
      <c r="Z308" s="164"/>
      <c r="AA308" s="174"/>
      <c r="AB308" s="164"/>
      <c r="AC308" s="174"/>
      <c r="AD308" s="184"/>
      <c r="AE308" s="190" t="str">
        <f t="shared" si="84"/>
        <v/>
      </c>
      <c r="AF308" s="190" t="str">
        <f t="shared" si="85"/>
        <v/>
      </c>
      <c r="AG308" s="190" t="str">
        <f t="shared" si="74"/>
        <v>D</v>
      </c>
      <c r="AH308" s="190">
        <f>IFERROR(VLOOKUP(Y308,SISP_Deflatores_e_INMs!B$4:F$49,3,FALSE),1)</f>
        <v>1</v>
      </c>
      <c r="AI308" s="190">
        <f>IFERROR(VLOOKUP(Y308,SISP_Deflatores_e_INMs!B$4:G$49,5,FALSE),1)</f>
        <v>1</v>
      </c>
      <c r="AJ308" s="191" t="str">
        <f t="shared" si="86"/>
        <v/>
      </c>
      <c r="AK308" s="237" t="str">
        <f t="shared" si="75"/>
        <v/>
      </c>
      <c r="AL308" s="237" t="str">
        <f t="shared" si="87"/>
        <v/>
      </c>
      <c r="AM308" s="192" t="e">
        <f t="shared" si="76"/>
        <v>#VALUE!</v>
      </c>
      <c r="AN308" s="193" t="e">
        <f t="shared" si="77"/>
        <v>#VALUE!</v>
      </c>
      <c r="AO308" s="193" t="e">
        <f t="shared" si="78"/>
        <v>#VALUE!</v>
      </c>
      <c r="AP308" s="193"/>
      <c r="AQ308" s="204"/>
      <c r="AR308" s="204"/>
      <c r="AS308" s="204"/>
      <c r="AT308" s="205"/>
      <c r="AU308"/>
    </row>
    <row r="309" spans="2:47" ht="15" customHeight="1" x14ac:dyDescent="0.25">
      <c r="B309" s="206"/>
      <c r="C309" s="185"/>
      <c r="D309" s="164"/>
      <c r="E309" s="174"/>
      <c r="F309" s="164"/>
      <c r="G309" s="174"/>
      <c r="H309" s="164"/>
      <c r="I309" s="174"/>
      <c r="J309" s="184"/>
      <c r="K309" s="186"/>
      <c r="L309" s="187" t="str">
        <f t="shared" si="79"/>
        <v/>
      </c>
      <c r="M309" s="187" t="str">
        <f t="shared" si="80"/>
        <v/>
      </c>
      <c r="N309" s="187" t="str">
        <f t="shared" si="72"/>
        <v>D</v>
      </c>
      <c r="O309" s="187" t="str">
        <f t="shared" si="81"/>
        <v>D</v>
      </c>
      <c r="P309" s="187">
        <f t="shared" si="82"/>
        <v>1</v>
      </c>
      <c r="Q309" s="187">
        <f>IFERROR(VLOOKUP(E309,Tabela_Deflator:E$43,5,FALSE),1)</f>
        <v>1</v>
      </c>
      <c r="R309" s="188" t="str">
        <f t="shared" si="83"/>
        <v/>
      </c>
      <c r="S309" s="237" t="str">
        <f t="shared" si="73"/>
        <v/>
      </c>
      <c r="T309" s="237" t="str">
        <f t="shared" si="88"/>
        <v/>
      </c>
      <c r="U309" s="189"/>
      <c r="V309" s="167"/>
      <c r="W309" s="165"/>
      <c r="X309" s="164"/>
      <c r="Y309" s="164"/>
      <c r="Z309" s="164"/>
      <c r="AA309" s="174"/>
      <c r="AB309" s="164"/>
      <c r="AC309" s="174"/>
      <c r="AD309" s="184"/>
      <c r="AE309" s="190" t="str">
        <f t="shared" si="84"/>
        <v/>
      </c>
      <c r="AF309" s="190" t="str">
        <f t="shared" si="85"/>
        <v/>
      </c>
      <c r="AG309" s="190" t="str">
        <f t="shared" si="74"/>
        <v>D</v>
      </c>
      <c r="AH309" s="190">
        <f>IFERROR(VLOOKUP(Y309,SISP_Deflatores_e_INMs!B$4:F$49,3,FALSE),1)</f>
        <v>1</v>
      </c>
      <c r="AI309" s="190">
        <f>IFERROR(VLOOKUP(Y309,SISP_Deflatores_e_INMs!B$4:G$49,5,FALSE),1)</f>
        <v>1</v>
      </c>
      <c r="AJ309" s="191" t="str">
        <f t="shared" si="86"/>
        <v/>
      </c>
      <c r="AK309" s="237" t="str">
        <f t="shared" si="75"/>
        <v/>
      </c>
      <c r="AL309" s="237" t="str">
        <f t="shared" si="87"/>
        <v/>
      </c>
      <c r="AM309" s="192" t="e">
        <f t="shared" si="76"/>
        <v>#VALUE!</v>
      </c>
      <c r="AN309" s="193" t="e">
        <f t="shared" si="77"/>
        <v>#VALUE!</v>
      </c>
      <c r="AO309" s="193" t="e">
        <f t="shared" si="78"/>
        <v>#VALUE!</v>
      </c>
      <c r="AP309" s="193"/>
      <c r="AQ309" s="204"/>
      <c r="AR309" s="204"/>
      <c r="AS309" s="204"/>
      <c r="AT309" s="205"/>
      <c r="AU309"/>
    </row>
    <row r="310" spans="2:47" ht="15" customHeight="1" x14ac:dyDescent="0.25">
      <c r="B310" s="206"/>
      <c r="C310" s="185"/>
      <c r="D310" s="164"/>
      <c r="E310" s="174"/>
      <c r="F310" s="164"/>
      <c r="G310" s="174"/>
      <c r="H310" s="164"/>
      <c r="I310" s="174"/>
      <c r="J310" s="184"/>
      <c r="K310" s="186"/>
      <c r="L310" s="187" t="str">
        <f t="shared" si="79"/>
        <v/>
      </c>
      <c r="M310" s="187" t="str">
        <f t="shared" si="80"/>
        <v/>
      </c>
      <c r="N310" s="187" t="str">
        <f t="shared" si="72"/>
        <v>D</v>
      </c>
      <c r="O310" s="187" t="str">
        <f t="shared" si="81"/>
        <v>D</v>
      </c>
      <c r="P310" s="187">
        <f t="shared" si="82"/>
        <v>1</v>
      </c>
      <c r="Q310" s="187">
        <f>IFERROR(VLOOKUP(E310,Tabela_Deflator:E$43,5,FALSE),1)</f>
        <v>1</v>
      </c>
      <c r="R310" s="188" t="str">
        <f t="shared" si="83"/>
        <v/>
      </c>
      <c r="S310" s="237" t="str">
        <f t="shared" si="73"/>
        <v/>
      </c>
      <c r="T310" s="237" t="str">
        <f t="shared" si="88"/>
        <v/>
      </c>
      <c r="U310" s="189"/>
      <c r="V310" s="167"/>
      <c r="W310" s="165"/>
      <c r="X310" s="164"/>
      <c r="Y310" s="164"/>
      <c r="Z310" s="164"/>
      <c r="AA310" s="174"/>
      <c r="AB310" s="164"/>
      <c r="AC310" s="174"/>
      <c r="AD310" s="184"/>
      <c r="AE310" s="190" t="str">
        <f t="shared" si="84"/>
        <v/>
      </c>
      <c r="AF310" s="190" t="str">
        <f t="shared" si="85"/>
        <v/>
      </c>
      <c r="AG310" s="190" t="str">
        <f t="shared" si="74"/>
        <v>D</v>
      </c>
      <c r="AH310" s="190">
        <f>IFERROR(VLOOKUP(Y310,SISP_Deflatores_e_INMs!B$4:F$49,3,FALSE),1)</f>
        <v>1</v>
      </c>
      <c r="AI310" s="190">
        <f>IFERROR(VLOOKUP(Y310,SISP_Deflatores_e_INMs!B$4:G$49,5,FALSE),1)</f>
        <v>1</v>
      </c>
      <c r="AJ310" s="191" t="str">
        <f t="shared" si="86"/>
        <v/>
      </c>
      <c r="AK310" s="237" t="str">
        <f t="shared" si="75"/>
        <v/>
      </c>
      <c r="AL310" s="237" t="str">
        <f t="shared" si="87"/>
        <v/>
      </c>
      <c r="AM310" s="192" t="e">
        <f t="shared" si="76"/>
        <v>#VALUE!</v>
      </c>
      <c r="AN310" s="193" t="e">
        <f t="shared" si="77"/>
        <v>#VALUE!</v>
      </c>
      <c r="AO310" s="193" t="e">
        <f t="shared" si="78"/>
        <v>#VALUE!</v>
      </c>
      <c r="AP310" s="193"/>
      <c r="AQ310" s="204"/>
      <c r="AR310" s="204"/>
      <c r="AS310" s="204"/>
      <c r="AT310" s="205"/>
      <c r="AU310"/>
    </row>
    <row r="311" spans="2:47" ht="15" customHeight="1" x14ac:dyDescent="0.25">
      <c r="B311" s="206"/>
      <c r="C311" s="185"/>
      <c r="D311" s="164"/>
      <c r="E311" s="174"/>
      <c r="F311" s="164"/>
      <c r="G311" s="174"/>
      <c r="H311" s="164"/>
      <c r="I311" s="174"/>
      <c r="J311" s="184"/>
      <c r="K311" s="186"/>
      <c r="L311" s="187" t="str">
        <f t="shared" si="79"/>
        <v/>
      </c>
      <c r="M311" s="187" t="str">
        <f t="shared" si="80"/>
        <v/>
      </c>
      <c r="N311" s="187" t="str">
        <f t="shared" si="72"/>
        <v>D</v>
      </c>
      <c r="O311" s="187" t="str">
        <f t="shared" si="81"/>
        <v>D</v>
      </c>
      <c r="P311" s="187">
        <f t="shared" si="82"/>
        <v>1</v>
      </c>
      <c r="Q311" s="187">
        <f>IFERROR(VLOOKUP(E311,Tabela_Deflator:E$43,5,FALSE),1)</f>
        <v>1</v>
      </c>
      <c r="R311" s="188" t="str">
        <f t="shared" si="83"/>
        <v/>
      </c>
      <c r="S311" s="237" t="str">
        <f t="shared" si="73"/>
        <v/>
      </c>
      <c r="T311" s="237" t="str">
        <f t="shared" si="88"/>
        <v/>
      </c>
      <c r="U311" s="189"/>
      <c r="V311" s="167"/>
      <c r="W311" s="165"/>
      <c r="X311" s="164"/>
      <c r="Y311" s="164"/>
      <c r="Z311" s="164"/>
      <c r="AA311" s="174"/>
      <c r="AB311" s="164"/>
      <c r="AC311" s="174"/>
      <c r="AD311" s="184"/>
      <c r="AE311" s="190" t="str">
        <f t="shared" si="84"/>
        <v/>
      </c>
      <c r="AF311" s="190" t="str">
        <f t="shared" si="85"/>
        <v/>
      </c>
      <c r="AG311" s="190" t="str">
        <f t="shared" si="74"/>
        <v>D</v>
      </c>
      <c r="AH311" s="190">
        <f>IFERROR(VLOOKUP(Y311,SISP_Deflatores_e_INMs!B$4:F$49,3,FALSE),1)</f>
        <v>1</v>
      </c>
      <c r="AI311" s="190">
        <f>IFERROR(VLOOKUP(Y311,SISP_Deflatores_e_INMs!B$4:G$49,5,FALSE),1)</f>
        <v>1</v>
      </c>
      <c r="AJ311" s="191" t="str">
        <f t="shared" si="86"/>
        <v/>
      </c>
      <c r="AK311" s="237" t="str">
        <f t="shared" si="75"/>
        <v/>
      </c>
      <c r="AL311" s="237" t="str">
        <f t="shared" si="87"/>
        <v/>
      </c>
      <c r="AM311" s="192" t="e">
        <f t="shared" si="76"/>
        <v>#VALUE!</v>
      </c>
      <c r="AN311" s="193" t="e">
        <f t="shared" si="77"/>
        <v>#VALUE!</v>
      </c>
      <c r="AO311" s="193" t="e">
        <f t="shared" si="78"/>
        <v>#VALUE!</v>
      </c>
      <c r="AP311" s="193"/>
      <c r="AQ311" s="204"/>
      <c r="AR311" s="204"/>
      <c r="AS311" s="204"/>
      <c r="AT311" s="205"/>
      <c r="AU311"/>
    </row>
    <row r="312" spans="2:47" ht="15" customHeight="1" x14ac:dyDescent="0.25">
      <c r="B312" s="206"/>
      <c r="C312" s="185"/>
      <c r="D312" s="164"/>
      <c r="E312" s="174"/>
      <c r="F312" s="164"/>
      <c r="G312" s="174"/>
      <c r="H312" s="164"/>
      <c r="I312" s="174"/>
      <c r="J312" s="184"/>
      <c r="K312" s="186"/>
      <c r="L312" s="187" t="str">
        <f t="shared" si="79"/>
        <v/>
      </c>
      <c r="M312" s="187" t="str">
        <f t="shared" si="80"/>
        <v/>
      </c>
      <c r="N312" s="187" t="str">
        <f t="shared" si="72"/>
        <v>D</v>
      </c>
      <c r="O312" s="187" t="str">
        <f t="shared" si="81"/>
        <v>D</v>
      </c>
      <c r="P312" s="187">
        <f t="shared" si="82"/>
        <v>1</v>
      </c>
      <c r="Q312" s="187">
        <f>IFERROR(VLOOKUP(E312,Tabela_Deflator:E$43,5,FALSE),1)</f>
        <v>1</v>
      </c>
      <c r="R312" s="188" t="str">
        <f t="shared" si="83"/>
        <v/>
      </c>
      <c r="S312" s="237" t="str">
        <f t="shared" si="73"/>
        <v/>
      </c>
      <c r="T312" s="237" t="str">
        <f t="shared" si="88"/>
        <v/>
      </c>
      <c r="U312" s="189"/>
      <c r="V312" s="167"/>
      <c r="W312" s="165"/>
      <c r="X312" s="164"/>
      <c r="Y312" s="164"/>
      <c r="Z312" s="164"/>
      <c r="AA312" s="174"/>
      <c r="AB312" s="164"/>
      <c r="AC312" s="174"/>
      <c r="AD312" s="184"/>
      <c r="AE312" s="190" t="str">
        <f t="shared" si="84"/>
        <v/>
      </c>
      <c r="AF312" s="190" t="str">
        <f t="shared" si="85"/>
        <v/>
      </c>
      <c r="AG312" s="190" t="str">
        <f t="shared" si="74"/>
        <v>D</v>
      </c>
      <c r="AH312" s="190">
        <f>IFERROR(VLOOKUP(Y312,SISP_Deflatores_e_INMs!B$4:F$49,3,FALSE),1)</f>
        <v>1</v>
      </c>
      <c r="AI312" s="190">
        <f>IFERROR(VLOOKUP(Y312,SISP_Deflatores_e_INMs!B$4:G$49,5,FALSE),1)</f>
        <v>1</v>
      </c>
      <c r="AJ312" s="191" t="str">
        <f t="shared" si="86"/>
        <v/>
      </c>
      <c r="AK312" s="237" t="str">
        <f t="shared" si="75"/>
        <v/>
      </c>
      <c r="AL312" s="237" t="str">
        <f t="shared" si="87"/>
        <v/>
      </c>
      <c r="AM312" s="192" t="e">
        <f t="shared" si="76"/>
        <v>#VALUE!</v>
      </c>
      <c r="AN312" s="193" t="e">
        <f t="shared" si="77"/>
        <v>#VALUE!</v>
      </c>
      <c r="AO312" s="193" t="e">
        <f t="shared" si="78"/>
        <v>#VALUE!</v>
      </c>
      <c r="AP312" s="193"/>
      <c r="AQ312" s="204"/>
      <c r="AR312" s="204"/>
      <c r="AS312" s="204"/>
      <c r="AT312" s="205"/>
      <c r="AU312"/>
    </row>
    <row r="313" spans="2:47" ht="15" customHeight="1" x14ac:dyDescent="0.25">
      <c r="B313" s="206"/>
      <c r="C313" s="185"/>
      <c r="D313" s="164"/>
      <c r="E313" s="174"/>
      <c r="F313" s="164"/>
      <c r="G313" s="174"/>
      <c r="H313" s="164"/>
      <c r="I313" s="174"/>
      <c r="J313" s="184"/>
      <c r="K313" s="186"/>
      <c r="L313" s="187" t="str">
        <f t="shared" si="79"/>
        <v/>
      </c>
      <c r="M313" s="187" t="str">
        <f t="shared" si="80"/>
        <v/>
      </c>
      <c r="N313" s="187" t="str">
        <f t="shared" si="72"/>
        <v>D</v>
      </c>
      <c r="O313" s="187" t="str">
        <f t="shared" si="81"/>
        <v>D</v>
      </c>
      <c r="P313" s="187">
        <f t="shared" si="82"/>
        <v>1</v>
      </c>
      <c r="Q313" s="187">
        <f>IFERROR(VLOOKUP(E313,Tabela_Deflator:E$43,5,FALSE),1)</f>
        <v>1</v>
      </c>
      <c r="R313" s="188" t="str">
        <f t="shared" si="83"/>
        <v/>
      </c>
      <c r="S313" s="237" t="str">
        <f t="shared" si="73"/>
        <v/>
      </c>
      <c r="T313" s="237" t="str">
        <f t="shared" si="88"/>
        <v/>
      </c>
      <c r="U313" s="189"/>
      <c r="V313" s="167"/>
      <c r="W313" s="165"/>
      <c r="X313" s="164"/>
      <c r="Y313" s="164"/>
      <c r="Z313" s="164"/>
      <c r="AA313" s="174"/>
      <c r="AB313" s="164"/>
      <c r="AC313" s="174"/>
      <c r="AD313" s="184"/>
      <c r="AE313" s="190" t="str">
        <f t="shared" si="84"/>
        <v/>
      </c>
      <c r="AF313" s="190" t="str">
        <f t="shared" si="85"/>
        <v/>
      </c>
      <c r="AG313" s="190" t="str">
        <f t="shared" si="74"/>
        <v>D</v>
      </c>
      <c r="AH313" s="190">
        <f>IFERROR(VLOOKUP(Y313,SISP_Deflatores_e_INMs!B$4:F$49,3,FALSE),1)</f>
        <v>1</v>
      </c>
      <c r="AI313" s="190">
        <f>IFERROR(VLOOKUP(Y313,SISP_Deflatores_e_INMs!B$4:G$49,5,FALSE),1)</f>
        <v>1</v>
      </c>
      <c r="AJ313" s="191" t="str">
        <f t="shared" si="86"/>
        <v/>
      </c>
      <c r="AK313" s="237" t="str">
        <f t="shared" si="75"/>
        <v/>
      </c>
      <c r="AL313" s="237" t="str">
        <f t="shared" si="87"/>
        <v/>
      </c>
      <c r="AM313" s="192" t="e">
        <f t="shared" si="76"/>
        <v>#VALUE!</v>
      </c>
      <c r="AN313" s="193" t="e">
        <f t="shared" si="77"/>
        <v>#VALUE!</v>
      </c>
      <c r="AO313" s="193" t="e">
        <f t="shared" si="78"/>
        <v>#VALUE!</v>
      </c>
      <c r="AP313" s="193"/>
      <c r="AQ313" s="204"/>
      <c r="AR313" s="204"/>
      <c r="AS313" s="204"/>
      <c r="AT313" s="205"/>
      <c r="AU313"/>
    </row>
    <row r="314" spans="2:47" ht="15" customHeight="1" x14ac:dyDescent="0.25">
      <c r="B314" s="206"/>
      <c r="C314" s="185"/>
      <c r="D314" s="164"/>
      <c r="E314" s="174"/>
      <c r="F314" s="164"/>
      <c r="G314" s="174"/>
      <c r="H314" s="164"/>
      <c r="I314" s="174"/>
      <c r="J314" s="184"/>
      <c r="K314" s="186"/>
      <c r="L314" s="187" t="str">
        <f t="shared" si="79"/>
        <v/>
      </c>
      <c r="M314" s="187" t="str">
        <f t="shared" si="80"/>
        <v/>
      </c>
      <c r="N314" s="187" t="str">
        <f t="shared" si="72"/>
        <v>D</v>
      </c>
      <c r="O314" s="187" t="str">
        <f t="shared" si="81"/>
        <v>D</v>
      </c>
      <c r="P314" s="187">
        <f t="shared" si="82"/>
        <v>1</v>
      </c>
      <c r="Q314" s="187">
        <f>IFERROR(VLOOKUP(E314,Tabela_Deflator:E$43,5,FALSE),1)</f>
        <v>1</v>
      </c>
      <c r="R314" s="188" t="str">
        <f t="shared" si="83"/>
        <v/>
      </c>
      <c r="S314" s="237" t="str">
        <f t="shared" si="73"/>
        <v/>
      </c>
      <c r="T314" s="237" t="str">
        <f t="shared" si="88"/>
        <v/>
      </c>
      <c r="U314" s="189"/>
      <c r="V314" s="167"/>
      <c r="W314" s="165"/>
      <c r="X314" s="164"/>
      <c r="Y314" s="164"/>
      <c r="Z314" s="164"/>
      <c r="AA314" s="174"/>
      <c r="AB314" s="164"/>
      <c r="AC314" s="174"/>
      <c r="AD314" s="184"/>
      <c r="AE314" s="190" t="str">
        <f t="shared" si="84"/>
        <v/>
      </c>
      <c r="AF314" s="190" t="str">
        <f t="shared" si="85"/>
        <v/>
      </c>
      <c r="AG314" s="190" t="str">
        <f t="shared" si="74"/>
        <v>D</v>
      </c>
      <c r="AH314" s="190">
        <f>IFERROR(VLOOKUP(Y314,SISP_Deflatores_e_INMs!B$4:F$49,3,FALSE),1)</f>
        <v>1</v>
      </c>
      <c r="AI314" s="190">
        <f>IFERROR(VLOOKUP(Y314,SISP_Deflatores_e_INMs!B$4:G$49,5,FALSE),1)</f>
        <v>1</v>
      </c>
      <c r="AJ314" s="191" t="str">
        <f t="shared" si="86"/>
        <v/>
      </c>
      <c r="AK314" s="237" t="str">
        <f t="shared" si="75"/>
        <v/>
      </c>
      <c r="AL314" s="237" t="str">
        <f t="shared" si="87"/>
        <v/>
      </c>
      <c r="AM314" s="192" t="e">
        <f t="shared" si="76"/>
        <v>#VALUE!</v>
      </c>
      <c r="AN314" s="193" t="e">
        <f t="shared" si="77"/>
        <v>#VALUE!</v>
      </c>
      <c r="AO314" s="193" t="e">
        <f t="shared" si="78"/>
        <v>#VALUE!</v>
      </c>
      <c r="AP314" s="193"/>
      <c r="AQ314" s="204"/>
      <c r="AR314" s="204"/>
      <c r="AS314" s="204"/>
      <c r="AT314" s="205"/>
      <c r="AU314"/>
    </row>
    <row r="315" spans="2:47" ht="15" customHeight="1" x14ac:dyDescent="0.25">
      <c r="B315" s="206"/>
      <c r="C315" s="185"/>
      <c r="D315" s="164"/>
      <c r="E315" s="174"/>
      <c r="F315" s="164"/>
      <c r="G315" s="174"/>
      <c r="H315" s="164"/>
      <c r="I315" s="174"/>
      <c r="J315" s="184"/>
      <c r="K315" s="186"/>
      <c r="L315" s="187" t="str">
        <f t="shared" si="79"/>
        <v/>
      </c>
      <c r="M315" s="187" t="str">
        <f t="shared" si="80"/>
        <v/>
      </c>
      <c r="N315" s="187" t="str">
        <f t="shared" si="72"/>
        <v>D</v>
      </c>
      <c r="O315" s="187" t="str">
        <f t="shared" si="81"/>
        <v>D</v>
      </c>
      <c r="P315" s="187">
        <f t="shared" si="82"/>
        <v>1</v>
      </c>
      <c r="Q315" s="187">
        <f>IFERROR(VLOOKUP(E315,Tabela_Deflator:E$43,5,FALSE),1)</f>
        <v>1</v>
      </c>
      <c r="R315" s="188" t="str">
        <f t="shared" si="83"/>
        <v/>
      </c>
      <c r="S315" s="237" t="str">
        <f t="shared" si="73"/>
        <v/>
      </c>
      <c r="T315" s="237" t="str">
        <f t="shared" si="88"/>
        <v/>
      </c>
      <c r="U315" s="189"/>
      <c r="V315" s="167"/>
      <c r="W315" s="165"/>
      <c r="X315" s="164"/>
      <c r="Y315" s="164"/>
      <c r="Z315" s="164"/>
      <c r="AA315" s="174"/>
      <c r="AB315" s="164"/>
      <c r="AC315" s="174"/>
      <c r="AD315" s="184"/>
      <c r="AE315" s="190" t="str">
        <f t="shared" si="84"/>
        <v/>
      </c>
      <c r="AF315" s="190" t="str">
        <f t="shared" si="85"/>
        <v/>
      </c>
      <c r="AG315" s="190" t="str">
        <f t="shared" si="74"/>
        <v>D</v>
      </c>
      <c r="AH315" s="190">
        <f>IFERROR(VLOOKUP(Y315,SISP_Deflatores_e_INMs!B$4:F$49,3,FALSE),1)</f>
        <v>1</v>
      </c>
      <c r="AI315" s="190">
        <f>IFERROR(VLOOKUP(Y315,SISP_Deflatores_e_INMs!B$4:G$49,5,FALSE),1)</f>
        <v>1</v>
      </c>
      <c r="AJ315" s="191" t="str">
        <f t="shared" si="86"/>
        <v/>
      </c>
      <c r="AK315" s="237" t="str">
        <f t="shared" si="75"/>
        <v/>
      </c>
      <c r="AL315" s="237" t="str">
        <f t="shared" si="87"/>
        <v/>
      </c>
      <c r="AM315" s="192" t="e">
        <f t="shared" si="76"/>
        <v>#VALUE!</v>
      </c>
      <c r="AN315" s="193" t="e">
        <f t="shared" si="77"/>
        <v>#VALUE!</v>
      </c>
      <c r="AO315" s="193" t="e">
        <f t="shared" si="78"/>
        <v>#VALUE!</v>
      </c>
      <c r="AP315" s="193"/>
      <c r="AQ315" s="204"/>
      <c r="AR315" s="204"/>
      <c r="AS315" s="204"/>
      <c r="AT315" s="205"/>
      <c r="AU315"/>
    </row>
    <row r="316" spans="2:47" ht="15" customHeight="1" x14ac:dyDescent="0.25">
      <c r="B316" s="206"/>
      <c r="C316" s="185"/>
      <c r="D316" s="164"/>
      <c r="E316" s="174"/>
      <c r="F316" s="164"/>
      <c r="G316" s="174"/>
      <c r="H316" s="164"/>
      <c r="I316" s="174"/>
      <c r="J316" s="184"/>
      <c r="K316" s="186"/>
      <c r="L316" s="187" t="str">
        <f t="shared" si="79"/>
        <v/>
      </c>
      <c r="M316" s="187" t="str">
        <f t="shared" si="80"/>
        <v/>
      </c>
      <c r="N316" s="187" t="str">
        <f t="shared" si="72"/>
        <v>D</v>
      </c>
      <c r="O316" s="187" t="str">
        <f t="shared" si="81"/>
        <v>D</v>
      </c>
      <c r="P316" s="187">
        <f t="shared" si="82"/>
        <v>1</v>
      </c>
      <c r="Q316" s="187">
        <f>IFERROR(VLOOKUP(E316,Tabela_Deflator:E$43,5,FALSE),1)</f>
        <v>1</v>
      </c>
      <c r="R316" s="188" t="str">
        <f t="shared" si="83"/>
        <v/>
      </c>
      <c r="S316" s="237" t="str">
        <f t="shared" si="73"/>
        <v/>
      </c>
      <c r="T316" s="237" t="str">
        <f t="shared" si="88"/>
        <v/>
      </c>
      <c r="U316" s="189"/>
      <c r="V316" s="167"/>
      <c r="W316" s="165"/>
      <c r="X316" s="164"/>
      <c r="Y316" s="164"/>
      <c r="Z316" s="164"/>
      <c r="AA316" s="174"/>
      <c r="AB316" s="164"/>
      <c r="AC316" s="174"/>
      <c r="AD316" s="184"/>
      <c r="AE316" s="190" t="str">
        <f t="shared" si="84"/>
        <v/>
      </c>
      <c r="AF316" s="190" t="str">
        <f t="shared" si="85"/>
        <v/>
      </c>
      <c r="AG316" s="190" t="str">
        <f t="shared" si="74"/>
        <v>D</v>
      </c>
      <c r="AH316" s="190">
        <f>IFERROR(VLOOKUP(Y316,SISP_Deflatores_e_INMs!B$4:F$49,3,FALSE),1)</f>
        <v>1</v>
      </c>
      <c r="AI316" s="190">
        <f>IFERROR(VLOOKUP(Y316,SISP_Deflatores_e_INMs!B$4:G$49,5,FALSE),1)</f>
        <v>1</v>
      </c>
      <c r="AJ316" s="191" t="str">
        <f t="shared" si="86"/>
        <v/>
      </c>
      <c r="AK316" s="237" t="str">
        <f t="shared" si="75"/>
        <v/>
      </c>
      <c r="AL316" s="237" t="str">
        <f t="shared" si="87"/>
        <v/>
      </c>
      <c r="AM316" s="192" t="e">
        <f t="shared" si="76"/>
        <v>#VALUE!</v>
      </c>
      <c r="AN316" s="193" t="e">
        <f t="shared" si="77"/>
        <v>#VALUE!</v>
      </c>
      <c r="AO316" s="193" t="e">
        <f t="shared" si="78"/>
        <v>#VALUE!</v>
      </c>
      <c r="AP316" s="193"/>
      <c r="AQ316" s="204"/>
      <c r="AR316" s="204"/>
      <c r="AS316" s="204"/>
      <c r="AT316" s="205"/>
      <c r="AU316"/>
    </row>
    <row r="317" spans="2:47" ht="15" customHeight="1" x14ac:dyDescent="0.25">
      <c r="B317" s="206"/>
      <c r="C317" s="185"/>
      <c r="D317" s="164"/>
      <c r="E317" s="174"/>
      <c r="F317" s="164"/>
      <c r="G317" s="174"/>
      <c r="H317" s="164"/>
      <c r="I317" s="174"/>
      <c r="J317" s="184"/>
      <c r="K317" s="186"/>
      <c r="L317" s="187" t="str">
        <f t="shared" si="79"/>
        <v/>
      </c>
      <c r="M317" s="187" t="str">
        <f t="shared" si="80"/>
        <v/>
      </c>
      <c r="N317" s="187" t="str">
        <f t="shared" si="72"/>
        <v>D</v>
      </c>
      <c r="O317" s="187" t="str">
        <f t="shared" si="81"/>
        <v>D</v>
      </c>
      <c r="P317" s="187">
        <f t="shared" si="82"/>
        <v>1</v>
      </c>
      <c r="Q317" s="187">
        <f>IFERROR(VLOOKUP(E317,Tabela_Deflator:E$43,5,FALSE),1)</f>
        <v>1</v>
      </c>
      <c r="R317" s="188" t="str">
        <f t="shared" si="83"/>
        <v/>
      </c>
      <c r="S317" s="237" t="str">
        <f t="shared" si="73"/>
        <v/>
      </c>
      <c r="T317" s="237" t="str">
        <f t="shared" si="88"/>
        <v/>
      </c>
      <c r="U317" s="189"/>
      <c r="V317" s="167"/>
      <c r="W317" s="165"/>
      <c r="X317" s="164"/>
      <c r="Y317" s="164"/>
      <c r="Z317" s="164"/>
      <c r="AA317" s="174"/>
      <c r="AB317" s="164"/>
      <c r="AC317" s="174"/>
      <c r="AD317" s="184"/>
      <c r="AE317" s="190" t="str">
        <f t="shared" si="84"/>
        <v/>
      </c>
      <c r="AF317" s="190" t="str">
        <f t="shared" si="85"/>
        <v/>
      </c>
      <c r="AG317" s="190" t="str">
        <f t="shared" si="74"/>
        <v>D</v>
      </c>
      <c r="AH317" s="190">
        <f>IFERROR(VLOOKUP(Y317,SISP_Deflatores_e_INMs!B$4:F$49,3,FALSE),1)</f>
        <v>1</v>
      </c>
      <c r="AI317" s="190">
        <f>IFERROR(VLOOKUP(Y317,SISP_Deflatores_e_INMs!B$4:G$49,5,FALSE),1)</f>
        <v>1</v>
      </c>
      <c r="AJ317" s="191" t="str">
        <f t="shared" si="86"/>
        <v/>
      </c>
      <c r="AK317" s="237" t="str">
        <f t="shared" si="75"/>
        <v/>
      </c>
      <c r="AL317" s="237" t="str">
        <f t="shared" si="87"/>
        <v/>
      </c>
      <c r="AM317" s="192" t="e">
        <f t="shared" si="76"/>
        <v>#VALUE!</v>
      </c>
      <c r="AN317" s="193" t="e">
        <f t="shared" si="77"/>
        <v>#VALUE!</v>
      </c>
      <c r="AO317" s="193" t="e">
        <f t="shared" si="78"/>
        <v>#VALUE!</v>
      </c>
      <c r="AP317" s="193"/>
      <c r="AQ317" s="204"/>
      <c r="AR317" s="204"/>
      <c r="AS317" s="204"/>
      <c r="AT317" s="205"/>
      <c r="AU317"/>
    </row>
    <row r="318" spans="2:47" ht="15" customHeight="1" x14ac:dyDescent="0.25">
      <c r="B318" s="206"/>
      <c r="C318" s="185"/>
      <c r="D318" s="164"/>
      <c r="E318" s="174"/>
      <c r="F318" s="164"/>
      <c r="G318" s="174"/>
      <c r="H318" s="164"/>
      <c r="I318" s="174"/>
      <c r="J318" s="184"/>
      <c r="K318" s="186"/>
      <c r="L318" s="187" t="str">
        <f t="shared" si="79"/>
        <v/>
      </c>
      <c r="M318" s="187" t="str">
        <f t="shared" si="80"/>
        <v/>
      </c>
      <c r="N318" s="187" t="str">
        <f t="shared" si="72"/>
        <v>D</v>
      </c>
      <c r="O318" s="187" t="str">
        <f t="shared" si="81"/>
        <v>D</v>
      </c>
      <c r="P318" s="187">
        <f t="shared" si="82"/>
        <v>1</v>
      </c>
      <c r="Q318" s="187">
        <f>IFERROR(VLOOKUP(E318,Tabela_Deflator:E$43,5,FALSE),1)</f>
        <v>1</v>
      </c>
      <c r="R318" s="188" t="str">
        <f t="shared" si="83"/>
        <v/>
      </c>
      <c r="S318" s="237" t="str">
        <f t="shared" si="73"/>
        <v/>
      </c>
      <c r="T318" s="237" t="str">
        <f t="shared" si="88"/>
        <v/>
      </c>
      <c r="U318" s="189"/>
      <c r="V318" s="167"/>
      <c r="W318" s="165"/>
      <c r="X318" s="164"/>
      <c r="Y318" s="164"/>
      <c r="Z318" s="164"/>
      <c r="AA318" s="174"/>
      <c r="AB318" s="164"/>
      <c r="AC318" s="174"/>
      <c r="AD318" s="184"/>
      <c r="AE318" s="190" t="str">
        <f t="shared" si="84"/>
        <v/>
      </c>
      <c r="AF318" s="190" t="str">
        <f t="shared" si="85"/>
        <v/>
      </c>
      <c r="AG318" s="190" t="str">
        <f t="shared" si="74"/>
        <v>D</v>
      </c>
      <c r="AH318" s="190">
        <f>IFERROR(VLOOKUP(Y318,SISP_Deflatores_e_INMs!B$4:F$49,3,FALSE),1)</f>
        <v>1</v>
      </c>
      <c r="AI318" s="190">
        <f>IFERROR(VLOOKUP(Y318,SISP_Deflatores_e_INMs!B$4:G$49,5,FALSE),1)</f>
        <v>1</v>
      </c>
      <c r="AJ318" s="191" t="str">
        <f t="shared" si="86"/>
        <v/>
      </c>
      <c r="AK318" s="237" t="str">
        <f t="shared" si="75"/>
        <v/>
      </c>
      <c r="AL318" s="237" t="str">
        <f t="shared" si="87"/>
        <v/>
      </c>
      <c r="AM318" s="192" t="e">
        <f t="shared" si="76"/>
        <v>#VALUE!</v>
      </c>
      <c r="AN318" s="193" t="e">
        <f t="shared" si="77"/>
        <v>#VALUE!</v>
      </c>
      <c r="AO318" s="193" t="e">
        <f t="shared" si="78"/>
        <v>#VALUE!</v>
      </c>
      <c r="AP318" s="193"/>
      <c r="AQ318" s="204"/>
      <c r="AR318" s="204"/>
      <c r="AS318" s="204"/>
      <c r="AT318" s="205"/>
      <c r="AU318"/>
    </row>
    <row r="319" spans="2:47" ht="15" customHeight="1" x14ac:dyDescent="0.25">
      <c r="B319" s="206"/>
      <c r="C319" s="185"/>
      <c r="D319" s="164"/>
      <c r="E319" s="174"/>
      <c r="F319" s="164"/>
      <c r="G319" s="174"/>
      <c r="H319" s="164"/>
      <c r="I319" s="174"/>
      <c r="J319" s="184"/>
      <c r="K319" s="186"/>
      <c r="L319" s="187" t="str">
        <f t="shared" si="79"/>
        <v/>
      </c>
      <c r="M319" s="187" t="str">
        <f t="shared" si="80"/>
        <v/>
      </c>
      <c r="N319" s="187" t="str">
        <f t="shared" si="72"/>
        <v>D</v>
      </c>
      <c r="O319" s="187" t="str">
        <f t="shared" si="81"/>
        <v>D</v>
      </c>
      <c r="P319" s="187">
        <f t="shared" si="82"/>
        <v>1</v>
      </c>
      <c r="Q319" s="187">
        <f>IFERROR(VLOOKUP(E319,Tabela_Deflator:E$43,5,FALSE),1)</f>
        <v>1</v>
      </c>
      <c r="R319" s="188" t="str">
        <f t="shared" si="83"/>
        <v/>
      </c>
      <c r="S319" s="237" t="str">
        <f t="shared" si="73"/>
        <v/>
      </c>
      <c r="T319" s="237" t="str">
        <f t="shared" si="88"/>
        <v/>
      </c>
      <c r="U319" s="189"/>
      <c r="V319" s="167"/>
      <c r="W319" s="165"/>
      <c r="X319" s="164"/>
      <c r="Y319" s="164"/>
      <c r="Z319" s="164"/>
      <c r="AA319" s="174"/>
      <c r="AB319" s="164"/>
      <c r="AC319" s="174"/>
      <c r="AD319" s="184"/>
      <c r="AE319" s="190" t="str">
        <f t="shared" si="84"/>
        <v/>
      </c>
      <c r="AF319" s="190" t="str">
        <f t="shared" si="85"/>
        <v/>
      </c>
      <c r="AG319" s="190" t="str">
        <f t="shared" si="74"/>
        <v>D</v>
      </c>
      <c r="AH319" s="190">
        <f>IFERROR(VLOOKUP(Y319,SISP_Deflatores_e_INMs!B$4:F$49,3,FALSE),1)</f>
        <v>1</v>
      </c>
      <c r="AI319" s="190">
        <f>IFERROR(VLOOKUP(Y319,SISP_Deflatores_e_INMs!B$4:G$49,5,FALSE),1)</f>
        <v>1</v>
      </c>
      <c r="AJ319" s="191" t="str">
        <f t="shared" si="86"/>
        <v/>
      </c>
      <c r="AK319" s="237" t="str">
        <f t="shared" si="75"/>
        <v/>
      </c>
      <c r="AL319" s="237" t="str">
        <f t="shared" si="87"/>
        <v/>
      </c>
      <c r="AM319" s="192" t="e">
        <f t="shared" si="76"/>
        <v>#VALUE!</v>
      </c>
      <c r="AN319" s="193" t="e">
        <f t="shared" si="77"/>
        <v>#VALUE!</v>
      </c>
      <c r="AO319" s="193" t="e">
        <f t="shared" si="78"/>
        <v>#VALUE!</v>
      </c>
      <c r="AP319" s="193"/>
      <c r="AQ319" s="204"/>
      <c r="AR319" s="204"/>
      <c r="AS319" s="204"/>
      <c r="AT319" s="205"/>
      <c r="AU319"/>
    </row>
    <row r="320" spans="2:47" ht="15" customHeight="1" x14ac:dyDescent="0.25">
      <c r="B320" s="206"/>
      <c r="C320" s="185"/>
      <c r="D320" s="164"/>
      <c r="E320" s="174"/>
      <c r="F320" s="164"/>
      <c r="G320" s="174"/>
      <c r="H320" s="164"/>
      <c r="I320" s="174"/>
      <c r="J320" s="184"/>
      <c r="K320" s="186"/>
      <c r="L320" s="187" t="str">
        <f t="shared" si="79"/>
        <v/>
      </c>
      <c r="M320" s="187" t="str">
        <f t="shared" si="80"/>
        <v/>
      </c>
      <c r="N320" s="187" t="str">
        <f t="shared" si="72"/>
        <v>D</v>
      </c>
      <c r="O320" s="187" t="str">
        <f t="shared" si="81"/>
        <v>D</v>
      </c>
      <c r="P320" s="187">
        <f t="shared" si="82"/>
        <v>1</v>
      </c>
      <c r="Q320" s="187">
        <f>IFERROR(VLOOKUP(E320,Tabela_Deflator:E$43,5,FALSE),1)</f>
        <v>1</v>
      </c>
      <c r="R320" s="188" t="str">
        <f t="shared" si="83"/>
        <v/>
      </c>
      <c r="S320" s="237" t="str">
        <f t="shared" si="73"/>
        <v/>
      </c>
      <c r="T320" s="237" t="str">
        <f t="shared" si="88"/>
        <v/>
      </c>
      <c r="U320" s="189"/>
      <c r="V320" s="167"/>
      <c r="W320" s="165"/>
      <c r="X320" s="164"/>
      <c r="Y320" s="164"/>
      <c r="Z320" s="164"/>
      <c r="AA320" s="174"/>
      <c r="AB320" s="164"/>
      <c r="AC320" s="174"/>
      <c r="AD320" s="184"/>
      <c r="AE320" s="190" t="str">
        <f t="shared" si="84"/>
        <v/>
      </c>
      <c r="AF320" s="190" t="str">
        <f t="shared" si="85"/>
        <v/>
      </c>
      <c r="AG320" s="190" t="str">
        <f t="shared" si="74"/>
        <v>D</v>
      </c>
      <c r="AH320" s="190">
        <f>IFERROR(VLOOKUP(Y320,SISP_Deflatores_e_INMs!B$4:F$49,3,FALSE),1)</f>
        <v>1</v>
      </c>
      <c r="AI320" s="190">
        <f>IFERROR(VLOOKUP(Y320,SISP_Deflatores_e_INMs!B$4:G$49,5,FALSE),1)</f>
        <v>1</v>
      </c>
      <c r="AJ320" s="191" t="str">
        <f t="shared" si="86"/>
        <v/>
      </c>
      <c r="AK320" s="237" t="str">
        <f t="shared" si="75"/>
        <v/>
      </c>
      <c r="AL320" s="237" t="str">
        <f t="shared" si="87"/>
        <v/>
      </c>
      <c r="AM320" s="192" t="e">
        <f t="shared" si="76"/>
        <v>#VALUE!</v>
      </c>
      <c r="AN320" s="193" t="e">
        <f t="shared" si="77"/>
        <v>#VALUE!</v>
      </c>
      <c r="AO320" s="193" t="e">
        <f t="shared" si="78"/>
        <v>#VALUE!</v>
      </c>
      <c r="AP320" s="193"/>
      <c r="AQ320" s="204"/>
      <c r="AR320" s="204"/>
      <c r="AS320" s="204"/>
      <c r="AT320" s="205"/>
      <c r="AU320"/>
    </row>
    <row r="321" spans="2:47" ht="15" customHeight="1" x14ac:dyDescent="0.25">
      <c r="B321" s="206"/>
      <c r="C321" s="185"/>
      <c r="D321" s="164"/>
      <c r="E321" s="174"/>
      <c r="F321" s="164"/>
      <c r="G321" s="174"/>
      <c r="H321" s="164"/>
      <c r="I321" s="174"/>
      <c r="J321" s="184"/>
      <c r="K321" s="186"/>
      <c r="L321" s="187" t="str">
        <f t="shared" si="79"/>
        <v/>
      </c>
      <c r="M321" s="187" t="str">
        <f t="shared" si="80"/>
        <v/>
      </c>
      <c r="N321" s="187" t="str">
        <f t="shared" si="72"/>
        <v>D</v>
      </c>
      <c r="O321" s="187" t="str">
        <f t="shared" si="81"/>
        <v>D</v>
      </c>
      <c r="P321" s="187">
        <f t="shared" si="82"/>
        <v>1</v>
      </c>
      <c r="Q321" s="187">
        <f>IFERROR(VLOOKUP(E321,Tabela_Deflator:E$43,5,FALSE),1)</f>
        <v>1</v>
      </c>
      <c r="R321" s="188" t="str">
        <f t="shared" si="83"/>
        <v/>
      </c>
      <c r="S321" s="237" t="str">
        <f t="shared" si="73"/>
        <v/>
      </c>
      <c r="T321" s="237" t="str">
        <f t="shared" si="88"/>
        <v/>
      </c>
      <c r="U321" s="189"/>
      <c r="V321" s="167"/>
      <c r="W321" s="165"/>
      <c r="X321" s="164"/>
      <c r="Y321" s="164"/>
      <c r="Z321" s="164"/>
      <c r="AA321" s="174"/>
      <c r="AB321" s="164"/>
      <c r="AC321" s="174"/>
      <c r="AD321" s="184"/>
      <c r="AE321" s="190" t="str">
        <f t="shared" si="84"/>
        <v/>
      </c>
      <c r="AF321" s="190" t="str">
        <f t="shared" si="85"/>
        <v/>
      </c>
      <c r="AG321" s="190" t="str">
        <f t="shared" si="74"/>
        <v>D</v>
      </c>
      <c r="AH321" s="190">
        <f>IFERROR(VLOOKUP(Y321,SISP_Deflatores_e_INMs!B$4:F$49,3,FALSE),1)</f>
        <v>1</v>
      </c>
      <c r="AI321" s="190">
        <f>IFERROR(VLOOKUP(Y321,SISP_Deflatores_e_INMs!B$4:G$49,5,FALSE),1)</f>
        <v>1</v>
      </c>
      <c r="AJ321" s="191" t="str">
        <f t="shared" si="86"/>
        <v/>
      </c>
      <c r="AK321" s="237" t="str">
        <f t="shared" si="75"/>
        <v/>
      </c>
      <c r="AL321" s="237" t="str">
        <f t="shared" si="87"/>
        <v/>
      </c>
      <c r="AM321" s="192" t="e">
        <f t="shared" si="76"/>
        <v>#VALUE!</v>
      </c>
      <c r="AN321" s="193" t="e">
        <f t="shared" si="77"/>
        <v>#VALUE!</v>
      </c>
      <c r="AO321" s="193" t="e">
        <f t="shared" si="78"/>
        <v>#VALUE!</v>
      </c>
      <c r="AP321" s="193"/>
      <c r="AQ321" s="204"/>
      <c r="AR321" s="204"/>
      <c r="AS321" s="204"/>
      <c r="AT321" s="205"/>
      <c r="AU321"/>
    </row>
    <row r="322" spans="2:47" ht="15" customHeight="1" x14ac:dyDescent="0.25">
      <c r="B322" s="206"/>
      <c r="C322" s="185"/>
      <c r="D322" s="164"/>
      <c r="E322" s="174"/>
      <c r="F322" s="164"/>
      <c r="G322" s="174"/>
      <c r="H322" s="164"/>
      <c r="I322" s="174"/>
      <c r="J322" s="184"/>
      <c r="K322" s="186"/>
      <c r="L322" s="187" t="str">
        <f t="shared" si="79"/>
        <v/>
      </c>
      <c r="M322" s="187" t="str">
        <f t="shared" si="80"/>
        <v/>
      </c>
      <c r="N322" s="187" t="str">
        <f t="shared" si="72"/>
        <v>D</v>
      </c>
      <c r="O322" s="187" t="str">
        <f t="shared" si="81"/>
        <v>D</v>
      </c>
      <c r="P322" s="187">
        <f t="shared" si="82"/>
        <v>1</v>
      </c>
      <c r="Q322" s="187">
        <f>IFERROR(VLOOKUP(E322,Tabela_Deflator:E$43,5,FALSE),1)</f>
        <v>1</v>
      </c>
      <c r="R322" s="188" t="str">
        <f t="shared" si="83"/>
        <v/>
      </c>
      <c r="S322" s="237" t="str">
        <f t="shared" si="73"/>
        <v/>
      </c>
      <c r="T322" s="237" t="str">
        <f t="shared" si="88"/>
        <v/>
      </c>
      <c r="U322" s="189"/>
      <c r="V322" s="167"/>
      <c r="W322" s="165"/>
      <c r="X322" s="164"/>
      <c r="Y322" s="164"/>
      <c r="Z322" s="164"/>
      <c r="AA322" s="174"/>
      <c r="AB322" s="164"/>
      <c r="AC322" s="174"/>
      <c r="AD322" s="184"/>
      <c r="AE322" s="190" t="str">
        <f t="shared" si="84"/>
        <v/>
      </c>
      <c r="AF322" s="190" t="str">
        <f t="shared" si="85"/>
        <v/>
      </c>
      <c r="AG322" s="190" t="str">
        <f t="shared" si="74"/>
        <v>D</v>
      </c>
      <c r="AH322" s="190">
        <f>IFERROR(VLOOKUP(Y322,SISP_Deflatores_e_INMs!B$4:F$49,3,FALSE),1)</f>
        <v>1</v>
      </c>
      <c r="AI322" s="190">
        <f>IFERROR(VLOOKUP(Y322,SISP_Deflatores_e_INMs!B$4:G$49,5,FALSE),1)</f>
        <v>1</v>
      </c>
      <c r="AJ322" s="191" t="str">
        <f t="shared" si="86"/>
        <v/>
      </c>
      <c r="AK322" s="237" t="str">
        <f t="shared" si="75"/>
        <v/>
      </c>
      <c r="AL322" s="237" t="str">
        <f t="shared" si="87"/>
        <v/>
      </c>
      <c r="AM322" s="192" t="e">
        <f t="shared" si="76"/>
        <v>#VALUE!</v>
      </c>
      <c r="AN322" s="193" t="e">
        <f t="shared" si="77"/>
        <v>#VALUE!</v>
      </c>
      <c r="AO322" s="193" t="e">
        <f t="shared" si="78"/>
        <v>#VALUE!</v>
      </c>
      <c r="AP322" s="193"/>
      <c r="AQ322" s="204"/>
      <c r="AR322" s="204"/>
      <c r="AS322" s="204"/>
      <c r="AT322" s="205"/>
      <c r="AU322"/>
    </row>
    <row r="323" spans="2:47" ht="15" customHeight="1" x14ac:dyDescent="0.25">
      <c r="B323" s="206"/>
      <c r="C323" s="185"/>
      <c r="D323" s="164"/>
      <c r="E323" s="174"/>
      <c r="F323" s="164"/>
      <c r="G323" s="174"/>
      <c r="H323" s="164"/>
      <c r="I323" s="174"/>
      <c r="J323" s="184"/>
      <c r="K323" s="186"/>
      <c r="L323" s="187" t="str">
        <f t="shared" si="79"/>
        <v/>
      </c>
      <c r="M323" s="187" t="str">
        <f t="shared" si="80"/>
        <v/>
      </c>
      <c r="N323" s="187" t="str">
        <f t="shared" si="72"/>
        <v>D</v>
      </c>
      <c r="O323" s="187" t="str">
        <f t="shared" si="81"/>
        <v>D</v>
      </c>
      <c r="P323" s="187">
        <f t="shared" si="82"/>
        <v>1</v>
      </c>
      <c r="Q323" s="187">
        <f>IFERROR(VLOOKUP(E323,Tabela_Deflator:E$43,5,FALSE),1)</f>
        <v>1</v>
      </c>
      <c r="R323" s="188" t="str">
        <f t="shared" si="83"/>
        <v/>
      </c>
      <c r="S323" s="237" t="str">
        <f t="shared" si="73"/>
        <v/>
      </c>
      <c r="T323" s="237" t="str">
        <f t="shared" si="88"/>
        <v/>
      </c>
      <c r="U323" s="189"/>
      <c r="V323" s="167"/>
      <c r="W323" s="165"/>
      <c r="X323" s="164"/>
      <c r="Y323" s="164"/>
      <c r="Z323" s="164"/>
      <c r="AA323" s="174"/>
      <c r="AB323" s="164"/>
      <c r="AC323" s="174"/>
      <c r="AD323" s="184"/>
      <c r="AE323" s="190" t="str">
        <f t="shared" si="84"/>
        <v/>
      </c>
      <c r="AF323" s="190" t="str">
        <f t="shared" si="85"/>
        <v/>
      </c>
      <c r="AG323" s="190" t="str">
        <f t="shared" si="74"/>
        <v>D</v>
      </c>
      <c r="AH323" s="190">
        <f>IFERROR(VLOOKUP(Y323,SISP_Deflatores_e_INMs!B$4:F$49,3,FALSE),1)</f>
        <v>1</v>
      </c>
      <c r="AI323" s="190">
        <f>IFERROR(VLOOKUP(Y323,SISP_Deflatores_e_INMs!B$4:G$49,5,FALSE),1)</f>
        <v>1</v>
      </c>
      <c r="AJ323" s="191" t="str">
        <f t="shared" si="86"/>
        <v/>
      </c>
      <c r="AK323" s="237" t="str">
        <f t="shared" si="75"/>
        <v/>
      </c>
      <c r="AL323" s="237" t="str">
        <f t="shared" si="87"/>
        <v/>
      </c>
      <c r="AM323" s="192" t="e">
        <f t="shared" si="76"/>
        <v>#VALUE!</v>
      </c>
      <c r="AN323" s="193" t="e">
        <f t="shared" si="77"/>
        <v>#VALUE!</v>
      </c>
      <c r="AO323" s="193" t="e">
        <f t="shared" si="78"/>
        <v>#VALUE!</v>
      </c>
      <c r="AP323" s="193"/>
      <c r="AQ323" s="204"/>
      <c r="AR323" s="204"/>
      <c r="AS323" s="204"/>
      <c r="AT323" s="205"/>
      <c r="AU323"/>
    </row>
    <row r="324" spans="2:47" ht="15" customHeight="1" x14ac:dyDescent="0.25">
      <c r="B324" s="206"/>
      <c r="C324" s="185"/>
      <c r="D324" s="164"/>
      <c r="E324" s="174"/>
      <c r="F324" s="164"/>
      <c r="G324" s="174"/>
      <c r="H324" s="164"/>
      <c r="I324" s="174"/>
      <c r="J324" s="184"/>
      <c r="K324" s="186"/>
      <c r="L324" s="187" t="str">
        <f t="shared" si="79"/>
        <v/>
      </c>
      <c r="M324" s="187" t="str">
        <f t="shared" si="80"/>
        <v/>
      </c>
      <c r="N324" s="187" t="str">
        <f t="shared" ref="N324:N387" si="89">IF(Tipo_de_contagem="Contagem Detalhada","D",IF(Tipo_de_contagem="Contagem Estimada","E","S"))</f>
        <v>D</v>
      </c>
      <c r="O324" s="187" t="str">
        <f t="shared" si="81"/>
        <v>D</v>
      </c>
      <c r="P324" s="187">
        <f t="shared" si="82"/>
        <v>1</v>
      </c>
      <c r="Q324" s="187">
        <f>IFERROR(VLOOKUP(E324,Tabela_Deflator:E$43,5,FALSE),1)</f>
        <v>1</v>
      </c>
      <c r="R324" s="188" t="str">
        <f t="shared" si="83"/>
        <v/>
      </c>
      <c r="S324" s="237" t="str">
        <f t="shared" ref="S324:S387" si="90">IF(D324="N/A","",IF(D324="","",IFERROR(IF(D324="INM",P324*J324,VLOOKUP(O324,Tabela_Pontuação,2,FALSE)),0)))</f>
        <v/>
      </c>
      <c r="T324" s="237" t="str">
        <f t="shared" si="88"/>
        <v/>
      </c>
      <c r="U324" s="189"/>
      <c r="V324" s="167"/>
      <c r="W324" s="165"/>
      <c r="X324" s="164"/>
      <c r="Y324" s="164"/>
      <c r="Z324" s="164"/>
      <c r="AA324" s="174"/>
      <c r="AB324" s="164"/>
      <c r="AC324" s="174"/>
      <c r="AD324" s="184"/>
      <c r="AE324" s="190" t="str">
        <f t="shared" si="84"/>
        <v/>
      </c>
      <c r="AF324" s="190" t="str">
        <f t="shared" si="85"/>
        <v/>
      </c>
      <c r="AG324" s="190" t="str">
        <f t="shared" ref="AG324:AG387" si="91">IF(N324="S",X324,CONCATENATE(X324,AE324,N324))</f>
        <v>D</v>
      </c>
      <c r="AH324" s="190">
        <f>IFERROR(VLOOKUP(Y324,SISP_Deflatores_e_INMs!B$4:F$49,3,FALSE),1)</f>
        <v>1</v>
      </c>
      <c r="AI324" s="190">
        <f>IFERROR(VLOOKUP(Y324,SISP_Deflatores_e_INMs!B$4:G$49,5,FALSE),1)</f>
        <v>1</v>
      </c>
      <c r="AJ324" s="191" t="str">
        <f t="shared" si="86"/>
        <v/>
      </c>
      <c r="AK324" s="237" t="str">
        <f t="shared" ref="AK324:AK387" si="92">IFERROR(IF(X324="INM",AH324*AD324,VLOOKUP(AG324,Tabela_Pontuação,2,FALSE)),"")</f>
        <v/>
      </c>
      <c r="AL324" s="237" t="str">
        <f t="shared" si="87"/>
        <v/>
      </c>
      <c r="AM324" s="192" t="e">
        <f t="shared" ref="AM324:AM387" si="93">IF(S324&lt;=0,0,AK324-S324)</f>
        <v>#VALUE!</v>
      </c>
      <c r="AN324" s="193" t="e">
        <f t="shared" ref="AN324:AN387" si="94">AM324/S324</f>
        <v>#VALUE!</v>
      </c>
      <c r="AO324" s="193" t="e">
        <f t="shared" ref="AO324:AO387" si="95">IF(T324&lt;=0,0,AL324-T324)</f>
        <v>#VALUE!</v>
      </c>
      <c r="AP324" s="193"/>
      <c r="AQ324" s="204"/>
      <c r="AR324" s="204"/>
      <c r="AS324" s="204"/>
      <c r="AT324" s="205"/>
      <c r="AU324"/>
    </row>
    <row r="325" spans="2:47" ht="15" customHeight="1" x14ac:dyDescent="0.25">
      <c r="B325" s="206"/>
      <c r="C325" s="185"/>
      <c r="D325" s="164"/>
      <c r="E325" s="174"/>
      <c r="F325" s="164"/>
      <c r="G325" s="174"/>
      <c r="H325" s="164"/>
      <c r="I325" s="174"/>
      <c r="J325" s="184"/>
      <c r="K325" s="186"/>
      <c r="L325" s="187" t="str">
        <f t="shared" ref="L325:L388" si="96">IF(OR(ISBLANK(F325),ISBLANK(H325)),IF(OR(D325="ALI",D325="AIE"),"L",IF(ISBLANK(D325),"","A")),IF(D325="EE",IF(H325&gt;=3,IF(F325&gt;=5,"H","A"),IF(H325&gt;=2,IF(F325&gt;=16,"H",IF(F325&lt;=4,"L","A")),IF(F325&lt;=15,"L","A"))),IF(OR(D325="SE",D325="CE"),IF(H325&gt;=4,IF(F325&gt;=6,"H","A"),IF(H325&gt;=2,IF(F325&gt;=20,"H",IF(F325&lt;=5,"L","A")),IF(F325&lt;=19,"L","A"))),IF(OR(D325="ALI",D325="AIE"),IF(H325&gt;=6,IF(F325&gt;=20,"H","A"),IF(H325&gt;=2,IF(F325&gt;=51,"H",IF(F325&lt;=19,"L","A")),IF(F325&lt;=50,"L","A")))))))</f>
        <v/>
      </c>
      <c r="M325" s="187" t="str">
        <f t="shared" ref="M325:M388" si="97">CONCATENATE(D325,L325)</f>
        <v/>
      </c>
      <c r="N325" s="187" t="str">
        <f t="shared" si="89"/>
        <v>D</v>
      </c>
      <c r="O325" s="187" t="str">
        <f t="shared" ref="O325:O388" si="98">IF(N325="S",D325,CONCATENATE(D325,L325,N325))</f>
        <v>D</v>
      </c>
      <c r="P325" s="187">
        <f t="shared" ref="P325:P388" si="99">IFERROR(VLOOKUP(E325,Tabela_Deflator,3,FALSE),1)</f>
        <v>1</v>
      </c>
      <c r="Q325" s="187">
        <f>IFERROR(VLOOKUP(E325,Tabela_Deflator:E$43,5,FALSE),1)</f>
        <v>1</v>
      </c>
      <c r="R325" s="188" t="str">
        <f t="shared" ref="R325:R388" si="100">IF(OR(D325="INM",D325="N/A"),"",IF(L325="L","Baixa",IF(L325="A","Média",IF(L325="","","Alta"))))</f>
        <v/>
      </c>
      <c r="S325" s="237" t="str">
        <f t="shared" si="90"/>
        <v/>
      </c>
      <c r="T325" s="237" t="str">
        <f t="shared" si="88"/>
        <v/>
      </c>
      <c r="U325" s="189"/>
      <c r="V325" s="167"/>
      <c r="W325" s="165"/>
      <c r="X325" s="164"/>
      <c r="Y325" s="164"/>
      <c r="Z325" s="164"/>
      <c r="AA325" s="174"/>
      <c r="AB325" s="164"/>
      <c r="AC325" s="174"/>
      <c r="AD325" s="184"/>
      <c r="AE325" s="190" t="str">
        <f t="shared" ref="AE325:AE388" si="101">IF(OR(ISBLANK(Z325),ISBLANK(AB325)),IF(OR(X325="ALI",X325="AIE"),"L",IF(ISBLANK(X325),"","A")),IF(X325="EE",IF(AB325&gt;=3,IF(Z325&gt;=5,"H","A"),IF(AB325&gt;=2,IF(Z325&gt;=16,"H",IF(Z325&lt;=4,"L","A")),IF(Z325&lt;=15,"L","A"))),IF(OR(X325="SE",X325="CE"),IF(AB325&gt;=4,IF(Z325&gt;=6,"H","A"),IF(AB325&gt;=2,IF(Z325&gt;=20,"H",IF(Z325&lt;=5,"L","A")),IF(Z325&lt;=19,"L","A"))),IF(OR(X325="ALI",X325="AIE"),IF(AB325&gt;=6,IF(Z325&gt;=20,"H","A"),IF(AB325&gt;=2,IF(Z325&gt;=51,"H",IF(Z325&lt;=19,"L","A")),IF(Z325&lt;=50,"L","A")))))))</f>
        <v/>
      </c>
      <c r="AF325" s="190" t="str">
        <f t="shared" ref="AF325:AF388" si="102">CONCATENATE(X325,AE325)</f>
        <v/>
      </c>
      <c r="AG325" s="190" t="str">
        <f t="shared" si="91"/>
        <v>D</v>
      </c>
      <c r="AH325" s="190">
        <f>IFERROR(VLOOKUP(Y325,SISP_Deflatores_e_INMs!B$4:F$49,3,FALSE),1)</f>
        <v>1</v>
      </c>
      <c r="AI325" s="190">
        <f>IFERROR(VLOOKUP(Y325,SISP_Deflatores_e_INMs!B$4:G$49,5,FALSE),1)</f>
        <v>1</v>
      </c>
      <c r="AJ325" s="191" t="str">
        <f t="shared" ref="AJ325:AJ388" si="103">IF(OR(X325="INM",X325="N/A"),"",IF(AE325="L","Baixa",IF(AE325="A","Média",IF(AE325="","","Alta"))))</f>
        <v/>
      </c>
      <c r="AK325" s="237" t="str">
        <f t="shared" si="92"/>
        <v/>
      </c>
      <c r="AL325" s="237" t="str">
        <f t="shared" ref="AL325:AL388" si="104">IFERROR(IF(OR(ISBLANK(V325),V325="NOK"),"",IF(X325="INM",(1*AH325)*AD325,AK325*AH325)),"")</f>
        <v/>
      </c>
      <c r="AM325" s="192" t="e">
        <f t="shared" si="93"/>
        <v>#VALUE!</v>
      </c>
      <c r="AN325" s="193" t="e">
        <f t="shared" si="94"/>
        <v>#VALUE!</v>
      </c>
      <c r="AO325" s="193" t="e">
        <f t="shared" si="95"/>
        <v>#VALUE!</v>
      </c>
      <c r="AP325" s="193"/>
      <c r="AQ325" s="204"/>
      <c r="AR325" s="204"/>
      <c r="AS325" s="204"/>
      <c r="AT325" s="205"/>
      <c r="AU325"/>
    </row>
    <row r="326" spans="2:47" ht="15" customHeight="1" x14ac:dyDescent="0.25">
      <c r="B326" s="206"/>
      <c r="C326" s="185"/>
      <c r="D326" s="164"/>
      <c r="E326" s="174"/>
      <c r="F326" s="164"/>
      <c r="G326" s="174"/>
      <c r="H326" s="164"/>
      <c r="I326" s="174"/>
      <c r="J326" s="184"/>
      <c r="K326" s="186"/>
      <c r="L326" s="187" t="str">
        <f t="shared" si="96"/>
        <v/>
      </c>
      <c r="M326" s="187" t="str">
        <f t="shared" si="97"/>
        <v/>
      </c>
      <c r="N326" s="187" t="str">
        <f t="shared" si="89"/>
        <v>D</v>
      </c>
      <c r="O326" s="187" t="str">
        <f t="shared" si="98"/>
        <v>D</v>
      </c>
      <c r="P326" s="187">
        <f t="shared" si="99"/>
        <v>1</v>
      </c>
      <c r="Q326" s="187">
        <f>IFERROR(VLOOKUP(E326,Tabela_Deflator:E$43,5,FALSE),1)</f>
        <v>1</v>
      </c>
      <c r="R326" s="188" t="str">
        <f t="shared" si="100"/>
        <v/>
      </c>
      <c r="S326" s="237" t="str">
        <f t="shared" si="90"/>
        <v/>
      </c>
      <c r="T326" s="237" t="str">
        <f t="shared" ref="T326:T389" si="105" xml:space="preserve"> IF(D326="N/A","",IF(D326="","",IF(D326="INM",(1*P326)*J326,S326*P326)))</f>
        <v/>
      </c>
      <c r="U326" s="189"/>
      <c r="V326" s="167"/>
      <c r="W326" s="165"/>
      <c r="X326" s="164"/>
      <c r="Y326" s="164"/>
      <c r="Z326" s="164"/>
      <c r="AA326" s="174"/>
      <c r="AB326" s="164"/>
      <c r="AC326" s="174"/>
      <c r="AD326" s="184"/>
      <c r="AE326" s="190" t="str">
        <f t="shared" si="101"/>
        <v/>
      </c>
      <c r="AF326" s="190" t="str">
        <f t="shared" si="102"/>
        <v/>
      </c>
      <c r="AG326" s="190" t="str">
        <f t="shared" si="91"/>
        <v>D</v>
      </c>
      <c r="AH326" s="190">
        <f>IFERROR(VLOOKUP(Y326,SISP_Deflatores_e_INMs!B$4:F$49,3,FALSE),1)</f>
        <v>1</v>
      </c>
      <c r="AI326" s="190">
        <f>IFERROR(VLOOKUP(Y326,SISP_Deflatores_e_INMs!B$4:G$49,5,FALSE),1)</f>
        <v>1</v>
      </c>
      <c r="AJ326" s="191" t="str">
        <f t="shared" si="103"/>
        <v/>
      </c>
      <c r="AK326" s="237" t="str">
        <f t="shared" si="92"/>
        <v/>
      </c>
      <c r="AL326" s="237" t="str">
        <f t="shared" si="104"/>
        <v/>
      </c>
      <c r="AM326" s="192" t="e">
        <f t="shared" si="93"/>
        <v>#VALUE!</v>
      </c>
      <c r="AN326" s="193" t="e">
        <f t="shared" si="94"/>
        <v>#VALUE!</v>
      </c>
      <c r="AO326" s="193" t="e">
        <f t="shared" si="95"/>
        <v>#VALUE!</v>
      </c>
      <c r="AP326" s="193"/>
      <c r="AQ326" s="204"/>
      <c r="AR326" s="204"/>
      <c r="AS326" s="204"/>
      <c r="AT326" s="205"/>
      <c r="AU326"/>
    </row>
    <row r="327" spans="2:47" ht="15" customHeight="1" x14ac:dyDescent="0.25">
      <c r="B327" s="206"/>
      <c r="C327" s="185"/>
      <c r="D327" s="164"/>
      <c r="E327" s="174"/>
      <c r="F327" s="164"/>
      <c r="G327" s="174"/>
      <c r="H327" s="164"/>
      <c r="I327" s="174"/>
      <c r="J327" s="184"/>
      <c r="K327" s="186"/>
      <c r="L327" s="187" t="str">
        <f t="shared" si="96"/>
        <v/>
      </c>
      <c r="M327" s="187" t="str">
        <f t="shared" si="97"/>
        <v/>
      </c>
      <c r="N327" s="187" t="str">
        <f t="shared" si="89"/>
        <v>D</v>
      </c>
      <c r="O327" s="187" t="str">
        <f t="shared" si="98"/>
        <v>D</v>
      </c>
      <c r="P327" s="187">
        <f t="shared" si="99"/>
        <v>1</v>
      </c>
      <c r="Q327" s="187">
        <f>IFERROR(VLOOKUP(E327,Tabela_Deflator:E$43,5,FALSE),1)</f>
        <v>1</v>
      </c>
      <c r="R327" s="188" t="str">
        <f t="shared" si="100"/>
        <v/>
      </c>
      <c r="S327" s="237" t="str">
        <f t="shared" si="90"/>
        <v/>
      </c>
      <c r="T327" s="237" t="str">
        <f t="shared" si="105"/>
        <v/>
      </c>
      <c r="U327" s="189"/>
      <c r="V327" s="167"/>
      <c r="W327" s="165"/>
      <c r="X327" s="164"/>
      <c r="Y327" s="164"/>
      <c r="Z327" s="164"/>
      <c r="AA327" s="174"/>
      <c r="AB327" s="164"/>
      <c r="AC327" s="174"/>
      <c r="AD327" s="184"/>
      <c r="AE327" s="190" t="str">
        <f t="shared" si="101"/>
        <v/>
      </c>
      <c r="AF327" s="190" t="str">
        <f t="shared" si="102"/>
        <v/>
      </c>
      <c r="AG327" s="190" t="str">
        <f t="shared" si="91"/>
        <v>D</v>
      </c>
      <c r="AH327" s="190">
        <f>IFERROR(VLOOKUP(Y327,SISP_Deflatores_e_INMs!B$4:F$49,3,FALSE),1)</f>
        <v>1</v>
      </c>
      <c r="AI327" s="190">
        <f>IFERROR(VLOOKUP(Y327,SISP_Deflatores_e_INMs!B$4:G$49,5,FALSE),1)</f>
        <v>1</v>
      </c>
      <c r="AJ327" s="191" t="str">
        <f t="shared" si="103"/>
        <v/>
      </c>
      <c r="AK327" s="237" t="str">
        <f t="shared" si="92"/>
        <v/>
      </c>
      <c r="AL327" s="237" t="str">
        <f t="shared" si="104"/>
        <v/>
      </c>
      <c r="AM327" s="192" t="e">
        <f t="shared" si="93"/>
        <v>#VALUE!</v>
      </c>
      <c r="AN327" s="193" t="e">
        <f t="shared" si="94"/>
        <v>#VALUE!</v>
      </c>
      <c r="AO327" s="193" t="e">
        <f t="shared" si="95"/>
        <v>#VALUE!</v>
      </c>
      <c r="AP327" s="193"/>
      <c r="AQ327" s="204"/>
      <c r="AR327" s="204"/>
      <c r="AS327" s="204"/>
      <c r="AT327" s="205"/>
      <c r="AU327"/>
    </row>
    <row r="328" spans="2:47" ht="15" customHeight="1" x14ac:dyDescent="0.25">
      <c r="B328" s="206"/>
      <c r="C328" s="185"/>
      <c r="D328" s="164"/>
      <c r="E328" s="174"/>
      <c r="F328" s="164"/>
      <c r="G328" s="174"/>
      <c r="H328" s="164"/>
      <c r="I328" s="174"/>
      <c r="J328" s="184"/>
      <c r="K328" s="186"/>
      <c r="L328" s="187" t="str">
        <f t="shared" si="96"/>
        <v/>
      </c>
      <c r="M328" s="187" t="str">
        <f t="shared" si="97"/>
        <v/>
      </c>
      <c r="N328" s="187" t="str">
        <f t="shared" si="89"/>
        <v>D</v>
      </c>
      <c r="O328" s="187" t="str">
        <f t="shared" si="98"/>
        <v>D</v>
      </c>
      <c r="P328" s="187">
        <f t="shared" si="99"/>
        <v>1</v>
      </c>
      <c r="Q328" s="187">
        <f>IFERROR(VLOOKUP(E328,Tabela_Deflator:E$43,5,FALSE),1)</f>
        <v>1</v>
      </c>
      <c r="R328" s="188" t="str">
        <f t="shared" si="100"/>
        <v/>
      </c>
      <c r="S328" s="237" t="str">
        <f t="shared" si="90"/>
        <v/>
      </c>
      <c r="T328" s="237" t="str">
        <f t="shared" si="105"/>
        <v/>
      </c>
      <c r="U328" s="189"/>
      <c r="V328" s="167"/>
      <c r="W328" s="165"/>
      <c r="X328" s="164"/>
      <c r="Y328" s="164"/>
      <c r="Z328" s="164"/>
      <c r="AA328" s="174"/>
      <c r="AB328" s="164"/>
      <c r="AC328" s="174"/>
      <c r="AD328" s="184"/>
      <c r="AE328" s="190" t="str">
        <f t="shared" si="101"/>
        <v/>
      </c>
      <c r="AF328" s="190" t="str">
        <f t="shared" si="102"/>
        <v/>
      </c>
      <c r="AG328" s="190" t="str">
        <f t="shared" si="91"/>
        <v>D</v>
      </c>
      <c r="AH328" s="190">
        <f>IFERROR(VLOOKUP(Y328,SISP_Deflatores_e_INMs!B$4:F$49,3,FALSE),1)</f>
        <v>1</v>
      </c>
      <c r="AI328" s="190">
        <f>IFERROR(VLOOKUP(Y328,SISP_Deflatores_e_INMs!B$4:G$49,5,FALSE),1)</f>
        <v>1</v>
      </c>
      <c r="AJ328" s="191" t="str">
        <f t="shared" si="103"/>
        <v/>
      </c>
      <c r="AK328" s="237" t="str">
        <f t="shared" si="92"/>
        <v/>
      </c>
      <c r="AL328" s="237" t="str">
        <f t="shared" si="104"/>
        <v/>
      </c>
      <c r="AM328" s="192" t="e">
        <f t="shared" si="93"/>
        <v>#VALUE!</v>
      </c>
      <c r="AN328" s="193" t="e">
        <f t="shared" si="94"/>
        <v>#VALUE!</v>
      </c>
      <c r="AO328" s="193" t="e">
        <f t="shared" si="95"/>
        <v>#VALUE!</v>
      </c>
      <c r="AP328" s="193"/>
      <c r="AQ328" s="204"/>
      <c r="AR328" s="204"/>
      <c r="AS328" s="204"/>
      <c r="AT328" s="205"/>
      <c r="AU328"/>
    </row>
    <row r="329" spans="2:47" ht="15" customHeight="1" x14ac:dyDescent="0.25">
      <c r="B329" s="206"/>
      <c r="C329" s="185"/>
      <c r="D329" s="164"/>
      <c r="E329" s="174"/>
      <c r="F329" s="164"/>
      <c r="G329" s="174"/>
      <c r="H329" s="164"/>
      <c r="I329" s="174"/>
      <c r="J329" s="184"/>
      <c r="K329" s="186"/>
      <c r="L329" s="187" t="str">
        <f t="shared" si="96"/>
        <v/>
      </c>
      <c r="M329" s="187" t="str">
        <f t="shared" si="97"/>
        <v/>
      </c>
      <c r="N329" s="187" t="str">
        <f t="shared" si="89"/>
        <v>D</v>
      </c>
      <c r="O329" s="187" t="str">
        <f t="shared" si="98"/>
        <v>D</v>
      </c>
      <c r="P329" s="187">
        <f t="shared" si="99"/>
        <v>1</v>
      </c>
      <c r="Q329" s="187">
        <f>IFERROR(VLOOKUP(E329,Tabela_Deflator:E$43,5,FALSE),1)</f>
        <v>1</v>
      </c>
      <c r="R329" s="188" t="str">
        <f t="shared" si="100"/>
        <v/>
      </c>
      <c r="S329" s="237" t="str">
        <f t="shared" si="90"/>
        <v/>
      </c>
      <c r="T329" s="237" t="str">
        <f t="shared" si="105"/>
        <v/>
      </c>
      <c r="U329" s="189"/>
      <c r="V329" s="167"/>
      <c r="W329" s="165"/>
      <c r="X329" s="164"/>
      <c r="Y329" s="164"/>
      <c r="Z329" s="164"/>
      <c r="AA329" s="174"/>
      <c r="AB329" s="164"/>
      <c r="AC329" s="174"/>
      <c r="AD329" s="184"/>
      <c r="AE329" s="190" t="str">
        <f t="shared" si="101"/>
        <v/>
      </c>
      <c r="AF329" s="190" t="str">
        <f t="shared" si="102"/>
        <v/>
      </c>
      <c r="AG329" s="190" t="str">
        <f t="shared" si="91"/>
        <v>D</v>
      </c>
      <c r="AH329" s="190">
        <f>IFERROR(VLOOKUP(Y329,SISP_Deflatores_e_INMs!B$4:F$49,3,FALSE),1)</f>
        <v>1</v>
      </c>
      <c r="AI329" s="190">
        <f>IFERROR(VLOOKUP(Y329,SISP_Deflatores_e_INMs!B$4:G$49,5,FALSE),1)</f>
        <v>1</v>
      </c>
      <c r="AJ329" s="191" t="str">
        <f t="shared" si="103"/>
        <v/>
      </c>
      <c r="AK329" s="237" t="str">
        <f t="shared" si="92"/>
        <v/>
      </c>
      <c r="AL329" s="237" t="str">
        <f t="shared" si="104"/>
        <v/>
      </c>
      <c r="AM329" s="192" t="e">
        <f t="shared" si="93"/>
        <v>#VALUE!</v>
      </c>
      <c r="AN329" s="193" t="e">
        <f t="shared" si="94"/>
        <v>#VALUE!</v>
      </c>
      <c r="AO329" s="193" t="e">
        <f t="shared" si="95"/>
        <v>#VALUE!</v>
      </c>
      <c r="AP329" s="193"/>
      <c r="AQ329" s="204"/>
      <c r="AR329" s="204"/>
      <c r="AS329" s="204"/>
      <c r="AT329" s="205"/>
      <c r="AU329"/>
    </row>
    <row r="330" spans="2:47" ht="15" customHeight="1" x14ac:dyDescent="0.25">
      <c r="B330" s="206"/>
      <c r="C330" s="185"/>
      <c r="D330" s="164"/>
      <c r="E330" s="174"/>
      <c r="F330" s="164"/>
      <c r="G330" s="174"/>
      <c r="H330" s="164"/>
      <c r="I330" s="174"/>
      <c r="J330" s="184"/>
      <c r="K330" s="186"/>
      <c r="L330" s="187" t="str">
        <f t="shared" si="96"/>
        <v/>
      </c>
      <c r="M330" s="187" t="str">
        <f t="shared" si="97"/>
        <v/>
      </c>
      <c r="N330" s="187" t="str">
        <f t="shared" si="89"/>
        <v>D</v>
      </c>
      <c r="O330" s="187" t="str">
        <f t="shared" si="98"/>
        <v>D</v>
      </c>
      <c r="P330" s="187">
        <f t="shared" si="99"/>
        <v>1</v>
      </c>
      <c r="Q330" s="187">
        <f>IFERROR(VLOOKUP(E330,Tabela_Deflator:E$43,5,FALSE),1)</f>
        <v>1</v>
      </c>
      <c r="R330" s="188" t="str">
        <f t="shared" si="100"/>
        <v/>
      </c>
      <c r="S330" s="237" t="str">
        <f t="shared" si="90"/>
        <v/>
      </c>
      <c r="T330" s="237" t="str">
        <f t="shared" si="105"/>
        <v/>
      </c>
      <c r="U330" s="189"/>
      <c r="V330" s="167"/>
      <c r="W330" s="165"/>
      <c r="X330" s="164"/>
      <c r="Y330" s="164"/>
      <c r="Z330" s="164"/>
      <c r="AA330" s="174"/>
      <c r="AB330" s="164"/>
      <c r="AC330" s="174"/>
      <c r="AD330" s="184"/>
      <c r="AE330" s="190" t="str">
        <f t="shared" si="101"/>
        <v/>
      </c>
      <c r="AF330" s="190" t="str">
        <f t="shared" si="102"/>
        <v/>
      </c>
      <c r="AG330" s="190" t="str">
        <f t="shared" si="91"/>
        <v>D</v>
      </c>
      <c r="AH330" s="190">
        <f>IFERROR(VLOOKUP(Y330,SISP_Deflatores_e_INMs!B$4:F$49,3,FALSE),1)</f>
        <v>1</v>
      </c>
      <c r="AI330" s="190">
        <f>IFERROR(VLOOKUP(Y330,SISP_Deflatores_e_INMs!B$4:G$49,5,FALSE),1)</f>
        <v>1</v>
      </c>
      <c r="AJ330" s="191" t="str">
        <f t="shared" si="103"/>
        <v/>
      </c>
      <c r="AK330" s="237" t="str">
        <f t="shared" si="92"/>
        <v/>
      </c>
      <c r="AL330" s="237" t="str">
        <f t="shared" si="104"/>
        <v/>
      </c>
      <c r="AM330" s="192" t="e">
        <f t="shared" si="93"/>
        <v>#VALUE!</v>
      </c>
      <c r="AN330" s="193" t="e">
        <f t="shared" si="94"/>
        <v>#VALUE!</v>
      </c>
      <c r="AO330" s="193" t="e">
        <f t="shared" si="95"/>
        <v>#VALUE!</v>
      </c>
      <c r="AP330" s="193"/>
      <c r="AQ330" s="204"/>
      <c r="AR330" s="204"/>
      <c r="AS330" s="204"/>
      <c r="AT330" s="205"/>
      <c r="AU330"/>
    </row>
    <row r="331" spans="2:47" ht="15" customHeight="1" x14ac:dyDescent="0.25">
      <c r="B331" s="206"/>
      <c r="C331" s="185"/>
      <c r="D331" s="164"/>
      <c r="E331" s="174"/>
      <c r="F331" s="164"/>
      <c r="G331" s="174"/>
      <c r="H331" s="164"/>
      <c r="I331" s="174"/>
      <c r="J331" s="184"/>
      <c r="K331" s="186"/>
      <c r="L331" s="187" t="str">
        <f t="shared" si="96"/>
        <v/>
      </c>
      <c r="M331" s="187" t="str">
        <f t="shared" si="97"/>
        <v/>
      </c>
      <c r="N331" s="187" t="str">
        <f t="shared" si="89"/>
        <v>D</v>
      </c>
      <c r="O331" s="187" t="str">
        <f t="shared" si="98"/>
        <v>D</v>
      </c>
      <c r="P331" s="187">
        <f t="shared" si="99"/>
        <v>1</v>
      </c>
      <c r="Q331" s="187">
        <f>IFERROR(VLOOKUP(E331,Tabela_Deflator:E$43,5,FALSE),1)</f>
        <v>1</v>
      </c>
      <c r="R331" s="188" t="str">
        <f t="shared" si="100"/>
        <v/>
      </c>
      <c r="S331" s="237" t="str">
        <f t="shared" si="90"/>
        <v/>
      </c>
      <c r="T331" s="237" t="str">
        <f t="shared" si="105"/>
        <v/>
      </c>
      <c r="U331" s="189"/>
      <c r="V331" s="167"/>
      <c r="W331" s="165"/>
      <c r="X331" s="164"/>
      <c r="Y331" s="164"/>
      <c r="Z331" s="164"/>
      <c r="AA331" s="174"/>
      <c r="AB331" s="164"/>
      <c r="AC331" s="174"/>
      <c r="AD331" s="184"/>
      <c r="AE331" s="190" t="str">
        <f t="shared" si="101"/>
        <v/>
      </c>
      <c r="AF331" s="190" t="str">
        <f t="shared" si="102"/>
        <v/>
      </c>
      <c r="AG331" s="190" t="str">
        <f t="shared" si="91"/>
        <v>D</v>
      </c>
      <c r="AH331" s="190">
        <f>IFERROR(VLOOKUP(Y331,SISP_Deflatores_e_INMs!B$4:F$49,3,FALSE),1)</f>
        <v>1</v>
      </c>
      <c r="AI331" s="190">
        <f>IFERROR(VLOOKUP(Y331,SISP_Deflatores_e_INMs!B$4:G$49,5,FALSE),1)</f>
        <v>1</v>
      </c>
      <c r="AJ331" s="191" t="str">
        <f t="shared" si="103"/>
        <v/>
      </c>
      <c r="AK331" s="237" t="str">
        <f t="shared" si="92"/>
        <v/>
      </c>
      <c r="AL331" s="237" t="str">
        <f t="shared" si="104"/>
        <v/>
      </c>
      <c r="AM331" s="192" t="e">
        <f t="shared" si="93"/>
        <v>#VALUE!</v>
      </c>
      <c r="AN331" s="193" t="e">
        <f t="shared" si="94"/>
        <v>#VALUE!</v>
      </c>
      <c r="AO331" s="193" t="e">
        <f t="shared" si="95"/>
        <v>#VALUE!</v>
      </c>
      <c r="AP331" s="193"/>
      <c r="AQ331" s="204"/>
      <c r="AR331" s="204"/>
      <c r="AS331" s="204"/>
      <c r="AT331" s="205"/>
      <c r="AU331"/>
    </row>
    <row r="332" spans="2:47" ht="15" customHeight="1" x14ac:dyDescent="0.25">
      <c r="B332" s="206"/>
      <c r="C332" s="185"/>
      <c r="D332" s="164"/>
      <c r="E332" s="174"/>
      <c r="F332" s="164"/>
      <c r="G332" s="174"/>
      <c r="H332" s="164"/>
      <c r="I332" s="174"/>
      <c r="J332" s="184"/>
      <c r="K332" s="186"/>
      <c r="L332" s="187" t="str">
        <f t="shared" si="96"/>
        <v/>
      </c>
      <c r="M332" s="187" t="str">
        <f t="shared" si="97"/>
        <v/>
      </c>
      <c r="N332" s="187" t="str">
        <f t="shared" si="89"/>
        <v>D</v>
      </c>
      <c r="O332" s="187" t="str">
        <f t="shared" si="98"/>
        <v>D</v>
      </c>
      <c r="P332" s="187">
        <f t="shared" si="99"/>
        <v>1</v>
      </c>
      <c r="Q332" s="187">
        <f>IFERROR(VLOOKUP(E332,Tabela_Deflator:E$43,5,FALSE),1)</f>
        <v>1</v>
      </c>
      <c r="R332" s="188" t="str">
        <f t="shared" si="100"/>
        <v/>
      </c>
      <c r="S332" s="237" t="str">
        <f t="shared" si="90"/>
        <v/>
      </c>
      <c r="T332" s="237" t="str">
        <f t="shared" si="105"/>
        <v/>
      </c>
      <c r="U332" s="189"/>
      <c r="V332" s="167"/>
      <c r="W332" s="165"/>
      <c r="X332" s="164"/>
      <c r="Y332" s="164"/>
      <c r="Z332" s="164"/>
      <c r="AA332" s="174"/>
      <c r="AB332" s="164"/>
      <c r="AC332" s="174"/>
      <c r="AD332" s="184"/>
      <c r="AE332" s="190" t="str">
        <f t="shared" si="101"/>
        <v/>
      </c>
      <c r="AF332" s="190" t="str">
        <f t="shared" si="102"/>
        <v/>
      </c>
      <c r="AG332" s="190" t="str">
        <f t="shared" si="91"/>
        <v>D</v>
      </c>
      <c r="AH332" s="190">
        <f>IFERROR(VLOOKUP(Y332,SISP_Deflatores_e_INMs!B$4:F$49,3,FALSE),1)</f>
        <v>1</v>
      </c>
      <c r="AI332" s="190">
        <f>IFERROR(VLOOKUP(Y332,SISP_Deflatores_e_INMs!B$4:G$49,5,FALSE),1)</f>
        <v>1</v>
      </c>
      <c r="AJ332" s="191" t="str">
        <f t="shared" si="103"/>
        <v/>
      </c>
      <c r="AK332" s="237" t="str">
        <f t="shared" si="92"/>
        <v/>
      </c>
      <c r="AL332" s="237" t="str">
        <f t="shared" si="104"/>
        <v/>
      </c>
      <c r="AM332" s="192" t="e">
        <f t="shared" si="93"/>
        <v>#VALUE!</v>
      </c>
      <c r="AN332" s="193" t="e">
        <f t="shared" si="94"/>
        <v>#VALUE!</v>
      </c>
      <c r="AO332" s="193" t="e">
        <f t="shared" si="95"/>
        <v>#VALUE!</v>
      </c>
      <c r="AP332" s="193"/>
      <c r="AQ332" s="204"/>
      <c r="AR332" s="204"/>
      <c r="AS332" s="204"/>
      <c r="AT332" s="205"/>
      <c r="AU332"/>
    </row>
    <row r="333" spans="2:47" ht="15" customHeight="1" x14ac:dyDescent="0.25">
      <c r="B333" s="206"/>
      <c r="C333" s="185"/>
      <c r="D333" s="164"/>
      <c r="E333" s="174"/>
      <c r="F333" s="164"/>
      <c r="G333" s="174"/>
      <c r="H333" s="164"/>
      <c r="I333" s="174"/>
      <c r="J333" s="184"/>
      <c r="K333" s="186"/>
      <c r="L333" s="187" t="str">
        <f t="shared" si="96"/>
        <v/>
      </c>
      <c r="M333" s="187" t="str">
        <f t="shared" si="97"/>
        <v/>
      </c>
      <c r="N333" s="187" t="str">
        <f t="shared" si="89"/>
        <v>D</v>
      </c>
      <c r="O333" s="187" t="str">
        <f t="shared" si="98"/>
        <v>D</v>
      </c>
      <c r="P333" s="187">
        <f t="shared" si="99"/>
        <v>1</v>
      </c>
      <c r="Q333" s="187">
        <f>IFERROR(VLOOKUP(E333,Tabela_Deflator:E$43,5,FALSE),1)</f>
        <v>1</v>
      </c>
      <c r="R333" s="188" t="str">
        <f t="shared" si="100"/>
        <v/>
      </c>
      <c r="S333" s="237" t="str">
        <f t="shared" si="90"/>
        <v/>
      </c>
      <c r="T333" s="237" t="str">
        <f t="shared" si="105"/>
        <v/>
      </c>
      <c r="U333" s="189"/>
      <c r="V333" s="167"/>
      <c r="W333" s="165"/>
      <c r="X333" s="164"/>
      <c r="Y333" s="164"/>
      <c r="Z333" s="164"/>
      <c r="AA333" s="174"/>
      <c r="AB333" s="164"/>
      <c r="AC333" s="174"/>
      <c r="AD333" s="184"/>
      <c r="AE333" s="190" t="str">
        <f t="shared" si="101"/>
        <v/>
      </c>
      <c r="AF333" s="190" t="str">
        <f t="shared" si="102"/>
        <v/>
      </c>
      <c r="AG333" s="190" t="str">
        <f t="shared" si="91"/>
        <v>D</v>
      </c>
      <c r="AH333" s="190">
        <f>IFERROR(VLOOKUP(Y333,SISP_Deflatores_e_INMs!B$4:F$49,3,FALSE),1)</f>
        <v>1</v>
      </c>
      <c r="AI333" s="190">
        <f>IFERROR(VLOOKUP(Y333,SISP_Deflatores_e_INMs!B$4:G$49,5,FALSE),1)</f>
        <v>1</v>
      </c>
      <c r="AJ333" s="191" t="str">
        <f t="shared" si="103"/>
        <v/>
      </c>
      <c r="AK333" s="237" t="str">
        <f t="shared" si="92"/>
        <v/>
      </c>
      <c r="AL333" s="237" t="str">
        <f t="shared" si="104"/>
        <v/>
      </c>
      <c r="AM333" s="192" t="e">
        <f t="shared" si="93"/>
        <v>#VALUE!</v>
      </c>
      <c r="AN333" s="193" t="e">
        <f t="shared" si="94"/>
        <v>#VALUE!</v>
      </c>
      <c r="AO333" s="193" t="e">
        <f t="shared" si="95"/>
        <v>#VALUE!</v>
      </c>
      <c r="AP333" s="193"/>
      <c r="AQ333" s="204"/>
      <c r="AR333" s="204"/>
      <c r="AS333" s="204"/>
      <c r="AT333" s="205"/>
      <c r="AU333"/>
    </row>
    <row r="334" spans="2:47" ht="15" customHeight="1" x14ac:dyDescent="0.25">
      <c r="B334" s="206"/>
      <c r="C334" s="185"/>
      <c r="D334" s="164"/>
      <c r="E334" s="174"/>
      <c r="F334" s="164"/>
      <c r="G334" s="174"/>
      <c r="H334" s="164"/>
      <c r="I334" s="174"/>
      <c r="J334" s="184"/>
      <c r="K334" s="186"/>
      <c r="L334" s="187" t="str">
        <f t="shared" si="96"/>
        <v/>
      </c>
      <c r="M334" s="187" t="str">
        <f t="shared" si="97"/>
        <v/>
      </c>
      <c r="N334" s="187" t="str">
        <f t="shared" si="89"/>
        <v>D</v>
      </c>
      <c r="O334" s="187" t="str">
        <f t="shared" si="98"/>
        <v>D</v>
      </c>
      <c r="P334" s="187">
        <f t="shared" si="99"/>
        <v>1</v>
      </c>
      <c r="Q334" s="187">
        <f>IFERROR(VLOOKUP(E334,Tabela_Deflator:E$43,5,FALSE),1)</f>
        <v>1</v>
      </c>
      <c r="R334" s="188" t="str">
        <f t="shared" si="100"/>
        <v/>
      </c>
      <c r="S334" s="237" t="str">
        <f t="shared" si="90"/>
        <v/>
      </c>
      <c r="T334" s="237" t="str">
        <f t="shared" si="105"/>
        <v/>
      </c>
      <c r="U334" s="189"/>
      <c r="V334" s="167"/>
      <c r="W334" s="165"/>
      <c r="X334" s="164"/>
      <c r="Y334" s="164"/>
      <c r="Z334" s="164"/>
      <c r="AA334" s="174"/>
      <c r="AB334" s="164"/>
      <c r="AC334" s="174"/>
      <c r="AD334" s="184"/>
      <c r="AE334" s="190" t="str">
        <f t="shared" si="101"/>
        <v/>
      </c>
      <c r="AF334" s="190" t="str">
        <f t="shared" si="102"/>
        <v/>
      </c>
      <c r="AG334" s="190" t="str">
        <f t="shared" si="91"/>
        <v>D</v>
      </c>
      <c r="AH334" s="190">
        <f>IFERROR(VLOOKUP(Y334,SISP_Deflatores_e_INMs!B$4:F$49,3,FALSE),1)</f>
        <v>1</v>
      </c>
      <c r="AI334" s="190">
        <f>IFERROR(VLOOKUP(Y334,SISP_Deflatores_e_INMs!B$4:G$49,5,FALSE),1)</f>
        <v>1</v>
      </c>
      <c r="AJ334" s="191" t="str">
        <f t="shared" si="103"/>
        <v/>
      </c>
      <c r="AK334" s="237" t="str">
        <f t="shared" si="92"/>
        <v/>
      </c>
      <c r="AL334" s="237" t="str">
        <f t="shared" si="104"/>
        <v/>
      </c>
      <c r="AM334" s="192" t="e">
        <f t="shared" si="93"/>
        <v>#VALUE!</v>
      </c>
      <c r="AN334" s="193" t="e">
        <f t="shared" si="94"/>
        <v>#VALUE!</v>
      </c>
      <c r="AO334" s="193" t="e">
        <f t="shared" si="95"/>
        <v>#VALUE!</v>
      </c>
      <c r="AP334" s="193"/>
      <c r="AQ334" s="204"/>
      <c r="AR334" s="204"/>
      <c r="AS334" s="204"/>
      <c r="AT334" s="205"/>
      <c r="AU334"/>
    </row>
    <row r="335" spans="2:47" ht="15" customHeight="1" x14ac:dyDescent="0.25">
      <c r="B335" s="206"/>
      <c r="C335" s="185"/>
      <c r="D335" s="164"/>
      <c r="E335" s="174"/>
      <c r="F335" s="164"/>
      <c r="G335" s="174"/>
      <c r="H335" s="164"/>
      <c r="I335" s="174"/>
      <c r="J335" s="184"/>
      <c r="K335" s="186"/>
      <c r="L335" s="187" t="str">
        <f t="shared" si="96"/>
        <v/>
      </c>
      <c r="M335" s="187" t="str">
        <f t="shared" si="97"/>
        <v/>
      </c>
      <c r="N335" s="187" t="str">
        <f t="shared" si="89"/>
        <v>D</v>
      </c>
      <c r="O335" s="187" t="str">
        <f t="shared" si="98"/>
        <v>D</v>
      </c>
      <c r="P335" s="187">
        <f t="shared" si="99"/>
        <v>1</v>
      </c>
      <c r="Q335" s="187">
        <f>IFERROR(VLOOKUP(E335,Tabela_Deflator:E$43,5,FALSE),1)</f>
        <v>1</v>
      </c>
      <c r="R335" s="188" t="str">
        <f t="shared" si="100"/>
        <v/>
      </c>
      <c r="S335" s="237" t="str">
        <f t="shared" si="90"/>
        <v/>
      </c>
      <c r="T335" s="237" t="str">
        <f t="shared" si="105"/>
        <v/>
      </c>
      <c r="U335" s="189"/>
      <c r="V335" s="167"/>
      <c r="W335" s="165"/>
      <c r="X335" s="164"/>
      <c r="Y335" s="164"/>
      <c r="Z335" s="164"/>
      <c r="AA335" s="174"/>
      <c r="AB335" s="164"/>
      <c r="AC335" s="174"/>
      <c r="AD335" s="184"/>
      <c r="AE335" s="190" t="str">
        <f t="shared" si="101"/>
        <v/>
      </c>
      <c r="AF335" s="190" t="str">
        <f t="shared" si="102"/>
        <v/>
      </c>
      <c r="AG335" s="190" t="str">
        <f t="shared" si="91"/>
        <v>D</v>
      </c>
      <c r="AH335" s="190">
        <f>IFERROR(VLOOKUP(Y335,SISP_Deflatores_e_INMs!B$4:F$49,3,FALSE),1)</f>
        <v>1</v>
      </c>
      <c r="AI335" s="190">
        <f>IFERROR(VLOOKUP(Y335,SISP_Deflatores_e_INMs!B$4:G$49,5,FALSE),1)</f>
        <v>1</v>
      </c>
      <c r="AJ335" s="191" t="str">
        <f t="shared" si="103"/>
        <v/>
      </c>
      <c r="AK335" s="237" t="str">
        <f t="shared" si="92"/>
        <v/>
      </c>
      <c r="AL335" s="237" t="str">
        <f t="shared" si="104"/>
        <v/>
      </c>
      <c r="AM335" s="192" t="e">
        <f t="shared" si="93"/>
        <v>#VALUE!</v>
      </c>
      <c r="AN335" s="193" t="e">
        <f t="shared" si="94"/>
        <v>#VALUE!</v>
      </c>
      <c r="AO335" s="193" t="e">
        <f t="shared" si="95"/>
        <v>#VALUE!</v>
      </c>
      <c r="AP335" s="193"/>
      <c r="AQ335" s="204"/>
      <c r="AR335" s="204"/>
      <c r="AS335" s="204"/>
      <c r="AT335" s="205"/>
      <c r="AU335"/>
    </row>
    <row r="336" spans="2:47" ht="15" customHeight="1" x14ac:dyDescent="0.25">
      <c r="B336" s="206"/>
      <c r="C336" s="185"/>
      <c r="D336" s="164"/>
      <c r="E336" s="174"/>
      <c r="F336" s="164"/>
      <c r="G336" s="174"/>
      <c r="H336" s="164"/>
      <c r="I336" s="174"/>
      <c r="J336" s="184"/>
      <c r="K336" s="186"/>
      <c r="L336" s="187" t="str">
        <f t="shared" si="96"/>
        <v/>
      </c>
      <c r="M336" s="187" t="str">
        <f t="shared" si="97"/>
        <v/>
      </c>
      <c r="N336" s="187" t="str">
        <f t="shared" si="89"/>
        <v>D</v>
      </c>
      <c r="O336" s="187" t="str">
        <f t="shared" si="98"/>
        <v>D</v>
      </c>
      <c r="P336" s="187">
        <f t="shared" si="99"/>
        <v>1</v>
      </c>
      <c r="Q336" s="187">
        <f>IFERROR(VLOOKUP(E336,Tabela_Deflator:E$43,5,FALSE),1)</f>
        <v>1</v>
      </c>
      <c r="R336" s="188" t="str">
        <f t="shared" si="100"/>
        <v/>
      </c>
      <c r="S336" s="237" t="str">
        <f t="shared" si="90"/>
        <v/>
      </c>
      <c r="T336" s="237" t="str">
        <f t="shared" si="105"/>
        <v/>
      </c>
      <c r="U336" s="189"/>
      <c r="V336" s="167"/>
      <c r="W336" s="165"/>
      <c r="X336" s="164"/>
      <c r="Y336" s="164"/>
      <c r="Z336" s="164"/>
      <c r="AA336" s="174"/>
      <c r="AB336" s="164"/>
      <c r="AC336" s="174"/>
      <c r="AD336" s="184"/>
      <c r="AE336" s="190" t="str">
        <f t="shared" si="101"/>
        <v/>
      </c>
      <c r="AF336" s="190" t="str">
        <f t="shared" si="102"/>
        <v/>
      </c>
      <c r="AG336" s="190" t="str">
        <f t="shared" si="91"/>
        <v>D</v>
      </c>
      <c r="AH336" s="190">
        <f>IFERROR(VLOOKUP(Y336,SISP_Deflatores_e_INMs!B$4:F$49,3,FALSE),1)</f>
        <v>1</v>
      </c>
      <c r="AI336" s="190">
        <f>IFERROR(VLOOKUP(Y336,SISP_Deflatores_e_INMs!B$4:G$49,5,FALSE),1)</f>
        <v>1</v>
      </c>
      <c r="AJ336" s="191" t="str">
        <f t="shared" si="103"/>
        <v/>
      </c>
      <c r="AK336" s="237" t="str">
        <f t="shared" si="92"/>
        <v/>
      </c>
      <c r="AL336" s="237" t="str">
        <f t="shared" si="104"/>
        <v/>
      </c>
      <c r="AM336" s="192" t="e">
        <f t="shared" si="93"/>
        <v>#VALUE!</v>
      </c>
      <c r="AN336" s="193" t="e">
        <f t="shared" si="94"/>
        <v>#VALUE!</v>
      </c>
      <c r="AO336" s="193" t="e">
        <f t="shared" si="95"/>
        <v>#VALUE!</v>
      </c>
      <c r="AP336" s="193"/>
      <c r="AQ336" s="204"/>
      <c r="AR336" s="204"/>
      <c r="AS336" s="204"/>
      <c r="AT336" s="205"/>
      <c r="AU336"/>
    </row>
    <row r="337" spans="2:47" ht="15" customHeight="1" x14ac:dyDescent="0.25">
      <c r="B337" s="206"/>
      <c r="C337" s="185"/>
      <c r="D337" s="164"/>
      <c r="E337" s="174"/>
      <c r="F337" s="164"/>
      <c r="G337" s="174"/>
      <c r="H337" s="164"/>
      <c r="I337" s="174"/>
      <c r="J337" s="184"/>
      <c r="K337" s="186"/>
      <c r="L337" s="187" t="str">
        <f t="shared" si="96"/>
        <v/>
      </c>
      <c r="M337" s="187" t="str">
        <f t="shared" si="97"/>
        <v/>
      </c>
      <c r="N337" s="187" t="str">
        <f t="shared" si="89"/>
        <v>D</v>
      </c>
      <c r="O337" s="187" t="str">
        <f t="shared" si="98"/>
        <v>D</v>
      </c>
      <c r="P337" s="187">
        <f t="shared" si="99"/>
        <v>1</v>
      </c>
      <c r="Q337" s="187">
        <f>IFERROR(VLOOKUP(E337,Tabela_Deflator:E$43,5,FALSE),1)</f>
        <v>1</v>
      </c>
      <c r="R337" s="188" t="str">
        <f t="shared" si="100"/>
        <v/>
      </c>
      <c r="S337" s="237" t="str">
        <f t="shared" si="90"/>
        <v/>
      </c>
      <c r="T337" s="237" t="str">
        <f t="shared" si="105"/>
        <v/>
      </c>
      <c r="U337" s="189"/>
      <c r="V337" s="167"/>
      <c r="W337" s="165"/>
      <c r="X337" s="164"/>
      <c r="Y337" s="164"/>
      <c r="Z337" s="164"/>
      <c r="AA337" s="174"/>
      <c r="AB337" s="164"/>
      <c r="AC337" s="174"/>
      <c r="AD337" s="184"/>
      <c r="AE337" s="190" t="str">
        <f t="shared" si="101"/>
        <v/>
      </c>
      <c r="AF337" s="190" t="str">
        <f t="shared" si="102"/>
        <v/>
      </c>
      <c r="AG337" s="190" t="str">
        <f t="shared" si="91"/>
        <v>D</v>
      </c>
      <c r="AH337" s="190">
        <f>IFERROR(VLOOKUP(Y337,SISP_Deflatores_e_INMs!B$4:F$49,3,FALSE),1)</f>
        <v>1</v>
      </c>
      <c r="AI337" s="190">
        <f>IFERROR(VLOOKUP(Y337,SISP_Deflatores_e_INMs!B$4:G$49,5,FALSE),1)</f>
        <v>1</v>
      </c>
      <c r="AJ337" s="191" t="str">
        <f t="shared" si="103"/>
        <v/>
      </c>
      <c r="AK337" s="237" t="str">
        <f t="shared" si="92"/>
        <v/>
      </c>
      <c r="AL337" s="237" t="str">
        <f t="shared" si="104"/>
        <v/>
      </c>
      <c r="AM337" s="192" t="e">
        <f t="shared" si="93"/>
        <v>#VALUE!</v>
      </c>
      <c r="AN337" s="193" t="e">
        <f t="shared" si="94"/>
        <v>#VALUE!</v>
      </c>
      <c r="AO337" s="193" t="e">
        <f t="shared" si="95"/>
        <v>#VALUE!</v>
      </c>
      <c r="AP337" s="193"/>
      <c r="AQ337" s="204"/>
      <c r="AR337" s="204"/>
      <c r="AS337" s="204"/>
      <c r="AT337" s="205"/>
      <c r="AU337"/>
    </row>
    <row r="338" spans="2:47" ht="15" customHeight="1" x14ac:dyDescent="0.25">
      <c r="B338" s="206"/>
      <c r="C338" s="185"/>
      <c r="D338" s="164"/>
      <c r="E338" s="174"/>
      <c r="F338" s="164"/>
      <c r="G338" s="174"/>
      <c r="H338" s="164"/>
      <c r="I338" s="174"/>
      <c r="J338" s="184"/>
      <c r="K338" s="186"/>
      <c r="L338" s="187" t="str">
        <f t="shared" si="96"/>
        <v/>
      </c>
      <c r="M338" s="187" t="str">
        <f t="shared" si="97"/>
        <v/>
      </c>
      <c r="N338" s="187" t="str">
        <f t="shared" si="89"/>
        <v>D</v>
      </c>
      <c r="O338" s="187" t="str">
        <f t="shared" si="98"/>
        <v>D</v>
      </c>
      <c r="P338" s="187">
        <f t="shared" si="99"/>
        <v>1</v>
      </c>
      <c r="Q338" s="187">
        <f>IFERROR(VLOOKUP(E338,Tabela_Deflator:E$43,5,FALSE),1)</f>
        <v>1</v>
      </c>
      <c r="R338" s="188" t="str">
        <f t="shared" si="100"/>
        <v/>
      </c>
      <c r="S338" s="237" t="str">
        <f t="shared" si="90"/>
        <v/>
      </c>
      <c r="T338" s="237" t="str">
        <f t="shared" si="105"/>
        <v/>
      </c>
      <c r="U338" s="189"/>
      <c r="V338" s="167"/>
      <c r="W338" s="165"/>
      <c r="X338" s="164"/>
      <c r="Y338" s="164"/>
      <c r="Z338" s="164"/>
      <c r="AA338" s="174"/>
      <c r="AB338" s="164"/>
      <c r="AC338" s="174"/>
      <c r="AD338" s="184"/>
      <c r="AE338" s="190" t="str">
        <f t="shared" si="101"/>
        <v/>
      </c>
      <c r="AF338" s="190" t="str">
        <f t="shared" si="102"/>
        <v/>
      </c>
      <c r="AG338" s="190" t="str">
        <f t="shared" si="91"/>
        <v>D</v>
      </c>
      <c r="AH338" s="190">
        <f>IFERROR(VLOOKUP(Y338,SISP_Deflatores_e_INMs!B$4:F$49,3,FALSE),1)</f>
        <v>1</v>
      </c>
      <c r="AI338" s="190">
        <f>IFERROR(VLOOKUP(Y338,SISP_Deflatores_e_INMs!B$4:G$49,5,FALSE),1)</f>
        <v>1</v>
      </c>
      <c r="AJ338" s="191" t="str">
        <f t="shared" si="103"/>
        <v/>
      </c>
      <c r="AK338" s="237" t="str">
        <f t="shared" si="92"/>
        <v/>
      </c>
      <c r="AL338" s="237" t="str">
        <f t="shared" si="104"/>
        <v/>
      </c>
      <c r="AM338" s="192" t="e">
        <f t="shared" si="93"/>
        <v>#VALUE!</v>
      </c>
      <c r="AN338" s="193" t="e">
        <f t="shared" si="94"/>
        <v>#VALUE!</v>
      </c>
      <c r="AO338" s="193" t="e">
        <f t="shared" si="95"/>
        <v>#VALUE!</v>
      </c>
      <c r="AP338" s="193"/>
      <c r="AQ338" s="204"/>
      <c r="AR338" s="204"/>
      <c r="AS338" s="204"/>
      <c r="AT338" s="205"/>
      <c r="AU338"/>
    </row>
    <row r="339" spans="2:47" ht="15" customHeight="1" x14ac:dyDescent="0.25">
      <c r="B339" s="206"/>
      <c r="C339" s="185"/>
      <c r="D339" s="164"/>
      <c r="E339" s="174"/>
      <c r="F339" s="164"/>
      <c r="G339" s="174"/>
      <c r="H339" s="164"/>
      <c r="I339" s="174"/>
      <c r="J339" s="184"/>
      <c r="K339" s="186"/>
      <c r="L339" s="187" t="str">
        <f t="shared" si="96"/>
        <v/>
      </c>
      <c r="M339" s="187" t="str">
        <f t="shared" si="97"/>
        <v/>
      </c>
      <c r="N339" s="187" t="str">
        <f t="shared" si="89"/>
        <v>D</v>
      </c>
      <c r="O339" s="187" t="str">
        <f t="shared" si="98"/>
        <v>D</v>
      </c>
      <c r="P339" s="187">
        <f t="shared" si="99"/>
        <v>1</v>
      </c>
      <c r="Q339" s="187">
        <f>IFERROR(VLOOKUP(E339,Tabela_Deflator:E$43,5,FALSE),1)</f>
        <v>1</v>
      </c>
      <c r="R339" s="188" t="str">
        <f t="shared" si="100"/>
        <v/>
      </c>
      <c r="S339" s="237" t="str">
        <f t="shared" si="90"/>
        <v/>
      </c>
      <c r="T339" s="237" t="str">
        <f t="shared" si="105"/>
        <v/>
      </c>
      <c r="U339" s="189"/>
      <c r="V339" s="167"/>
      <c r="W339" s="165"/>
      <c r="X339" s="164"/>
      <c r="Y339" s="164"/>
      <c r="Z339" s="164"/>
      <c r="AA339" s="174"/>
      <c r="AB339" s="164"/>
      <c r="AC339" s="174"/>
      <c r="AD339" s="184"/>
      <c r="AE339" s="190" t="str">
        <f t="shared" si="101"/>
        <v/>
      </c>
      <c r="AF339" s="190" t="str">
        <f t="shared" si="102"/>
        <v/>
      </c>
      <c r="AG339" s="190" t="str">
        <f t="shared" si="91"/>
        <v>D</v>
      </c>
      <c r="AH339" s="190">
        <f>IFERROR(VLOOKUP(Y339,SISP_Deflatores_e_INMs!B$4:F$49,3,FALSE),1)</f>
        <v>1</v>
      </c>
      <c r="AI339" s="190">
        <f>IFERROR(VLOOKUP(Y339,SISP_Deflatores_e_INMs!B$4:G$49,5,FALSE),1)</f>
        <v>1</v>
      </c>
      <c r="AJ339" s="191" t="str">
        <f t="shared" si="103"/>
        <v/>
      </c>
      <c r="AK339" s="237" t="str">
        <f t="shared" si="92"/>
        <v/>
      </c>
      <c r="AL339" s="237" t="str">
        <f t="shared" si="104"/>
        <v/>
      </c>
      <c r="AM339" s="192" t="e">
        <f t="shared" si="93"/>
        <v>#VALUE!</v>
      </c>
      <c r="AN339" s="193" t="e">
        <f t="shared" si="94"/>
        <v>#VALUE!</v>
      </c>
      <c r="AO339" s="193" t="e">
        <f t="shared" si="95"/>
        <v>#VALUE!</v>
      </c>
      <c r="AP339" s="193"/>
      <c r="AQ339" s="204"/>
      <c r="AR339" s="204"/>
      <c r="AS339" s="204"/>
      <c r="AT339" s="205"/>
      <c r="AU339"/>
    </row>
    <row r="340" spans="2:47" ht="15" customHeight="1" x14ac:dyDescent="0.25">
      <c r="B340" s="206"/>
      <c r="C340" s="185"/>
      <c r="D340" s="164"/>
      <c r="E340" s="174"/>
      <c r="F340" s="164"/>
      <c r="G340" s="174"/>
      <c r="H340" s="164"/>
      <c r="I340" s="174"/>
      <c r="J340" s="184"/>
      <c r="K340" s="186"/>
      <c r="L340" s="187" t="str">
        <f t="shared" si="96"/>
        <v/>
      </c>
      <c r="M340" s="187" t="str">
        <f t="shared" si="97"/>
        <v/>
      </c>
      <c r="N340" s="187" t="str">
        <f t="shared" si="89"/>
        <v>D</v>
      </c>
      <c r="O340" s="187" t="str">
        <f t="shared" si="98"/>
        <v>D</v>
      </c>
      <c r="P340" s="187">
        <f t="shared" si="99"/>
        <v>1</v>
      </c>
      <c r="Q340" s="187">
        <f>IFERROR(VLOOKUP(E340,Tabela_Deflator:E$43,5,FALSE),1)</f>
        <v>1</v>
      </c>
      <c r="R340" s="188" t="str">
        <f t="shared" si="100"/>
        <v/>
      </c>
      <c r="S340" s="237" t="str">
        <f t="shared" si="90"/>
        <v/>
      </c>
      <c r="T340" s="237" t="str">
        <f t="shared" si="105"/>
        <v/>
      </c>
      <c r="U340" s="189"/>
      <c r="V340" s="167"/>
      <c r="W340" s="165"/>
      <c r="X340" s="164"/>
      <c r="Y340" s="164"/>
      <c r="Z340" s="164"/>
      <c r="AA340" s="174"/>
      <c r="AB340" s="164"/>
      <c r="AC340" s="174"/>
      <c r="AD340" s="184"/>
      <c r="AE340" s="190" t="str">
        <f t="shared" si="101"/>
        <v/>
      </c>
      <c r="AF340" s="190" t="str">
        <f t="shared" si="102"/>
        <v/>
      </c>
      <c r="AG340" s="190" t="str">
        <f t="shared" si="91"/>
        <v>D</v>
      </c>
      <c r="AH340" s="190">
        <f>IFERROR(VLOOKUP(Y340,SISP_Deflatores_e_INMs!B$4:F$49,3,FALSE),1)</f>
        <v>1</v>
      </c>
      <c r="AI340" s="190">
        <f>IFERROR(VLOOKUP(Y340,SISP_Deflatores_e_INMs!B$4:G$49,5,FALSE),1)</f>
        <v>1</v>
      </c>
      <c r="AJ340" s="191" t="str">
        <f t="shared" si="103"/>
        <v/>
      </c>
      <c r="AK340" s="237" t="str">
        <f t="shared" si="92"/>
        <v/>
      </c>
      <c r="AL340" s="237" t="str">
        <f t="shared" si="104"/>
        <v/>
      </c>
      <c r="AM340" s="192" t="e">
        <f t="shared" si="93"/>
        <v>#VALUE!</v>
      </c>
      <c r="AN340" s="193" t="e">
        <f t="shared" si="94"/>
        <v>#VALUE!</v>
      </c>
      <c r="AO340" s="193" t="e">
        <f t="shared" si="95"/>
        <v>#VALUE!</v>
      </c>
      <c r="AP340" s="193"/>
      <c r="AQ340" s="204"/>
      <c r="AR340" s="204"/>
      <c r="AS340" s="204"/>
      <c r="AT340" s="205"/>
      <c r="AU340"/>
    </row>
    <row r="341" spans="2:47" ht="15" customHeight="1" x14ac:dyDescent="0.25">
      <c r="B341" s="206"/>
      <c r="C341" s="185"/>
      <c r="D341" s="164"/>
      <c r="E341" s="174"/>
      <c r="F341" s="164"/>
      <c r="G341" s="174"/>
      <c r="H341" s="164"/>
      <c r="I341" s="174"/>
      <c r="J341" s="184"/>
      <c r="K341" s="186"/>
      <c r="L341" s="187" t="str">
        <f t="shared" si="96"/>
        <v/>
      </c>
      <c r="M341" s="187" t="str">
        <f t="shared" si="97"/>
        <v/>
      </c>
      <c r="N341" s="187" t="str">
        <f t="shared" si="89"/>
        <v>D</v>
      </c>
      <c r="O341" s="187" t="str">
        <f t="shared" si="98"/>
        <v>D</v>
      </c>
      <c r="P341" s="187">
        <f t="shared" si="99"/>
        <v>1</v>
      </c>
      <c r="Q341" s="187">
        <f>IFERROR(VLOOKUP(E341,Tabela_Deflator:E$43,5,FALSE),1)</f>
        <v>1</v>
      </c>
      <c r="R341" s="188" t="str">
        <f t="shared" si="100"/>
        <v/>
      </c>
      <c r="S341" s="237" t="str">
        <f t="shared" si="90"/>
        <v/>
      </c>
      <c r="T341" s="237" t="str">
        <f t="shared" si="105"/>
        <v/>
      </c>
      <c r="U341" s="189"/>
      <c r="V341" s="167"/>
      <c r="W341" s="165"/>
      <c r="X341" s="164"/>
      <c r="Y341" s="164"/>
      <c r="Z341" s="164"/>
      <c r="AA341" s="174"/>
      <c r="AB341" s="164"/>
      <c r="AC341" s="174"/>
      <c r="AD341" s="184"/>
      <c r="AE341" s="190" t="str">
        <f t="shared" si="101"/>
        <v/>
      </c>
      <c r="AF341" s="190" t="str">
        <f t="shared" si="102"/>
        <v/>
      </c>
      <c r="AG341" s="190" t="str">
        <f t="shared" si="91"/>
        <v>D</v>
      </c>
      <c r="AH341" s="190">
        <f>IFERROR(VLOOKUP(Y341,SISP_Deflatores_e_INMs!B$4:F$49,3,FALSE),1)</f>
        <v>1</v>
      </c>
      <c r="AI341" s="190">
        <f>IFERROR(VLOOKUP(Y341,SISP_Deflatores_e_INMs!B$4:G$49,5,FALSE),1)</f>
        <v>1</v>
      </c>
      <c r="AJ341" s="191" t="str">
        <f t="shared" si="103"/>
        <v/>
      </c>
      <c r="AK341" s="237" t="str">
        <f t="shared" si="92"/>
        <v/>
      </c>
      <c r="AL341" s="237" t="str">
        <f t="shared" si="104"/>
        <v/>
      </c>
      <c r="AM341" s="192" t="e">
        <f t="shared" si="93"/>
        <v>#VALUE!</v>
      </c>
      <c r="AN341" s="193" t="e">
        <f t="shared" si="94"/>
        <v>#VALUE!</v>
      </c>
      <c r="AO341" s="193" t="e">
        <f t="shared" si="95"/>
        <v>#VALUE!</v>
      </c>
      <c r="AP341" s="193"/>
      <c r="AQ341" s="204"/>
      <c r="AR341" s="204"/>
      <c r="AS341" s="204"/>
      <c r="AT341" s="205"/>
      <c r="AU341"/>
    </row>
    <row r="342" spans="2:47" ht="15" customHeight="1" x14ac:dyDescent="0.25">
      <c r="B342" s="206"/>
      <c r="C342" s="185"/>
      <c r="D342" s="164"/>
      <c r="E342" s="174"/>
      <c r="F342" s="164"/>
      <c r="G342" s="174"/>
      <c r="H342" s="164"/>
      <c r="I342" s="174"/>
      <c r="J342" s="184"/>
      <c r="K342" s="186"/>
      <c r="L342" s="187" t="str">
        <f t="shared" si="96"/>
        <v/>
      </c>
      <c r="M342" s="187" t="str">
        <f t="shared" si="97"/>
        <v/>
      </c>
      <c r="N342" s="187" t="str">
        <f t="shared" si="89"/>
        <v>D</v>
      </c>
      <c r="O342" s="187" t="str">
        <f t="shared" si="98"/>
        <v>D</v>
      </c>
      <c r="P342" s="187">
        <f t="shared" si="99"/>
        <v>1</v>
      </c>
      <c r="Q342" s="187">
        <f>IFERROR(VLOOKUP(E342,Tabela_Deflator:E$43,5,FALSE),1)</f>
        <v>1</v>
      </c>
      <c r="R342" s="188" t="str">
        <f t="shared" si="100"/>
        <v/>
      </c>
      <c r="S342" s="237" t="str">
        <f t="shared" si="90"/>
        <v/>
      </c>
      <c r="T342" s="237" t="str">
        <f t="shared" si="105"/>
        <v/>
      </c>
      <c r="U342" s="189"/>
      <c r="V342" s="167"/>
      <c r="W342" s="165"/>
      <c r="X342" s="164"/>
      <c r="Y342" s="164"/>
      <c r="Z342" s="164"/>
      <c r="AA342" s="174"/>
      <c r="AB342" s="164"/>
      <c r="AC342" s="174"/>
      <c r="AD342" s="184"/>
      <c r="AE342" s="190" t="str">
        <f t="shared" si="101"/>
        <v/>
      </c>
      <c r="AF342" s="190" t="str">
        <f t="shared" si="102"/>
        <v/>
      </c>
      <c r="AG342" s="190" t="str">
        <f t="shared" si="91"/>
        <v>D</v>
      </c>
      <c r="AH342" s="190">
        <f>IFERROR(VLOOKUP(Y342,SISP_Deflatores_e_INMs!B$4:F$49,3,FALSE),1)</f>
        <v>1</v>
      </c>
      <c r="AI342" s="190">
        <f>IFERROR(VLOOKUP(Y342,SISP_Deflatores_e_INMs!B$4:G$49,5,FALSE),1)</f>
        <v>1</v>
      </c>
      <c r="AJ342" s="191" t="str">
        <f t="shared" si="103"/>
        <v/>
      </c>
      <c r="AK342" s="237" t="str">
        <f t="shared" si="92"/>
        <v/>
      </c>
      <c r="AL342" s="237" t="str">
        <f t="shared" si="104"/>
        <v/>
      </c>
      <c r="AM342" s="192" t="e">
        <f t="shared" si="93"/>
        <v>#VALUE!</v>
      </c>
      <c r="AN342" s="193" t="e">
        <f t="shared" si="94"/>
        <v>#VALUE!</v>
      </c>
      <c r="AO342" s="193" t="e">
        <f t="shared" si="95"/>
        <v>#VALUE!</v>
      </c>
      <c r="AP342" s="193"/>
      <c r="AQ342" s="204"/>
      <c r="AR342" s="204"/>
      <c r="AS342" s="204"/>
      <c r="AT342" s="205"/>
      <c r="AU342"/>
    </row>
    <row r="343" spans="2:47" ht="15" customHeight="1" x14ac:dyDescent="0.25">
      <c r="B343" s="206"/>
      <c r="C343" s="185"/>
      <c r="D343" s="164"/>
      <c r="E343" s="174"/>
      <c r="F343" s="164"/>
      <c r="G343" s="174"/>
      <c r="H343" s="164"/>
      <c r="I343" s="174"/>
      <c r="J343" s="184"/>
      <c r="K343" s="186"/>
      <c r="L343" s="187" t="str">
        <f t="shared" si="96"/>
        <v/>
      </c>
      <c r="M343" s="187" t="str">
        <f t="shared" si="97"/>
        <v/>
      </c>
      <c r="N343" s="187" t="str">
        <f t="shared" si="89"/>
        <v>D</v>
      </c>
      <c r="O343" s="187" t="str">
        <f t="shared" si="98"/>
        <v>D</v>
      </c>
      <c r="P343" s="187">
        <f t="shared" si="99"/>
        <v>1</v>
      </c>
      <c r="Q343" s="187">
        <f>IFERROR(VLOOKUP(E343,Tabela_Deflator:E$43,5,FALSE),1)</f>
        <v>1</v>
      </c>
      <c r="R343" s="188" t="str">
        <f t="shared" si="100"/>
        <v/>
      </c>
      <c r="S343" s="237" t="str">
        <f t="shared" si="90"/>
        <v/>
      </c>
      <c r="T343" s="237" t="str">
        <f t="shared" si="105"/>
        <v/>
      </c>
      <c r="U343" s="189"/>
      <c r="V343" s="167"/>
      <c r="W343" s="165"/>
      <c r="X343" s="164"/>
      <c r="Y343" s="164"/>
      <c r="Z343" s="164"/>
      <c r="AA343" s="174"/>
      <c r="AB343" s="164"/>
      <c r="AC343" s="174"/>
      <c r="AD343" s="184"/>
      <c r="AE343" s="190" t="str">
        <f t="shared" si="101"/>
        <v/>
      </c>
      <c r="AF343" s="190" t="str">
        <f t="shared" si="102"/>
        <v/>
      </c>
      <c r="AG343" s="190" t="str">
        <f t="shared" si="91"/>
        <v>D</v>
      </c>
      <c r="AH343" s="190">
        <f>IFERROR(VLOOKUP(Y343,SISP_Deflatores_e_INMs!B$4:F$49,3,FALSE),1)</f>
        <v>1</v>
      </c>
      <c r="AI343" s="190">
        <f>IFERROR(VLOOKUP(Y343,SISP_Deflatores_e_INMs!B$4:G$49,5,FALSE),1)</f>
        <v>1</v>
      </c>
      <c r="AJ343" s="191" t="str">
        <f t="shared" si="103"/>
        <v/>
      </c>
      <c r="AK343" s="237" t="str">
        <f t="shared" si="92"/>
        <v/>
      </c>
      <c r="AL343" s="237" t="str">
        <f t="shared" si="104"/>
        <v/>
      </c>
      <c r="AM343" s="192" t="e">
        <f t="shared" si="93"/>
        <v>#VALUE!</v>
      </c>
      <c r="AN343" s="193" t="e">
        <f t="shared" si="94"/>
        <v>#VALUE!</v>
      </c>
      <c r="AO343" s="193" t="e">
        <f t="shared" si="95"/>
        <v>#VALUE!</v>
      </c>
      <c r="AP343" s="193"/>
      <c r="AQ343" s="204"/>
      <c r="AR343" s="204"/>
      <c r="AS343" s="204"/>
      <c r="AT343" s="205"/>
      <c r="AU343"/>
    </row>
    <row r="344" spans="2:47" ht="15" customHeight="1" x14ac:dyDescent="0.25">
      <c r="B344" s="206"/>
      <c r="C344" s="185"/>
      <c r="D344" s="164"/>
      <c r="E344" s="174"/>
      <c r="F344" s="164"/>
      <c r="G344" s="174"/>
      <c r="H344" s="164"/>
      <c r="I344" s="174"/>
      <c r="J344" s="184"/>
      <c r="K344" s="186"/>
      <c r="L344" s="187" t="str">
        <f t="shared" si="96"/>
        <v/>
      </c>
      <c r="M344" s="187" t="str">
        <f t="shared" si="97"/>
        <v/>
      </c>
      <c r="N344" s="187" t="str">
        <f t="shared" si="89"/>
        <v>D</v>
      </c>
      <c r="O344" s="187" t="str">
        <f t="shared" si="98"/>
        <v>D</v>
      </c>
      <c r="P344" s="187">
        <f t="shared" si="99"/>
        <v>1</v>
      </c>
      <c r="Q344" s="187">
        <f>IFERROR(VLOOKUP(E344,Tabela_Deflator:E$43,5,FALSE),1)</f>
        <v>1</v>
      </c>
      <c r="R344" s="188" t="str">
        <f t="shared" si="100"/>
        <v/>
      </c>
      <c r="S344" s="237" t="str">
        <f t="shared" si="90"/>
        <v/>
      </c>
      <c r="T344" s="237" t="str">
        <f t="shared" si="105"/>
        <v/>
      </c>
      <c r="U344" s="189"/>
      <c r="V344" s="167"/>
      <c r="W344" s="165"/>
      <c r="X344" s="164"/>
      <c r="Y344" s="164"/>
      <c r="Z344" s="164"/>
      <c r="AA344" s="174"/>
      <c r="AB344" s="164"/>
      <c r="AC344" s="174"/>
      <c r="AD344" s="184"/>
      <c r="AE344" s="190" t="str">
        <f t="shared" si="101"/>
        <v/>
      </c>
      <c r="AF344" s="190" t="str">
        <f t="shared" si="102"/>
        <v/>
      </c>
      <c r="AG344" s="190" t="str">
        <f t="shared" si="91"/>
        <v>D</v>
      </c>
      <c r="AH344" s="190">
        <f>IFERROR(VLOOKUP(Y344,SISP_Deflatores_e_INMs!B$4:F$49,3,FALSE),1)</f>
        <v>1</v>
      </c>
      <c r="AI344" s="190">
        <f>IFERROR(VLOOKUP(Y344,SISP_Deflatores_e_INMs!B$4:G$49,5,FALSE),1)</f>
        <v>1</v>
      </c>
      <c r="AJ344" s="191" t="str">
        <f t="shared" si="103"/>
        <v/>
      </c>
      <c r="AK344" s="237" t="str">
        <f t="shared" si="92"/>
        <v/>
      </c>
      <c r="AL344" s="237" t="str">
        <f t="shared" si="104"/>
        <v/>
      </c>
      <c r="AM344" s="192" t="e">
        <f t="shared" si="93"/>
        <v>#VALUE!</v>
      </c>
      <c r="AN344" s="193" t="e">
        <f t="shared" si="94"/>
        <v>#VALUE!</v>
      </c>
      <c r="AO344" s="193" t="e">
        <f t="shared" si="95"/>
        <v>#VALUE!</v>
      </c>
      <c r="AP344" s="193"/>
      <c r="AQ344" s="204"/>
      <c r="AR344" s="204"/>
      <c r="AS344" s="204"/>
      <c r="AT344" s="205"/>
      <c r="AU344"/>
    </row>
    <row r="345" spans="2:47" ht="15" customHeight="1" x14ac:dyDescent="0.25">
      <c r="B345" s="206"/>
      <c r="C345" s="185"/>
      <c r="D345" s="164"/>
      <c r="E345" s="174"/>
      <c r="F345" s="164"/>
      <c r="G345" s="174"/>
      <c r="H345" s="164"/>
      <c r="I345" s="174"/>
      <c r="J345" s="184"/>
      <c r="K345" s="186"/>
      <c r="L345" s="187" t="str">
        <f t="shared" si="96"/>
        <v/>
      </c>
      <c r="M345" s="187" t="str">
        <f t="shared" si="97"/>
        <v/>
      </c>
      <c r="N345" s="187" t="str">
        <f t="shared" si="89"/>
        <v>D</v>
      </c>
      <c r="O345" s="187" t="str">
        <f t="shared" si="98"/>
        <v>D</v>
      </c>
      <c r="P345" s="187">
        <f t="shared" si="99"/>
        <v>1</v>
      </c>
      <c r="Q345" s="187">
        <f>IFERROR(VLOOKUP(E345,Tabela_Deflator:E$43,5,FALSE),1)</f>
        <v>1</v>
      </c>
      <c r="R345" s="188" t="str">
        <f t="shared" si="100"/>
        <v/>
      </c>
      <c r="S345" s="237" t="str">
        <f t="shared" si="90"/>
        <v/>
      </c>
      <c r="T345" s="237" t="str">
        <f t="shared" si="105"/>
        <v/>
      </c>
      <c r="U345" s="189"/>
      <c r="V345" s="167"/>
      <c r="W345" s="165"/>
      <c r="X345" s="164"/>
      <c r="Y345" s="164"/>
      <c r="Z345" s="164"/>
      <c r="AA345" s="174"/>
      <c r="AB345" s="164"/>
      <c r="AC345" s="174"/>
      <c r="AD345" s="184"/>
      <c r="AE345" s="190" t="str">
        <f t="shared" si="101"/>
        <v/>
      </c>
      <c r="AF345" s="190" t="str">
        <f t="shared" si="102"/>
        <v/>
      </c>
      <c r="AG345" s="190" t="str">
        <f t="shared" si="91"/>
        <v>D</v>
      </c>
      <c r="AH345" s="190">
        <f>IFERROR(VLOOKUP(Y345,SISP_Deflatores_e_INMs!B$4:F$49,3,FALSE),1)</f>
        <v>1</v>
      </c>
      <c r="AI345" s="190">
        <f>IFERROR(VLOOKUP(Y345,SISP_Deflatores_e_INMs!B$4:G$49,5,FALSE),1)</f>
        <v>1</v>
      </c>
      <c r="AJ345" s="191" t="str">
        <f t="shared" si="103"/>
        <v/>
      </c>
      <c r="AK345" s="237" t="str">
        <f t="shared" si="92"/>
        <v/>
      </c>
      <c r="AL345" s="237" t="str">
        <f t="shared" si="104"/>
        <v/>
      </c>
      <c r="AM345" s="192" t="e">
        <f t="shared" si="93"/>
        <v>#VALUE!</v>
      </c>
      <c r="AN345" s="193" t="e">
        <f t="shared" si="94"/>
        <v>#VALUE!</v>
      </c>
      <c r="AO345" s="193" t="e">
        <f t="shared" si="95"/>
        <v>#VALUE!</v>
      </c>
      <c r="AP345" s="193"/>
      <c r="AQ345" s="204"/>
      <c r="AR345" s="204"/>
      <c r="AS345" s="204"/>
      <c r="AT345" s="205"/>
      <c r="AU345"/>
    </row>
    <row r="346" spans="2:47" ht="15" customHeight="1" x14ac:dyDescent="0.25">
      <c r="B346" s="206"/>
      <c r="C346" s="185"/>
      <c r="D346" s="164"/>
      <c r="E346" s="174"/>
      <c r="F346" s="164"/>
      <c r="G346" s="174"/>
      <c r="H346" s="164"/>
      <c r="I346" s="174"/>
      <c r="J346" s="184"/>
      <c r="K346" s="186"/>
      <c r="L346" s="187" t="str">
        <f t="shared" si="96"/>
        <v/>
      </c>
      <c r="M346" s="187" t="str">
        <f t="shared" si="97"/>
        <v/>
      </c>
      <c r="N346" s="187" t="str">
        <f t="shared" si="89"/>
        <v>D</v>
      </c>
      <c r="O346" s="187" t="str">
        <f t="shared" si="98"/>
        <v>D</v>
      </c>
      <c r="P346" s="187">
        <f t="shared" si="99"/>
        <v>1</v>
      </c>
      <c r="Q346" s="187">
        <f>IFERROR(VLOOKUP(E346,Tabela_Deflator:E$43,5,FALSE),1)</f>
        <v>1</v>
      </c>
      <c r="R346" s="188" t="str">
        <f t="shared" si="100"/>
        <v/>
      </c>
      <c r="S346" s="237" t="str">
        <f t="shared" si="90"/>
        <v/>
      </c>
      <c r="T346" s="237" t="str">
        <f t="shared" si="105"/>
        <v/>
      </c>
      <c r="U346" s="189"/>
      <c r="V346" s="167"/>
      <c r="W346" s="165"/>
      <c r="X346" s="164"/>
      <c r="Y346" s="164"/>
      <c r="Z346" s="164"/>
      <c r="AA346" s="174"/>
      <c r="AB346" s="164"/>
      <c r="AC346" s="174"/>
      <c r="AD346" s="184"/>
      <c r="AE346" s="190" t="str">
        <f t="shared" si="101"/>
        <v/>
      </c>
      <c r="AF346" s="190" t="str">
        <f t="shared" si="102"/>
        <v/>
      </c>
      <c r="AG346" s="190" t="str">
        <f t="shared" si="91"/>
        <v>D</v>
      </c>
      <c r="AH346" s="190">
        <f>IFERROR(VLOOKUP(Y346,SISP_Deflatores_e_INMs!B$4:F$49,3,FALSE),1)</f>
        <v>1</v>
      </c>
      <c r="AI346" s="190">
        <f>IFERROR(VLOOKUP(Y346,SISP_Deflatores_e_INMs!B$4:G$49,5,FALSE),1)</f>
        <v>1</v>
      </c>
      <c r="AJ346" s="191" t="str">
        <f t="shared" si="103"/>
        <v/>
      </c>
      <c r="AK346" s="237" t="str">
        <f t="shared" si="92"/>
        <v/>
      </c>
      <c r="AL346" s="237" t="str">
        <f t="shared" si="104"/>
        <v/>
      </c>
      <c r="AM346" s="192" t="e">
        <f t="shared" si="93"/>
        <v>#VALUE!</v>
      </c>
      <c r="AN346" s="193" t="e">
        <f t="shared" si="94"/>
        <v>#VALUE!</v>
      </c>
      <c r="AO346" s="193" t="e">
        <f t="shared" si="95"/>
        <v>#VALUE!</v>
      </c>
      <c r="AP346" s="193"/>
      <c r="AQ346" s="204"/>
      <c r="AR346" s="204"/>
      <c r="AS346" s="204"/>
      <c r="AT346" s="205"/>
      <c r="AU346"/>
    </row>
    <row r="347" spans="2:47" ht="15" customHeight="1" x14ac:dyDescent="0.25">
      <c r="B347" s="206"/>
      <c r="C347" s="185"/>
      <c r="D347" s="164"/>
      <c r="E347" s="174"/>
      <c r="F347" s="164"/>
      <c r="G347" s="174"/>
      <c r="H347" s="164"/>
      <c r="I347" s="174"/>
      <c r="J347" s="184"/>
      <c r="K347" s="186"/>
      <c r="L347" s="187" t="str">
        <f t="shared" si="96"/>
        <v/>
      </c>
      <c r="M347" s="187" t="str">
        <f t="shared" si="97"/>
        <v/>
      </c>
      <c r="N347" s="187" t="str">
        <f t="shared" si="89"/>
        <v>D</v>
      </c>
      <c r="O347" s="187" t="str">
        <f t="shared" si="98"/>
        <v>D</v>
      </c>
      <c r="P347" s="187">
        <f t="shared" si="99"/>
        <v>1</v>
      </c>
      <c r="Q347" s="187">
        <f>IFERROR(VLOOKUP(E347,Tabela_Deflator:E$43,5,FALSE),1)</f>
        <v>1</v>
      </c>
      <c r="R347" s="188" t="str">
        <f t="shared" si="100"/>
        <v/>
      </c>
      <c r="S347" s="237" t="str">
        <f t="shared" si="90"/>
        <v/>
      </c>
      <c r="T347" s="237" t="str">
        <f t="shared" si="105"/>
        <v/>
      </c>
      <c r="U347" s="189"/>
      <c r="V347" s="167"/>
      <c r="W347" s="165"/>
      <c r="X347" s="164"/>
      <c r="Y347" s="164"/>
      <c r="Z347" s="164"/>
      <c r="AA347" s="174"/>
      <c r="AB347" s="164"/>
      <c r="AC347" s="174"/>
      <c r="AD347" s="184"/>
      <c r="AE347" s="190" t="str">
        <f t="shared" si="101"/>
        <v/>
      </c>
      <c r="AF347" s="190" t="str">
        <f t="shared" si="102"/>
        <v/>
      </c>
      <c r="AG347" s="190" t="str">
        <f t="shared" si="91"/>
        <v>D</v>
      </c>
      <c r="AH347" s="190">
        <f>IFERROR(VLOOKUP(Y347,SISP_Deflatores_e_INMs!B$4:F$49,3,FALSE),1)</f>
        <v>1</v>
      </c>
      <c r="AI347" s="190">
        <f>IFERROR(VLOOKUP(Y347,SISP_Deflatores_e_INMs!B$4:G$49,5,FALSE),1)</f>
        <v>1</v>
      </c>
      <c r="AJ347" s="191" t="str">
        <f t="shared" si="103"/>
        <v/>
      </c>
      <c r="AK347" s="237" t="str">
        <f t="shared" si="92"/>
        <v/>
      </c>
      <c r="AL347" s="237" t="str">
        <f t="shared" si="104"/>
        <v/>
      </c>
      <c r="AM347" s="192" t="e">
        <f t="shared" si="93"/>
        <v>#VALUE!</v>
      </c>
      <c r="AN347" s="193" t="e">
        <f t="shared" si="94"/>
        <v>#VALUE!</v>
      </c>
      <c r="AO347" s="193" t="e">
        <f t="shared" si="95"/>
        <v>#VALUE!</v>
      </c>
      <c r="AP347" s="193"/>
      <c r="AQ347" s="204"/>
      <c r="AR347" s="204"/>
      <c r="AS347" s="204"/>
      <c r="AT347" s="205"/>
      <c r="AU347"/>
    </row>
    <row r="348" spans="2:47" ht="15" customHeight="1" x14ac:dyDescent="0.25">
      <c r="B348" s="206"/>
      <c r="C348" s="185"/>
      <c r="D348" s="164"/>
      <c r="E348" s="174"/>
      <c r="F348" s="164"/>
      <c r="G348" s="174"/>
      <c r="H348" s="164"/>
      <c r="I348" s="174"/>
      <c r="J348" s="184"/>
      <c r="K348" s="186"/>
      <c r="L348" s="187" t="str">
        <f t="shared" si="96"/>
        <v/>
      </c>
      <c r="M348" s="187" t="str">
        <f t="shared" si="97"/>
        <v/>
      </c>
      <c r="N348" s="187" t="str">
        <f t="shared" si="89"/>
        <v>D</v>
      </c>
      <c r="O348" s="187" t="str">
        <f t="shared" si="98"/>
        <v>D</v>
      </c>
      <c r="P348" s="187">
        <f t="shared" si="99"/>
        <v>1</v>
      </c>
      <c r="Q348" s="187">
        <f>IFERROR(VLOOKUP(E348,Tabela_Deflator:E$43,5,FALSE),1)</f>
        <v>1</v>
      </c>
      <c r="R348" s="188" t="str">
        <f t="shared" si="100"/>
        <v/>
      </c>
      <c r="S348" s="237" t="str">
        <f t="shared" si="90"/>
        <v/>
      </c>
      <c r="T348" s="237" t="str">
        <f t="shared" si="105"/>
        <v/>
      </c>
      <c r="U348" s="189"/>
      <c r="V348" s="167"/>
      <c r="W348" s="165"/>
      <c r="X348" s="164"/>
      <c r="Y348" s="164"/>
      <c r="Z348" s="164"/>
      <c r="AA348" s="174"/>
      <c r="AB348" s="164"/>
      <c r="AC348" s="174"/>
      <c r="AD348" s="184"/>
      <c r="AE348" s="190" t="str">
        <f t="shared" si="101"/>
        <v/>
      </c>
      <c r="AF348" s="190" t="str">
        <f t="shared" si="102"/>
        <v/>
      </c>
      <c r="AG348" s="190" t="str">
        <f t="shared" si="91"/>
        <v>D</v>
      </c>
      <c r="AH348" s="190">
        <f>IFERROR(VLOOKUP(Y348,SISP_Deflatores_e_INMs!B$4:F$49,3,FALSE),1)</f>
        <v>1</v>
      </c>
      <c r="AI348" s="190">
        <f>IFERROR(VLOOKUP(Y348,SISP_Deflatores_e_INMs!B$4:G$49,5,FALSE),1)</f>
        <v>1</v>
      </c>
      <c r="AJ348" s="191" t="str">
        <f t="shared" si="103"/>
        <v/>
      </c>
      <c r="AK348" s="237" t="str">
        <f t="shared" si="92"/>
        <v/>
      </c>
      <c r="AL348" s="237" t="str">
        <f t="shared" si="104"/>
        <v/>
      </c>
      <c r="AM348" s="192" t="e">
        <f t="shared" si="93"/>
        <v>#VALUE!</v>
      </c>
      <c r="AN348" s="193" t="e">
        <f t="shared" si="94"/>
        <v>#VALUE!</v>
      </c>
      <c r="AO348" s="193" t="e">
        <f t="shared" si="95"/>
        <v>#VALUE!</v>
      </c>
      <c r="AP348" s="193"/>
      <c r="AQ348" s="204"/>
      <c r="AR348" s="204"/>
      <c r="AS348" s="204"/>
      <c r="AT348" s="205"/>
      <c r="AU348"/>
    </row>
    <row r="349" spans="2:47" ht="15" customHeight="1" x14ac:dyDescent="0.25">
      <c r="B349" s="206"/>
      <c r="C349" s="185"/>
      <c r="D349" s="164"/>
      <c r="E349" s="174"/>
      <c r="F349" s="164"/>
      <c r="G349" s="174"/>
      <c r="H349" s="164"/>
      <c r="I349" s="174"/>
      <c r="J349" s="184"/>
      <c r="K349" s="186"/>
      <c r="L349" s="187" t="str">
        <f t="shared" si="96"/>
        <v/>
      </c>
      <c r="M349" s="187" t="str">
        <f t="shared" si="97"/>
        <v/>
      </c>
      <c r="N349" s="187" t="str">
        <f t="shared" si="89"/>
        <v>D</v>
      </c>
      <c r="O349" s="187" t="str">
        <f t="shared" si="98"/>
        <v>D</v>
      </c>
      <c r="P349" s="187">
        <f t="shared" si="99"/>
        <v>1</v>
      </c>
      <c r="Q349" s="187">
        <f>IFERROR(VLOOKUP(E349,Tabela_Deflator:E$43,5,FALSE),1)</f>
        <v>1</v>
      </c>
      <c r="R349" s="188" t="str">
        <f t="shared" si="100"/>
        <v/>
      </c>
      <c r="S349" s="237" t="str">
        <f t="shared" si="90"/>
        <v/>
      </c>
      <c r="T349" s="237" t="str">
        <f t="shared" si="105"/>
        <v/>
      </c>
      <c r="U349" s="189"/>
      <c r="V349" s="167"/>
      <c r="W349" s="165"/>
      <c r="X349" s="164"/>
      <c r="Y349" s="164"/>
      <c r="Z349" s="164"/>
      <c r="AA349" s="174"/>
      <c r="AB349" s="164"/>
      <c r="AC349" s="174"/>
      <c r="AD349" s="184"/>
      <c r="AE349" s="190" t="str">
        <f t="shared" si="101"/>
        <v/>
      </c>
      <c r="AF349" s="190" t="str">
        <f t="shared" si="102"/>
        <v/>
      </c>
      <c r="AG349" s="190" t="str">
        <f t="shared" si="91"/>
        <v>D</v>
      </c>
      <c r="AH349" s="190">
        <f>IFERROR(VLOOKUP(Y349,SISP_Deflatores_e_INMs!B$4:F$49,3,FALSE),1)</f>
        <v>1</v>
      </c>
      <c r="AI349" s="190">
        <f>IFERROR(VLOOKUP(Y349,SISP_Deflatores_e_INMs!B$4:G$49,5,FALSE),1)</f>
        <v>1</v>
      </c>
      <c r="AJ349" s="191" t="str">
        <f t="shared" si="103"/>
        <v/>
      </c>
      <c r="AK349" s="237" t="str">
        <f t="shared" si="92"/>
        <v/>
      </c>
      <c r="AL349" s="237" t="str">
        <f t="shared" si="104"/>
        <v/>
      </c>
      <c r="AM349" s="192" t="e">
        <f t="shared" si="93"/>
        <v>#VALUE!</v>
      </c>
      <c r="AN349" s="193" t="e">
        <f t="shared" si="94"/>
        <v>#VALUE!</v>
      </c>
      <c r="AO349" s="193" t="e">
        <f t="shared" si="95"/>
        <v>#VALUE!</v>
      </c>
      <c r="AP349" s="193"/>
      <c r="AQ349" s="204"/>
      <c r="AR349" s="204"/>
      <c r="AS349" s="204"/>
      <c r="AT349" s="205"/>
      <c r="AU349"/>
    </row>
    <row r="350" spans="2:47" ht="15" customHeight="1" x14ac:dyDescent="0.25">
      <c r="B350" s="206"/>
      <c r="C350" s="185"/>
      <c r="D350" s="164"/>
      <c r="E350" s="174"/>
      <c r="F350" s="164"/>
      <c r="G350" s="174"/>
      <c r="H350" s="164"/>
      <c r="I350" s="174"/>
      <c r="J350" s="184"/>
      <c r="K350" s="186"/>
      <c r="L350" s="187" t="str">
        <f t="shared" si="96"/>
        <v/>
      </c>
      <c r="M350" s="187" t="str">
        <f t="shared" si="97"/>
        <v/>
      </c>
      <c r="N350" s="187" t="str">
        <f t="shared" si="89"/>
        <v>D</v>
      </c>
      <c r="O350" s="187" t="str">
        <f t="shared" si="98"/>
        <v>D</v>
      </c>
      <c r="P350" s="187">
        <f t="shared" si="99"/>
        <v>1</v>
      </c>
      <c r="Q350" s="187">
        <f>IFERROR(VLOOKUP(E350,Tabela_Deflator:E$43,5,FALSE),1)</f>
        <v>1</v>
      </c>
      <c r="R350" s="188" t="str">
        <f t="shared" si="100"/>
        <v/>
      </c>
      <c r="S350" s="237" t="str">
        <f t="shared" si="90"/>
        <v/>
      </c>
      <c r="T350" s="237" t="str">
        <f t="shared" si="105"/>
        <v/>
      </c>
      <c r="U350" s="189"/>
      <c r="V350" s="167"/>
      <c r="W350" s="165"/>
      <c r="X350" s="164"/>
      <c r="Y350" s="164"/>
      <c r="Z350" s="164"/>
      <c r="AA350" s="174"/>
      <c r="AB350" s="164"/>
      <c r="AC350" s="174"/>
      <c r="AD350" s="184"/>
      <c r="AE350" s="190" t="str">
        <f t="shared" si="101"/>
        <v/>
      </c>
      <c r="AF350" s="190" t="str">
        <f t="shared" si="102"/>
        <v/>
      </c>
      <c r="AG350" s="190" t="str">
        <f t="shared" si="91"/>
        <v>D</v>
      </c>
      <c r="AH350" s="190">
        <f>IFERROR(VLOOKUP(Y350,SISP_Deflatores_e_INMs!B$4:F$49,3,FALSE),1)</f>
        <v>1</v>
      </c>
      <c r="AI350" s="190">
        <f>IFERROR(VLOOKUP(Y350,SISP_Deflatores_e_INMs!B$4:G$49,5,FALSE),1)</f>
        <v>1</v>
      </c>
      <c r="AJ350" s="191" t="str">
        <f t="shared" si="103"/>
        <v/>
      </c>
      <c r="AK350" s="237" t="str">
        <f t="shared" si="92"/>
        <v/>
      </c>
      <c r="AL350" s="237" t="str">
        <f t="shared" si="104"/>
        <v/>
      </c>
      <c r="AM350" s="192" t="e">
        <f t="shared" si="93"/>
        <v>#VALUE!</v>
      </c>
      <c r="AN350" s="193" t="e">
        <f t="shared" si="94"/>
        <v>#VALUE!</v>
      </c>
      <c r="AO350" s="193" t="e">
        <f t="shared" si="95"/>
        <v>#VALUE!</v>
      </c>
      <c r="AP350" s="193"/>
      <c r="AQ350" s="204"/>
      <c r="AR350" s="204"/>
      <c r="AS350" s="204"/>
      <c r="AT350" s="205"/>
      <c r="AU350"/>
    </row>
    <row r="351" spans="2:47" ht="15" customHeight="1" x14ac:dyDescent="0.25">
      <c r="B351" s="206"/>
      <c r="C351" s="185"/>
      <c r="D351" s="164"/>
      <c r="E351" s="174"/>
      <c r="F351" s="164"/>
      <c r="G351" s="174"/>
      <c r="H351" s="164"/>
      <c r="I351" s="174"/>
      <c r="J351" s="184"/>
      <c r="K351" s="186"/>
      <c r="L351" s="187" t="str">
        <f t="shared" si="96"/>
        <v/>
      </c>
      <c r="M351" s="187" t="str">
        <f t="shared" si="97"/>
        <v/>
      </c>
      <c r="N351" s="187" t="str">
        <f t="shared" si="89"/>
        <v>D</v>
      </c>
      <c r="O351" s="187" t="str">
        <f t="shared" si="98"/>
        <v>D</v>
      </c>
      <c r="P351" s="187">
        <f t="shared" si="99"/>
        <v>1</v>
      </c>
      <c r="Q351" s="187">
        <f>IFERROR(VLOOKUP(E351,Tabela_Deflator:E$43,5,FALSE),1)</f>
        <v>1</v>
      </c>
      <c r="R351" s="188" t="str">
        <f t="shared" si="100"/>
        <v/>
      </c>
      <c r="S351" s="237" t="str">
        <f t="shared" si="90"/>
        <v/>
      </c>
      <c r="T351" s="237" t="str">
        <f t="shared" si="105"/>
        <v/>
      </c>
      <c r="U351" s="189"/>
      <c r="V351" s="167"/>
      <c r="W351" s="165"/>
      <c r="X351" s="164"/>
      <c r="Y351" s="164"/>
      <c r="Z351" s="164"/>
      <c r="AA351" s="174"/>
      <c r="AB351" s="164"/>
      <c r="AC351" s="174"/>
      <c r="AD351" s="184"/>
      <c r="AE351" s="190" t="str">
        <f t="shared" si="101"/>
        <v/>
      </c>
      <c r="AF351" s="190" t="str">
        <f t="shared" si="102"/>
        <v/>
      </c>
      <c r="AG351" s="190" t="str">
        <f t="shared" si="91"/>
        <v>D</v>
      </c>
      <c r="AH351" s="190">
        <f>IFERROR(VLOOKUP(Y351,SISP_Deflatores_e_INMs!B$4:F$49,3,FALSE),1)</f>
        <v>1</v>
      </c>
      <c r="AI351" s="190">
        <f>IFERROR(VLOOKUP(Y351,SISP_Deflatores_e_INMs!B$4:G$49,5,FALSE),1)</f>
        <v>1</v>
      </c>
      <c r="AJ351" s="191" t="str">
        <f t="shared" si="103"/>
        <v/>
      </c>
      <c r="AK351" s="237" t="str">
        <f t="shared" si="92"/>
        <v/>
      </c>
      <c r="AL351" s="237" t="str">
        <f t="shared" si="104"/>
        <v/>
      </c>
      <c r="AM351" s="192" t="e">
        <f t="shared" si="93"/>
        <v>#VALUE!</v>
      </c>
      <c r="AN351" s="193" t="e">
        <f t="shared" si="94"/>
        <v>#VALUE!</v>
      </c>
      <c r="AO351" s="193" t="e">
        <f t="shared" si="95"/>
        <v>#VALUE!</v>
      </c>
      <c r="AP351" s="193"/>
      <c r="AQ351" s="204"/>
      <c r="AR351" s="204"/>
      <c r="AS351" s="204"/>
      <c r="AT351" s="205"/>
      <c r="AU351"/>
    </row>
    <row r="352" spans="2:47" ht="15" customHeight="1" x14ac:dyDescent="0.25">
      <c r="B352" s="206"/>
      <c r="C352" s="185"/>
      <c r="D352" s="164"/>
      <c r="E352" s="174"/>
      <c r="F352" s="164"/>
      <c r="G352" s="174"/>
      <c r="H352" s="164"/>
      <c r="I352" s="174"/>
      <c r="J352" s="184"/>
      <c r="K352" s="186"/>
      <c r="L352" s="187" t="str">
        <f t="shared" si="96"/>
        <v/>
      </c>
      <c r="M352" s="187" t="str">
        <f t="shared" si="97"/>
        <v/>
      </c>
      <c r="N352" s="187" t="str">
        <f t="shared" si="89"/>
        <v>D</v>
      </c>
      <c r="O352" s="187" t="str">
        <f t="shared" si="98"/>
        <v>D</v>
      </c>
      <c r="P352" s="187">
        <f t="shared" si="99"/>
        <v>1</v>
      </c>
      <c r="Q352" s="187">
        <f>IFERROR(VLOOKUP(E352,Tabela_Deflator:E$43,5,FALSE),1)</f>
        <v>1</v>
      </c>
      <c r="R352" s="188" t="str">
        <f t="shared" si="100"/>
        <v/>
      </c>
      <c r="S352" s="237" t="str">
        <f t="shared" si="90"/>
        <v/>
      </c>
      <c r="T352" s="237" t="str">
        <f t="shared" si="105"/>
        <v/>
      </c>
      <c r="U352" s="189"/>
      <c r="V352" s="167"/>
      <c r="W352" s="165"/>
      <c r="X352" s="164"/>
      <c r="Y352" s="164"/>
      <c r="Z352" s="164"/>
      <c r="AA352" s="174"/>
      <c r="AB352" s="164"/>
      <c r="AC352" s="174"/>
      <c r="AD352" s="184"/>
      <c r="AE352" s="190" t="str">
        <f t="shared" si="101"/>
        <v/>
      </c>
      <c r="AF352" s="190" t="str">
        <f t="shared" si="102"/>
        <v/>
      </c>
      <c r="AG352" s="190" t="str">
        <f t="shared" si="91"/>
        <v>D</v>
      </c>
      <c r="AH352" s="190">
        <f>IFERROR(VLOOKUP(Y352,SISP_Deflatores_e_INMs!B$4:F$49,3,FALSE),1)</f>
        <v>1</v>
      </c>
      <c r="AI352" s="190">
        <f>IFERROR(VLOOKUP(Y352,SISP_Deflatores_e_INMs!B$4:G$49,5,FALSE),1)</f>
        <v>1</v>
      </c>
      <c r="AJ352" s="191" t="str">
        <f t="shared" si="103"/>
        <v/>
      </c>
      <c r="AK352" s="237" t="str">
        <f t="shared" si="92"/>
        <v/>
      </c>
      <c r="AL352" s="237" t="str">
        <f t="shared" si="104"/>
        <v/>
      </c>
      <c r="AM352" s="192" t="e">
        <f t="shared" si="93"/>
        <v>#VALUE!</v>
      </c>
      <c r="AN352" s="193" t="e">
        <f t="shared" si="94"/>
        <v>#VALUE!</v>
      </c>
      <c r="AO352" s="193" t="e">
        <f t="shared" si="95"/>
        <v>#VALUE!</v>
      </c>
      <c r="AP352" s="193"/>
      <c r="AQ352" s="204"/>
      <c r="AR352" s="204"/>
      <c r="AS352" s="204"/>
      <c r="AT352" s="205"/>
      <c r="AU352"/>
    </row>
    <row r="353" spans="2:47" ht="15" customHeight="1" x14ac:dyDescent="0.25">
      <c r="B353" s="206"/>
      <c r="C353" s="185"/>
      <c r="D353" s="164"/>
      <c r="E353" s="174"/>
      <c r="F353" s="164"/>
      <c r="G353" s="174"/>
      <c r="H353" s="164"/>
      <c r="I353" s="174"/>
      <c r="J353" s="184"/>
      <c r="K353" s="186"/>
      <c r="L353" s="187" t="str">
        <f t="shared" si="96"/>
        <v/>
      </c>
      <c r="M353" s="187" t="str">
        <f t="shared" si="97"/>
        <v/>
      </c>
      <c r="N353" s="187" t="str">
        <f t="shared" si="89"/>
        <v>D</v>
      </c>
      <c r="O353" s="187" t="str">
        <f t="shared" si="98"/>
        <v>D</v>
      </c>
      <c r="P353" s="187">
        <f t="shared" si="99"/>
        <v>1</v>
      </c>
      <c r="Q353" s="187">
        <f>IFERROR(VLOOKUP(E353,Tabela_Deflator:E$43,5,FALSE),1)</f>
        <v>1</v>
      </c>
      <c r="R353" s="188" t="str">
        <f t="shared" si="100"/>
        <v/>
      </c>
      <c r="S353" s="237" t="str">
        <f t="shared" si="90"/>
        <v/>
      </c>
      <c r="T353" s="237" t="str">
        <f t="shared" si="105"/>
        <v/>
      </c>
      <c r="U353" s="189"/>
      <c r="V353" s="167"/>
      <c r="W353" s="165"/>
      <c r="X353" s="164"/>
      <c r="Y353" s="164"/>
      <c r="Z353" s="164"/>
      <c r="AA353" s="174"/>
      <c r="AB353" s="164"/>
      <c r="AC353" s="174"/>
      <c r="AD353" s="184"/>
      <c r="AE353" s="190" t="str">
        <f t="shared" si="101"/>
        <v/>
      </c>
      <c r="AF353" s="190" t="str">
        <f t="shared" si="102"/>
        <v/>
      </c>
      <c r="AG353" s="190" t="str">
        <f t="shared" si="91"/>
        <v>D</v>
      </c>
      <c r="AH353" s="190">
        <f>IFERROR(VLOOKUP(Y353,SISP_Deflatores_e_INMs!B$4:F$49,3,FALSE),1)</f>
        <v>1</v>
      </c>
      <c r="AI353" s="190">
        <f>IFERROR(VLOOKUP(Y353,SISP_Deflatores_e_INMs!B$4:G$49,5,FALSE),1)</f>
        <v>1</v>
      </c>
      <c r="AJ353" s="191" t="str">
        <f t="shared" si="103"/>
        <v/>
      </c>
      <c r="AK353" s="237" t="str">
        <f t="shared" si="92"/>
        <v/>
      </c>
      <c r="AL353" s="237" t="str">
        <f t="shared" si="104"/>
        <v/>
      </c>
      <c r="AM353" s="192" t="e">
        <f t="shared" si="93"/>
        <v>#VALUE!</v>
      </c>
      <c r="AN353" s="193" t="e">
        <f t="shared" si="94"/>
        <v>#VALUE!</v>
      </c>
      <c r="AO353" s="193" t="e">
        <f t="shared" si="95"/>
        <v>#VALUE!</v>
      </c>
      <c r="AP353" s="193"/>
      <c r="AQ353" s="204"/>
      <c r="AR353" s="204"/>
      <c r="AS353" s="204"/>
      <c r="AT353" s="205"/>
      <c r="AU353"/>
    </row>
    <row r="354" spans="2:47" ht="15" customHeight="1" x14ac:dyDescent="0.25">
      <c r="B354" s="206"/>
      <c r="C354" s="185"/>
      <c r="D354" s="164"/>
      <c r="E354" s="174"/>
      <c r="F354" s="164"/>
      <c r="G354" s="174"/>
      <c r="H354" s="164"/>
      <c r="I354" s="174"/>
      <c r="J354" s="184"/>
      <c r="K354" s="186"/>
      <c r="L354" s="187" t="str">
        <f t="shared" si="96"/>
        <v/>
      </c>
      <c r="M354" s="187" t="str">
        <f t="shared" si="97"/>
        <v/>
      </c>
      <c r="N354" s="187" t="str">
        <f t="shared" si="89"/>
        <v>D</v>
      </c>
      <c r="O354" s="187" t="str">
        <f t="shared" si="98"/>
        <v>D</v>
      </c>
      <c r="P354" s="187">
        <f t="shared" si="99"/>
        <v>1</v>
      </c>
      <c r="Q354" s="187">
        <f>IFERROR(VLOOKUP(E354,Tabela_Deflator:E$43,5,FALSE),1)</f>
        <v>1</v>
      </c>
      <c r="R354" s="188" t="str">
        <f t="shared" si="100"/>
        <v/>
      </c>
      <c r="S354" s="237" t="str">
        <f t="shared" si="90"/>
        <v/>
      </c>
      <c r="T354" s="237" t="str">
        <f t="shared" si="105"/>
        <v/>
      </c>
      <c r="U354" s="189"/>
      <c r="V354" s="167"/>
      <c r="W354" s="165"/>
      <c r="X354" s="164"/>
      <c r="Y354" s="164"/>
      <c r="Z354" s="164"/>
      <c r="AA354" s="174"/>
      <c r="AB354" s="164"/>
      <c r="AC354" s="174"/>
      <c r="AD354" s="184"/>
      <c r="AE354" s="190" t="str">
        <f t="shared" si="101"/>
        <v/>
      </c>
      <c r="AF354" s="190" t="str">
        <f t="shared" si="102"/>
        <v/>
      </c>
      <c r="AG354" s="190" t="str">
        <f t="shared" si="91"/>
        <v>D</v>
      </c>
      <c r="AH354" s="190">
        <f>IFERROR(VLOOKUP(Y354,SISP_Deflatores_e_INMs!B$4:F$49,3,FALSE),1)</f>
        <v>1</v>
      </c>
      <c r="AI354" s="190">
        <f>IFERROR(VLOOKUP(Y354,SISP_Deflatores_e_INMs!B$4:G$49,5,FALSE),1)</f>
        <v>1</v>
      </c>
      <c r="AJ354" s="191" t="str">
        <f t="shared" si="103"/>
        <v/>
      </c>
      <c r="AK354" s="237" t="str">
        <f t="shared" si="92"/>
        <v/>
      </c>
      <c r="AL354" s="237" t="str">
        <f t="shared" si="104"/>
        <v/>
      </c>
      <c r="AM354" s="192" t="e">
        <f t="shared" si="93"/>
        <v>#VALUE!</v>
      </c>
      <c r="AN354" s="193" t="e">
        <f t="shared" si="94"/>
        <v>#VALUE!</v>
      </c>
      <c r="AO354" s="193" t="e">
        <f t="shared" si="95"/>
        <v>#VALUE!</v>
      </c>
      <c r="AP354" s="193"/>
      <c r="AQ354" s="204"/>
      <c r="AR354" s="204"/>
      <c r="AS354" s="204"/>
      <c r="AT354" s="205"/>
      <c r="AU354"/>
    </row>
    <row r="355" spans="2:47" ht="15" customHeight="1" x14ac:dyDescent="0.25">
      <c r="B355" s="206"/>
      <c r="C355" s="185"/>
      <c r="D355" s="164"/>
      <c r="E355" s="174"/>
      <c r="F355" s="164"/>
      <c r="G355" s="174"/>
      <c r="H355" s="164"/>
      <c r="I355" s="174"/>
      <c r="J355" s="184"/>
      <c r="K355" s="186"/>
      <c r="L355" s="187" t="str">
        <f t="shared" si="96"/>
        <v/>
      </c>
      <c r="M355" s="187" t="str">
        <f t="shared" si="97"/>
        <v/>
      </c>
      <c r="N355" s="187" t="str">
        <f t="shared" si="89"/>
        <v>D</v>
      </c>
      <c r="O355" s="187" t="str">
        <f t="shared" si="98"/>
        <v>D</v>
      </c>
      <c r="P355" s="187">
        <f t="shared" si="99"/>
        <v>1</v>
      </c>
      <c r="Q355" s="187">
        <f>IFERROR(VLOOKUP(E355,Tabela_Deflator:E$43,5,FALSE),1)</f>
        <v>1</v>
      </c>
      <c r="R355" s="188" t="str">
        <f t="shared" si="100"/>
        <v/>
      </c>
      <c r="S355" s="237" t="str">
        <f t="shared" si="90"/>
        <v/>
      </c>
      <c r="T355" s="237" t="str">
        <f t="shared" si="105"/>
        <v/>
      </c>
      <c r="U355" s="189"/>
      <c r="V355" s="167"/>
      <c r="W355" s="165"/>
      <c r="X355" s="164"/>
      <c r="Y355" s="164"/>
      <c r="Z355" s="164"/>
      <c r="AA355" s="174"/>
      <c r="AB355" s="164"/>
      <c r="AC355" s="174"/>
      <c r="AD355" s="184"/>
      <c r="AE355" s="190" t="str">
        <f t="shared" si="101"/>
        <v/>
      </c>
      <c r="AF355" s="190" t="str">
        <f t="shared" si="102"/>
        <v/>
      </c>
      <c r="AG355" s="190" t="str">
        <f t="shared" si="91"/>
        <v>D</v>
      </c>
      <c r="AH355" s="190">
        <f>IFERROR(VLOOKUP(Y355,SISP_Deflatores_e_INMs!B$4:F$49,3,FALSE),1)</f>
        <v>1</v>
      </c>
      <c r="AI355" s="190">
        <f>IFERROR(VLOOKUP(Y355,SISP_Deflatores_e_INMs!B$4:G$49,5,FALSE),1)</f>
        <v>1</v>
      </c>
      <c r="AJ355" s="191" t="str">
        <f t="shared" si="103"/>
        <v/>
      </c>
      <c r="AK355" s="237" t="str">
        <f t="shared" si="92"/>
        <v/>
      </c>
      <c r="AL355" s="237" t="str">
        <f t="shared" si="104"/>
        <v/>
      </c>
      <c r="AM355" s="192" t="e">
        <f t="shared" si="93"/>
        <v>#VALUE!</v>
      </c>
      <c r="AN355" s="193" t="e">
        <f t="shared" si="94"/>
        <v>#VALUE!</v>
      </c>
      <c r="AO355" s="193" t="e">
        <f t="shared" si="95"/>
        <v>#VALUE!</v>
      </c>
      <c r="AP355" s="193"/>
      <c r="AQ355" s="204"/>
      <c r="AR355" s="204"/>
      <c r="AS355" s="204"/>
      <c r="AT355" s="205"/>
      <c r="AU355"/>
    </row>
    <row r="356" spans="2:47" ht="15" customHeight="1" x14ac:dyDescent="0.25">
      <c r="B356" s="206"/>
      <c r="C356" s="185"/>
      <c r="D356" s="164"/>
      <c r="E356" s="174"/>
      <c r="F356" s="164"/>
      <c r="G356" s="174"/>
      <c r="H356" s="164"/>
      <c r="I356" s="174"/>
      <c r="J356" s="184"/>
      <c r="K356" s="186"/>
      <c r="L356" s="187" t="str">
        <f t="shared" si="96"/>
        <v/>
      </c>
      <c r="M356" s="187" t="str">
        <f t="shared" si="97"/>
        <v/>
      </c>
      <c r="N356" s="187" t="str">
        <f t="shared" si="89"/>
        <v>D</v>
      </c>
      <c r="O356" s="187" t="str">
        <f t="shared" si="98"/>
        <v>D</v>
      </c>
      <c r="P356" s="187">
        <f t="shared" si="99"/>
        <v>1</v>
      </c>
      <c r="Q356" s="187">
        <f>IFERROR(VLOOKUP(E356,Tabela_Deflator:E$43,5,FALSE),1)</f>
        <v>1</v>
      </c>
      <c r="R356" s="188" t="str">
        <f t="shared" si="100"/>
        <v/>
      </c>
      <c r="S356" s="237" t="str">
        <f t="shared" si="90"/>
        <v/>
      </c>
      <c r="T356" s="237" t="str">
        <f t="shared" si="105"/>
        <v/>
      </c>
      <c r="U356" s="189"/>
      <c r="V356" s="167"/>
      <c r="W356" s="165"/>
      <c r="X356" s="164"/>
      <c r="Y356" s="164"/>
      <c r="Z356" s="164"/>
      <c r="AA356" s="174"/>
      <c r="AB356" s="164"/>
      <c r="AC356" s="174"/>
      <c r="AD356" s="184"/>
      <c r="AE356" s="190" t="str">
        <f t="shared" si="101"/>
        <v/>
      </c>
      <c r="AF356" s="190" t="str">
        <f t="shared" si="102"/>
        <v/>
      </c>
      <c r="AG356" s="190" t="str">
        <f t="shared" si="91"/>
        <v>D</v>
      </c>
      <c r="AH356" s="190">
        <f>IFERROR(VLOOKUP(Y356,SISP_Deflatores_e_INMs!B$4:F$49,3,FALSE),1)</f>
        <v>1</v>
      </c>
      <c r="AI356" s="190">
        <f>IFERROR(VLOOKUP(Y356,SISP_Deflatores_e_INMs!B$4:G$49,5,FALSE),1)</f>
        <v>1</v>
      </c>
      <c r="AJ356" s="191" t="str">
        <f t="shared" si="103"/>
        <v/>
      </c>
      <c r="AK356" s="237" t="str">
        <f t="shared" si="92"/>
        <v/>
      </c>
      <c r="AL356" s="237" t="str">
        <f t="shared" si="104"/>
        <v/>
      </c>
      <c r="AM356" s="192" t="e">
        <f t="shared" si="93"/>
        <v>#VALUE!</v>
      </c>
      <c r="AN356" s="193" t="e">
        <f t="shared" si="94"/>
        <v>#VALUE!</v>
      </c>
      <c r="AO356" s="193" t="e">
        <f t="shared" si="95"/>
        <v>#VALUE!</v>
      </c>
      <c r="AP356" s="193"/>
      <c r="AQ356" s="204"/>
      <c r="AR356" s="204"/>
      <c r="AS356" s="204"/>
      <c r="AT356" s="205"/>
      <c r="AU356"/>
    </row>
    <row r="357" spans="2:47" ht="15" customHeight="1" x14ac:dyDescent="0.25">
      <c r="B357" s="206"/>
      <c r="C357" s="185"/>
      <c r="D357" s="164"/>
      <c r="E357" s="174"/>
      <c r="F357" s="164"/>
      <c r="G357" s="174"/>
      <c r="H357" s="164"/>
      <c r="I357" s="174"/>
      <c r="J357" s="184"/>
      <c r="K357" s="186"/>
      <c r="L357" s="187" t="str">
        <f t="shared" si="96"/>
        <v/>
      </c>
      <c r="M357" s="187" t="str">
        <f t="shared" si="97"/>
        <v/>
      </c>
      <c r="N357" s="187" t="str">
        <f t="shared" si="89"/>
        <v>D</v>
      </c>
      <c r="O357" s="187" t="str">
        <f t="shared" si="98"/>
        <v>D</v>
      </c>
      <c r="P357" s="187">
        <f t="shared" si="99"/>
        <v>1</v>
      </c>
      <c r="Q357" s="187">
        <f>IFERROR(VLOOKUP(E357,Tabela_Deflator:E$43,5,FALSE),1)</f>
        <v>1</v>
      </c>
      <c r="R357" s="188" t="str">
        <f t="shared" si="100"/>
        <v/>
      </c>
      <c r="S357" s="237" t="str">
        <f t="shared" si="90"/>
        <v/>
      </c>
      <c r="T357" s="237" t="str">
        <f t="shared" si="105"/>
        <v/>
      </c>
      <c r="U357" s="189"/>
      <c r="V357" s="167"/>
      <c r="W357" s="165"/>
      <c r="X357" s="164"/>
      <c r="Y357" s="164"/>
      <c r="Z357" s="164"/>
      <c r="AA357" s="174"/>
      <c r="AB357" s="164"/>
      <c r="AC357" s="174"/>
      <c r="AD357" s="184"/>
      <c r="AE357" s="190" t="str">
        <f t="shared" si="101"/>
        <v/>
      </c>
      <c r="AF357" s="190" t="str">
        <f t="shared" si="102"/>
        <v/>
      </c>
      <c r="AG357" s="190" t="str">
        <f t="shared" si="91"/>
        <v>D</v>
      </c>
      <c r="AH357" s="190">
        <f>IFERROR(VLOOKUP(Y357,SISP_Deflatores_e_INMs!B$4:F$49,3,FALSE),1)</f>
        <v>1</v>
      </c>
      <c r="AI357" s="190">
        <f>IFERROR(VLOOKUP(Y357,SISP_Deflatores_e_INMs!B$4:G$49,5,FALSE),1)</f>
        <v>1</v>
      </c>
      <c r="AJ357" s="191" t="str">
        <f t="shared" si="103"/>
        <v/>
      </c>
      <c r="AK357" s="237" t="str">
        <f t="shared" si="92"/>
        <v/>
      </c>
      <c r="AL357" s="237" t="str">
        <f t="shared" si="104"/>
        <v/>
      </c>
      <c r="AM357" s="192" t="e">
        <f t="shared" si="93"/>
        <v>#VALUE!</v>
      </c>
      <c r="AN357" s="193" t="e">
        <f t="shared" si="94"/>
        <v>#VALUE!</v>
      </c>
      <c r="AO357" s="193" t="e">
        <f t="shared" si="95"/>
        <v>#VALUE!</v>
      </c>
      <c r="AP357" s="193"/>
      <c r="AQ357" s="204"/>
      <c r="AR357" s="204"/>
      <c r="AS357" s="204"/>
      <c r="AT357" s="205"/>
      <c r="AU357"/>
    </row>
    <row r="358" spans="2:47" ht="15" customHeight="1" x14ac:dyDescent="0.25">
      <c r="B358" s="206"/>
      <c r="C358" s="185"/>
      <c r="D358" s="164"/>
      <c r="E358" s="174"/>
      <c r="F358" s="164"/>
      <c r="G358" s="174"/>
      <c r="H358" s="164"/>
      <c r="I358" s="174"/>
      <c r="J358" s="184"/>
      <c r="K358" s="186"/>
      <c r="L358" s="187" t="str">
        <f t="shared" si="96"/>
        <v/>
      </c>
      <c r="M358" s="187" t="str">
        <f t="shared" si="97"/>
        <v/>
      </c>
      <c r="N358" s="187" t="str">
        <f t="shared" si="89"/>
        <v>D</v>
      </c>
      <c r="O358" s="187" t="str">
        <f t="shared" si="98"/>
        <v>D</v>
      </c>
      <c r="P358" s="187">
        <f t="shared" si="99"/>
        <v>1</v>
      </c>
      <c r="Q358" s="187">
        <f>IFERROR(VLOOKUP(E358,Tabela_Deflator:E$43,5,FALSE),1)</f>
        <v>1</v>
      </c>
      <c r="R358" s="188" t="str">
        <f t="shared" si="100"/>
        <v/>
      </c>
      <c r="S358" s="237" t="str">
        <f t="shared" si="90"/>
        <v/>
      </c>
      <c r="T358" s="237" t="str">
        <f t="shared" si="105"/>
        <v/>
      </c>
      <c r="U358" s="189"/>
      <c r="V358" s="167"/>
      <c r="W358" s="165"/>
      <c r="X358" s="164"/>
      <c r="Y358" s="164"/>
      <c r="Z358" s="164"/>
      <c r="AA358" s="174"/>
      <c r="AB358" s="164"/>
      <c r="AC358" s="174"/>
      <c r="AD358" s="184"/>
      <c r="AE358" s="190" t="str">
        <f t="shared" si="101"/>
        <v/>
      </c>
      <c r="AF358" s="190" t="str">
        <f t="shared" si="102"/>
        <v/>
      </c>
      <c r="AG358" s="190" t="str">
        <f t="shared" si="91"/>
        <v>D</v>
      </c>
      <c r="AH358" s="190">
        <f>IFERROR(VLOOKUP(Y358,SISP_Deflatores_e_INMs!B$4:F$49,3,FALSE),1)</f>
        <v>1</v>
      </c>
      <c r="AI358" s="190">
        <f>IFERROR(VLOOKUP(Y358,SISP_Deflatores_e_INMs!B$4:G$49,5,FALSE),1)</f>
        <v>1</v>
      </c>
      <c r="AJ358" s="191" t="str">
        <f t="shared" si="103"/>
        <v/>
      </c>
      <c r="AK358" s="237" t="str">
        <f t="shared" si="92"/>
        <v/>
      </c>
      <c r="AL358" s="237" t="str">
        <f t="shared" si="104"/>
        <v/>
      </c>
      <c r="AM358" s="192" t="e">
        <f t="shared" si="93"/>
        <v>#VALUE!</v>
      </c>
      <c r="AN358" s="193" t="e">
        <f t="shared" si="94"/>
        <v>#VALUE!</v>
      </c>
      <c r="AO358" s="193" t="e">
        <f t="shared" si="95"/>
        <v>#VALUE!</v>
      </c>
      <c r="AP358" s="193"/>
      <c r="AQ358" s="204"/>
      <c r="AR358" s="204"/>
      <c r="AS358" s="204"/>
      <c r="AT358" s="205"/>
      <c r="AU358"/>
    </row>
    <row r="359" spans="2:47" ht="15" customHeight="1" x14ac:dyDescent="0.25">
      <c r="B359" s="206"/>
      <c r="C359" s="185"/>
      <c r="D359" s="164"/>
      <c r="E359" s="174"/>
      <c r="F359" s="164"/>
      <c r="G359" s="174"/>
      <c r="H359" s="164"/>
      <c r="I359" s="174"/>
      <c r="J359" s="184"/>
      <c r="K359" s="186"/>
      <c r="L359" s="187" t="str">
        <f t="shared" si="96"/>
        <v/>
      </c>
      <c r="M359" s="187" t="str">
        <f t="shared" si="97"/>
        <v/>
      </c>
      <c r="N359" s="187" t="str">
        <f t="shared" si="89"/>
        <v>D</v>
      </c>
      <c r="O359" s="187" t="str">
        <f t="shared" si="98"/>
        <v>D</v>
      </c>
      <c r="P359" s="187">
        <f t="shared" si="99"/>
        <v>1</v>
      </c>
      <c r="Q359" s="187">
        <f>IFERROR(VLOOKUP(E359,Tabela_Deflator:E$43,5,FALSE),1)</f>
        <v>1</v>
      </c>
      <c r="R359" s="188" t="str">
        <f t="shared" si="100"/>
        <v/>
      </c>
      <c r="S359" s="237" t="str">
        <f t="shared" si="90"/>
        <v/>
      </c>
      <c r="T359" s="237" t="str">
        <f t="shared" si="105"/>
        <v/>
      </c>
      <c r="U359" s="189"/>
      <c r="V359" s="167"/>
      <c r="W359" s="165"/>
      <c r="X359" s="164"/>
      <c r="Y359" s="164"/>
      <c r="Z359" s="164"/>
      <c r="AA359" s="174"/>
      <c r="AB359" s="164"/>
      <c r="AC359" s="174"/>
      <c r="AD359" s="184"/>
      <c r="AE359" s="190" t="str">
        <f t="shared" si="101"/>
        <v/>
      </c>
      <c r="AF359" s="190" t="str">
        <f t="shared" si="102"/>
        <v/>
      </c>
      <c r="AG359" s="190" t="str">
        <f t="shared" si="91"/>
        <v>D</v>
      </c>
      <c r="AH359" s="190">
        <f>IFERROR(VLOOKUP(Y359,SISP_Deflatores_e_INMs!B$4:F$49,3,FALSE),1)</f>
        <v>1</v>
      </c>
      <c r="AI359" s="190">
        <f>IFERROR(VLOOKUP(Y359,SISP_Deflatores_e_INMs!B$4:G$49,5,FALSE),1)</f>
        <v>1</v>
      </c>
      <c r="AJ359" s="191" t="str">
        <f t="shared" si="103"/>
        <v/>
      </c>
      <c r="AK359" s="237" t="str">
        <f t="shared" si="92"/>
        <v/>
      </c>
      <c r="AL359" s="237" t="str">
        <f t="shared" si="104"/>
        <v/>
      </c>
      <c r="AM359" s="192" t="e">
        <f t="shared" si="93"/>
        <v>#VALUE!</v>
      </c>
      <c r="AN359" s="193" t="e">
        <f t="shared" si="94"/>
        <v>#VALUE!</v>
      </c>
      <c r="AO359" s="193" t="e">
        <f t="shared" si="95"/>
        <v>#VALUE!</v>
      </c>
      <c r="AP359" s="193"/>
      <c r="AQ359" s="204"/>
      <c r="AR359" s="204"/>
      <c r="AS359" s="204"/>
      <c r="AT359" s="205"/>
      <c r="AU359"/>
    </row>
    <row r="360" spans="2:47" ht="15" customHeight="1" x14ac:dyDescent="0.25">
      <c r="B360" s="206"/>
      <c r="C360" s="185"/>
      <c r="D360" s="164"/>
      <c r="E360" s="174"/>
      <c r="F360" s="164"/>
      <c r="G360" s="174"/>
      <c r="H360" s="164"/>
      <c r="I360" s="174"/>
      <c r="J360" s="184"/>
      <c r="K360" s="186"/>
      <c r="L360" s="187" t="str">
        <f t="shared" si="96"/>
        <v/>
      </c>
      <c r="M360" s="187" t="str">
        <f t="shared" si="97"/>
        <v/>
      </c>
      <c r="N360" s="187" t="str">
        <f t="shared" si="89"/>
        <v>D</v>
      </c>
      <c r="O360" s="187" t="str">
        <f t="shared" si="98"/>
        <v>D</v>
      </c>
      <c r="P360" s="187">
        <f t="shared" si="99"/>
        <v>1</v>
      </c>
      <c r="Q360" s="187">
        <f>IFERROR(VLOOKUP(E360,Tabela_Deflator:E$43,5,FALSE),1)</f>
        <v>1</v>
      </c>
      <c r="R360" s="188" t="str">
        <f t="shared" si="100"/>
        <v/>
      </c>
      <c r="S360" s="237" t="str">
        <f t="shared" si="90"/>
        <v/>
      </c>
      <c r="T360" s="237" t="str">
        <f t="shared" si="105"/>
        <v/>
      </c>
      <c r="U360" s="189"/>
      <c r="V360" s="167"/>
      <c r="W360" s="165"/>
      <c r="X360" s="164"/>
      <c r="Y360" s="164"/>
      <c r="Z360" s="164"/>
      <c r="AA360" s="174"/>
      <c r="AB360" s="164"/>
      <c r="AC360" s="174"/>
      <c r="AD360" s="184"/>
      <c r="AE360" s="190" t="str">
        <f t="shared" si="101"/>
        <v/>
      </c>
      <c r="AF360" s="190" t="str">
        <f t="shared" si="102"/>
        <v/>
      </c>
      <c r="AG360" s="190" t="str">
        <f t="shared" si="91"/>
        <v>D</v>
      </c>
      <c r="AH360" s="190">
        <f>IFERROR(VLOOKUP(Y360,SISP_Deflatores_e_INMs!B$4:F$49,3,FALSE),1)</f>
        <v>1</v>
      </c>
      <c r="AI360" s="190">
        <f>IFERROR(VLOOKUP(Y360,SISP_Deflatores_e_INMs!B$4:G$49,5,FALSE),1)</f>
        <v>1</v>
      </c>
      <c r="AJ360" s="191" t="str">
        <f t="shared" si="103"/>
        <v/>
      </c>
      <c r="AK360" s="237" t="str">
        <f t="shared" si="92"/>
        <v/>
      </c>
      <c r="AL360" s="237" t="str">
        <f t="shared" si="104"/>
        <v/>
      </c>
      <c r="AM360" s="192" t="e">
        <f t="shared" si="93"/>
        <v>#VALUE!</v>
      </c>
      <c r="AN360" s="193" t="e">
        <f t="shared" si="94"/>
        <v>#VALUE!</v>
      </c>
      <c r="AO360" s="193" t="e">
        <f t="shared" si="95"/>
        <v>#VALUE!</v>
      </c>
      <c r="AP360" s="193"/>
      <c r="AQ360" s="204"/>
      <c r="AR360" s="204"/>
      <c r="AS360" s="204"/>
      <c r="AT360" s="205"/>
      <c r="AU360"/>
    </row>
    <row r="361" spans="2:47" ht="15" customHeight="1" x14ac:dyDescent="0.25">
      <c r="B361" s="206"/>
      <c r="C361" s="185"/>
      <c r="D361" s="164"/>
      <c r="E361" s="174"/>
      <c r="F361" s="164"/>
      <c r="G361" s="174"/>
      <c r="H361" s="164"/>
      <c r="I361" s="174"/>
      <c r="J361" s="184"/>
      <c r="K361" s="186"/>
      <c r="L361" s="187" t="str">
        <f t="shared" si="96"/>
        <v/>
      </c>
      <c r="M361" s="187" t="str">
        <f t="shared" si="97"/>
        <v/>
      </c>
      <c r="N361" s="187" t="str">
        <f t="shared" si="89"/>
        <v>D</v>
      </c>
      <c r="O361" s="187" t="str">
        <f t="shared" si="98"/>
        <v>D</v>
      </c>
      <c r="P361" s="187">
        <f t="shared" si="99"/>
        <v>1</v>
      </c>
      <c r="Q361" s="187">
        <f>IFERROR(VLOOKUP(E361,Tabela_Deflator:E$43,5,FALSE),1)</f>
        <v>1</v>
      </c>
      <c r="R361" s="188" t="str">
        <f t="shared" si="100"/>
        <v/>
      </c>
      <c r="S361" s="237" t="str">
        <f t="shared" si="90"/>
        <v/>
      </c>
      <c r="T361" s="237" t="str">
        <f t="shared" si="105"/>
        <v/>
      </c>
      <c r="U361" s="189"/>
      <c r="V361" s="167"/>
      <c r="W361" s="165"/>
      <c r="X361" s="164"/>
      <c r="Y361" s="164"/>
      <c r="Z361" s="164"/>
      <c r="AA361" s="174"/>
      <c r="AB361" s="164"/>
      <c r="AC361" s="174"/>
      <c r="AD361" s="184"/>
      <c r="AE361" s="190" t="str">
        <f t="shared" si="101"/>
        <v/>
      </c>
      <c r="AF361" s="190" t="str">
        <f t="shared" si="102"/>
        <v/>
      </c>
      <c r="AG361" s="190" t="str">
        <f t="shared" si="91"/>
        <v>D</v>
      </c>
      <c r="AH361" s="190">
        <f>IFERROR(VLOOKUP(Y361,SISP_Deflatores_e_INMs!B$4:F$49,3,FALSE),1)</f>
        <v>1</v>
      </c>
      <c r="AI361" s="190">
        <f>IFERROR(VLOOKUP(Y361,SISP_Deflatores_e_INMs!B$4:G$49,5,FALSE),1)</f>
        <v>1</v>
      </c>
      <c r="AJ361" s="191" t="str">
        <f t="shared" si="103"/>
        <v/>
      </c>
      <c r="AK361" s="237" t="str">
        <f t="shared" si="92"/>
        <v/>
      </c>
      <c r="AL361" s="237" t="str">
        <f t="shared" si="104"/>
        <v/>
      </c>
      <c r="AM361" s="192" t="e">
        <f t="shared" si="93"/>
        <v>#VALUE!</v>
      </c>
      <c r="AN361" s="193" t="e">
        <f t="shared" si="94"/>
        <v>#VALUE!</v>
      </c>
      <c r="AO361" s="193" t="e">
        <f t="shared" si="95"/>
        <v>#VALUE!</v>
      </c>
      <c r="AP361" s="193"/>
      <c r="AQ361" s="204"/>
      <c r="AR361" s="204"/>
      <c r="AS361" s="204"/>
      <c r="AT361" s="205"/>
      <c r="AU361"/>
    </row>
    <row r="362" spans="2:47" ht="15" customHeight="1" x14ac:dyDescent="0.25">
      <c r="B362" s="206"/>
      <c r="C362" s="185"/>
      <c r="D362" s="164"/>
      <c r="E362" s="174"/>
      <c r="F362" s="164"/>
      <c r="G362" s="174"/>
      <c r="H362" s="164"/>
      <c r="I362" s="174"/>
      <c r="J362" s="184"/>
      <c r="K362" s="186"/>
      <c r="L362" s="187" t="str">
        <f t="shared" si="96"/>
        <v/>
      </c>
      <c r="M362" s="187" t="str">
        <f t="shared" si="97"/>
        <v/>
      </c>
      <c r="N362" s="187" t="str">
        <f t="shared" si="89"/>
        <v>D</v>
      </c>
      <c r="O362" s="187" t="str">
        <f t="shared" si="98"/>
        <v>D</v>
      </c>
      <c r="P362" s="187">
        <f t="shared" si="99"/>
        <v>1</v>
      </c>
      <c r="Q362" s="187">
        <f>IFERROR(VLOOKUP(E362,Tabela_Deflator:E$43,5,FALSE),1)</f>
        <v>1</v>
      </c>
      <c r="R362" s="188" t="str">
        <f t="shared" si="100"/>
        <v/>
      </c>
      <c r="S362" s="237" t="str">
        <f t="shared" si="90"/>
        <v/>
      </c>
      <c r="T362" s="237" t="str">
        <f t="shared" si="105"/>
        <v/>
      </c>
      <c r="U362" s="189"/>
      <c r="V362" s="167"/>
      <c r="W362" s="165"/>
      <c r="X362" s="164"/>
      <c r="Y362" s="164"/>
      <c r="Z362" s="164"/>
      <c r="AA362" s="174"/>
      <c r="AB362" s="164"/>
      <c r="AC362" s="174"/>
      <c r="AD362" s="184"/>
      <c r="AE362" s="190" t="str">
        <f t="shared" si="101"/>
        <v/>
      </c>
      <c r="AF362" s="190" t="str">
        <f t="shared" si="102"/>
        <v/>
      </c>
      <c r="AG362" s="190" t="str">
        <f t="shared" si="91"/>
        <v>D</v>
      </c>
      <c r="AH362" s="190">
        <f>IFERROR(VLOOKUP(Y362,SISP_Deflatores_e_INMs!B$4:F$49,3,FALSE),1)</f>
        <v>1</v>
      </c>
      <c r="AI362" s="190">
        <f>IFERROR(VLOOKUP(Y362,SISP_Deflatores_e_INMs!B$4:G$49,5,FALSE),1)</f>
        <v>1</v>
      </c>
      <c r="AJ362" s="191" t="str">
        <f t="shared" si="103"/>
        <v/>
      </c>
      <c r="AK362" s="237" t="str">
        <f t="shared" si="92"/>
        <v/>
      </c>
      <c r="AL362" s="237" t="str">
        <f t="shared" si="104"/>
        <v/>
      </c>
      <c r="AM362" s="192" t="e">
        <f t="shared" si="93"/>
        <v>#VALUE!</v>
      </c>
      <c r="AN362" s="193" t="e">
        <f t="shared" si="94"/>
        <v>#VALUE!</v>
      </c>
      <c r="AO362" s="193" t="e">
        <f t="shared" si="95"/>
        <v>#VALUE!</v>
      </c>
      <c r="AP362" s="193"/>
      <c r="AQ362" s="204"/>
      <c r="AR362" s="204"/>
      <c r="AS362" s="204"/>
      <c r="AT362" s="205"/>
      <c r="AU362"/>
    </row>
    <row r="363" spans="2:47" ht="15" customHeight="1" x14ac:dyDescent="0.25">
      <c r="B363" s="206"/>
      <c r="C363" s="185"/>
      <c r="D363" s="164"/>
      <c r="E363" s="174"/>
      <c r="F363" s="164"/>
      <c r="G363" s="174"/>
      <c r="H363" s="164"/>
      <c r="I363" s="174"/>
      <c r="J363" s="184"/>
      <c r="K363" s="186"/>
      <c r="L363" s="187" t="str">
        <f t="shared" si="96"/>
        <v/>
      </c>
      <c r="M363" s="187" t="str">
        <f t="shared" si="97"/>
        <v/>
      </c>
      <c r="N363" s="187" t="str">
        <f t="shared" si="89"/>
        <v>D</v>
      </c>
      <c r="O363" s="187" t="str">
        <f t="shared" si="98"/>
        <v>D</v>
      </c>
      <c r="P363" s="187">
        <f t="shared" si="99"/>
        <v>1</v>
      </c>
      <c r="Q363" s="187">
        <f>IFERROR(VLOOKUP(E363,Tabela_Deflator:E$43,5,FALSE),1)</f>
        <v>1</v>
      </c>
      <c r="R363" s="188" t="str">
        <f t="shared" si="100"/>
        <v/>
      </c>
      <c r="S363" s="237" t="str">
        <f t="shared" si="90"/>
        <v/>
      </c>
      <c r="T363" s="237" t="str">
        <f t="shared" si="105"/>
        <v/>
      </c>
      <c r="U363" s="189"/>
      <c r="V363" s="167"/>
      <c r="W363" s="165"/>
      <c r="X363" s="164"/>
      <c r="Y363" s="164"/>
      <c r="Z363" s="164"/>
      <c r="AA363" s="174"/>
      <c r="AB363" s="164"/>
      <c r="AC363" s="174"/>
      <c r="AD363" s="184"/>
      <c r="AE363" s="190" t="str">
        <f t="shared" si="101"/>
        <v/>
      </c>
      <c r="AF363" s="190" t="str">
        <f t="shared" si="102"/>
        <v/>
      </c>
      <c r="AG363" s="190" t="str">
        <f t="shared" si="91"/>
        <v>D</v>
      </c>
      <c r="AH363" s="190">
        <f>IFERROR(VLOOKUP(Y363,SISP_Deflatores_e_INMs!B$4:F$49,3,FALSE),1)</f>
        <v>1</v>
      </c>
      <c r="AI363" s="190">
        <f>IFERROR(VLOOKUP(Y363,SISP_Deflatores_e_INMs!B$4:G$49,5,FALSE),1)</f>
        <v>1</v>
      </c>
      <c r="AJ363" s="191" t="str">
        <f t="shared" si="103"/>
        <v/>
      </c>
      <c r="AK363" s="237" t="str">
        <f t="shared" si="92"/>
        <v/>
      </c>
      <c r="AL363" s="237" t="str">
        <f t="shared" si="104"/>
        <v/>
      </c>
      <c r="AM363" s="192" t="e">
        <f t="shared" si="93"/>
        <v>#VALUE!</v>
      </c>
      <c r="AN363" s="193" t="e">
        <f t="shared" si="94"/>
        <v>#VALUE!</v>
      </c>
      <c r="AO363" s="193" t="e">
        <f t="shared" si="95"/>
        <v>#VALUE!</v>
      </c>
      <c r="AP363" s="193"/>
      <c r="AQ363" s="204"/>
      <c r="AR363" s="204"/>
      <c r="AS363" s="204"/>
      <c r="AT363" s="205"/>
      <c r="AU363"/>
    </row>
    <row r="364" spans="2:47" ht="15" customHeight="1" x14ac:dyDescent="0.25">
      <c r="B364" s="206"/>
      <c r="C364" s="185"/>
      <c r="D364" s="164"/>
      <c r="E364" s="174"/>
      <c r="F364" s="164"/>
      <c r="G364" s="174"/>
      <c r="H364" s="164"/>
      <c r="I364" s="174"/>
      <c r="J364" s="184"/>
      <c r="K364" s="186"/>
      <c r="L364" s="187" t="str">
        <f t="shared" si="96"/>
        <v/>
      </c>
      <c r="M364" s="187" t="str">
        <f t="shared" si="97"/>
        <v/>
      </c>
      <c r="N364" s="187" t="str">
        <f t="shared" si="89"/>
        <v>D</v>
      </c>
      <c r="O364" s="187" t="str">
        <f t="shared" si="98"/>
        <v>D</v>
      </c>
      <c r="P364" s="187">
        <f t="shared" si="99"/>
        <v>1</v>
      </c>
      <c r="Q364" s="187">
        <f>IFERROR(VLOOKUP(E364,Tabela_Deflator:E$43,5,FALSE),1)</f>
        <v>1</v>
      </c>
      <c r="R364" s="188" t="str">
        <f t="shared" si="100"/>
        <v/>
      </c>
      <c r="S364" s="237" t="str">
        <f t="shared" si="90"/>
        <v/>
      </c>
      <c r="T364" s="237" t="str">
        <f t="shared" si="105"/>
        <v/>
      </c>
      <c r="U364" s="189"/>
      <c r="V364" s="167"/>
      <c r="W364" s="165"/>
      <c r="X364" s="164"/>
      <c r="Y364" s="164"/>
      <c r="Z364" s="164"/>
      <c r="AA364" s="174"/>
      <c r="AB364" s="164"/>
      <c r="AC364" s="174"/>
      <c r="AD364" s="184"/>
      <c r="AE364" s="190" t="str">
        <f t="shared" si="101"/>
        <v/>
      </c>
      <c r="AF364" s="190" t="str">
        <f t="shared" si="102"/>
        <v/>
      </c>
      <c r="AG364" s="190" t="str">
        <f t="shared" si="91"/>
        <v>D</v>
      </c>
      <c r="AH364" s="190">
        <f>IFERROR(VLOOKUP(Y364,SISP_Deflatores_e_INMs!B$4:F$49,3,FALSE),1)</f>
        <v>1</v>
      </c>
      <c r="AI364" s="190">
        <f>IFERROR(VLOOKUP(Y364,SISP_Deflatores_e_INMs!B$4:G$49,5,FALSE),1)</f>
        <v>1</v>
      </c>
      <c r="AJ364" s="191" t="str">
        <f t="shared" si="103"/>
        <v/>
      </c>
      <c r="AK364" s="237" t="str">
        <f t="shared" si="92"/>
        <v/>
      </c>
      <c r="AL364" s="237" t="str">
        <f t="shared" si="104"/>
        <v/>
      </c>
      <c r="AM364" s="192" t="e">
        <f t="shared" si="93"/>
        <v>#VALUE!</v>
      </c>
      <c r="AN364" s="193" t="e">
        <f t="shared" si="94"/>
        <v>#VALUE!</v>
      </c>
      <c r="AO364" s="193" t="e">
        <f t="shared" si="95"/>
        <v>#VALUE!</v>
      </c>
      <c r="AP364" s="193"/>
      <c r="AQ364" s="204"/>
      <c r="AR364" s="204"/>
      <c r="AS364" s="204"/>
      <c r="AT364" s="205"/>
      <c r="AU364"/>
    </row>
    <row r="365" spans="2:47" ht="15" customHeight="1" x14ac:dyDescent="0.25">
      <c r="B365" s="206"/>
      <c r="C365" s="185"/>
      <c r="D365" s="164"/>
      <c r="E365" s="174"/>
      <c r="F365" s="164"/>
      <c r="G365" s="174"/>
      <c r="H365" s="164"/>
      <c r="I365" s="174"/>
      <c r="J365" s="184"/>
      <c r="K365" s="186"/>
      <c r="L365" s="187" t="str">
        <f t="shared" si="96"/>
        <v/>
      </c>
      <c r="M365" s="187" t="str">
        <f t="shared" si="97"/>
        <v/>
      </c>
      <c r="N365" s="187" t="str">
        <f t="shared" si="89"/>
        <v>D</v>
      </c>
      <c r="O365" s="187" t="str">
        <f t="shared" si="98"/>
        <v>D</v>
      </c>
      <c r="P365" s="187">
        <f t="shared" si="99"/>
        <v>1</v>
      </c>
      <c r="Q365" s="187">
        <f>IFERROR(VLOOKUP(E365,Tabela_Deflator:E$43,5,FALSE),1)</f>
        <v>1</v>
      </c>
      <c r="R365" s="188" t="str">
        <f t="shared" si="100"/>
        <v/>
      </c>
      <c r="S365" s="237" t="str">
        <f t="shared" si="90"/>
        <v/>
      </c>
      <c r="T365" s="237" t="str">
        <f t="shared" si="105"/>
        <v/>
      </c>
      <c r="U365" s="189"/>
      <c r="V365" s="167"/>
      <c r="W365" s="165"/>
      <c r="X365" s="164"/>
      <c r="Y365" s="164"/>
      <c r="Z365" s="164"/>
      <c r="AA365" s="174"/>
      <c r="AB365" s="164"/>
      <c r="AC365" s="174"/>
      <c r="AD365" s="184"/>
      <c r="AE365" s="190" t="str">
        <f t="shared" si="101"/>
        <v/>
      </c>
      <c r="AF365" s="190" t="str">
        <f t="shared" si="102"/>
        <v/>
      </c>
      <c r="AG365" s="190" t="str">
        <f t="shared" si="91"/>
        <v>D</v>
      </c>
      <c r="AH365" s="190">
        <f>IFERROR(VLOOKUP(Y365,SISP_Deflatores_e_INMs!B$4:F$49,3,FALSE),1)</f>
        <v>1</v>
      </c>
      <c r="AI365" s="190">
        <f>IFERROR(VLOOKUP(Y365,SISP_Deflatores_e_INMs!B$4:G$49,5,FALSE),1)</f>
        <v>1</v>
      </c>
      <c r="AJ365" s="191" t="str">
        <f t="shared" si="103"/>
        <v/>
      </c>
      <c r="AK365" s="237" t="str">
        <f t="shared" si="92"/>
        <v/>
      </c>
      <c r="AL365" s="237" t="str">
        <f t="shared" si="104"/>
        <v/>
      </c>
      <c r="AM365" s="192" t="e">
        <f t="shared" si="93"/>
        <v>#VALUE!</v>
      </c>
      <c r="AN365" s="193" t="e">
        <f t="shared" si="94"/>
        <v>#VALUE!</v>
      </c>
      <c r="AO365" s="193" t="e">
        <f t="shared" si="95"/>
        <v>#VALUE!</v>
      </c>
      <c r="AP365" s="193"/>
      <c r="AQ365" s="204"/>
      <c r="AR365" s="204"/>
      <c r="AS365" s="204"/>
      <c r="AT365" s="205"/>
      <c r="AU365"/>
    </row>
    <row r="366" spans="2:47" ht="15" customHeight="1" x14ac:dyDescent="0.25">
      <c r="B366" s="206"/>
      <c r="C366" s="185"/>
      <c r="D366" s="164"/>
      <c r="E366" s="174"/>
      <c r="F366" s="164"/>
      <c r="G366" s="174"/>
      <c r="H366" s="164"/>
      <c r="I366" s="174"/>
      <c r="J366" s="184"/>
      <c r="K366" s="186"/>
      <c r="L366" s="187" t="str">
        <f t="shared" si="96"/>
        <v/>
      </c>
      <c r="M366" s="187" t="str">
        <f t="shared" si="97"/>
        <v/>
      </c>
      <c r="N366" s="187" t="str">
        <f t="shared" si="89"/>
        <v>D</v>
      </c>
      <c r="O366" s="187" t="str">
        <f t="shared" si="98"/>
        <v>D</v>
      </c>
      <c r="P366" s="187">
        <f t="shared" si="99"/>
        <v>1</v>
      </c>
      <c r="Q366" s="187">
        <f>IFERROR(VLOOKUP(E366,Tabela_Deflator:E$43,5,FALSE),1)</f>
        <v>1</v>
      </c>
      <c r="R366" s="188" t="str">
        <f t="shared" si="100"/>
        <v/>
      </c>
      <c r="S366" s="237" t="str">
        <f t="shared" si="90"/>
        <v/>
      </c>
      <c r="T366" s="237" t="str">
        <f t="shared" si="105"/>
        <v/>
      </c>
      <c r="U366" s="189"/>
      <c r="V366" s="167"/>
      <c r="W366" s="165"/>
      <c r="X366" s="164"/>
      <c r="Y366" s="164"/>
      <c r="Z366" s="164"/>
      <c r="AA366" s="174"/>
      <c r="AB366" s="164"/>
      <c r="AC366" s="174"/>
      <c r="AD366" s="184"/>
      <c r="AE366" s="190" t="str">
        <f t="shared" si="101"/>
        <v/>
      </c>
      <c r="AF366" s="190" t="str">
        <f t="shared" si="102"/>
        <v/>
      </c>
      <c r="AG366" s="190" t="str">
        <f t="shared" si="91"/>
        <v>D</v>
      </c>
      <c r="AH366" s="190">
        <f>IFERROR(VLOOKUP(Y366,SISP_Deflatores_e_INMs!B$4:F$49,3,FALSE),1)</f>
        <v>1</v>
      </c>
      <c r="AI366" s="190">
        <f>IFERROR(VLOOKUP(Y366,SISP_Deflatores_e_INMs!B$4:G$49,5,FALSE),1)</f>
        <v>1</v>
      </c>
      <c r="AJ366" s="191" t="str">
        <f t="shared" si="103"/>
        <v/>
      </c>
      <c r="AK366" s="237" t="str">
        <f t="shared" si="92"/>
        <v/>
      </c>
      <c r="AL366" s="237" t="str">
        <f t="shared" si="104"/>
        <v/>
      </c>
      <c r="AM366" s="192" t="e">
        <f t="shared" si="93"/>
        <v>#VALUE!</v>
      </c>
      <c r="AN366" s="193" t="e">
        <f t="shared" si="94"/>
        <v>#VALUE!</v>
      </c>
      <c r="AO366" s="193" t="e">
        <f t="shared" si="95"/>
        <v>#VALUE!</v>
      </c>
      <c r="AP366" s="193"/>
      <c r="AQ366" s="204"/>
      <c r="AR366" s="204"/>
      <c r="AS366" s="204"/>
      <c r="AT366" s="205"/>
      <c r="AU366"/>
    </row>
    <row r="367" spans="2:47" ht="15" customHeight="1" x14ac:dyDescent="0.25">
      <c r="B367" s="206"/>
      <c r="C367" s="185"/>
      <c r="D367" s="164"/>
      <c r="E367" s="174"/>
      <c r="F367" s="164"/>
      <c r="G367" s="174"/>
      <c r="H367" s="164"/>
      <c r="I367" s="174"/>
      <c r="J367" s="184"/>
      <c r="K367" s="186"/>
      <c r="L367" s="187" t="str">
        <f t="shared" si="96"/>
        <v/>
      </c>
      <c r="M367" s="187" t="str">
        <f t="shared" si="97"/>
        <v/>
      </c>
      <c r="N367" s="187" t="str">
        <f t="shared" si="89"/>
        <v>D</v>
      </c>
      <c r="O367" s="187" t="str">
        <f t="shared" si="98"/>
        <v>D</v>
      </c>
      <c r="P367" s="187">
        <f t="shared" si="99"/>
        <v>1</v>
      </c>
      <c r="Q367" s="187">
        <f>IFERROR(VLOOKUP(E367,Tabela_Deflator:E$43,5,FALSE),1)</f>
        <v>1</v>
      </c>
      <c r="R367" s="188" t="str">
        <f t="shared" si="100"/>
        <v/>
      </c>
      <c r="S367" s="237" t="str">
        <f t="shared" si="90"/>
        <v/>
      </c>
      <c r="T367" s="237" t="str">
        <f t="shared" si="105"/>
        <v/>
      </c>
      <c r="U367" s="189"/>
      <c r="V367" s="167"/>
      <c r="W367" s="165"/>
      <c r="X367" s="164"/>
      <c r="Y367" s="164"/>
      <c r="Z367" s="164"/>
      <c r="AA367" s="174"/>
      <c r="AB367" s="164"/>
      <c r="AC367" s="174"/>
      <c r="AD367" s="184"/>
      <c r="AE367" s="190" t="str">
        <f t="shared" si="101"/>
        <v/>
      </c>
      <c r="AF367" s="190" t="str">
        <f t="shared" si="102"/>
        <v/>
      </c>
      <c r="AG367" s="190" t="str">
        <f t="shared" si="91"/>
        <v>D</v>
      </c>
      <c r="AH367" s="190">
        <f>IFERROR(VLOOKUP(Y367,SISP_Deflatores_e_INMs!B$4:F$49,3,FALSE),1)</f>
        <v>1</v>
      </c>
      <c r="AI367" s="190">
        <f>IFERROR(VLOOKUP(Y367,SISP_Deflatores_e_INMs!B$4:G$49,5,FALSE),1)</f>
        <v>1</v>
      </c>
      <c r="AJ367" s="191" t="str">
        <f t="shared" si="103"/>
        <v/>
      </c>
      <c r="AK367" s="237" t="str">
        <f t="shared" si="92"/>
        <v/>
      </c>
      <c r="AL367" s="237" t="str">
        <f t="shared" si="104"/>
        <v/>
      </c>
      <c r="AM367" s="192" t="e">
        <f t="shared" si="93"/>
        <v>#VALUE!</v>
      </c>
      <c r="AN367" s="193" t="e">
        <f t="shared" si="94"/>
        <v>#VALUE!</v>
      </c>
      <c r="AO367" s="193" t="e">
        <f t="shared" si="95"/>
        <v>#VALUE!</v>
      </c>
      <c r="AP367" s="193"/>
      <c r="AQ367" s="204"/>
      <c r="AR367" s="204"/>
      <c r="AS367" s="204"/>
      <c r="AT367" s="205"/>
      <c r="AU367"/>
    </row>
    <row r="368" spans="2:47" ht="15" customHeight="1" x14ac:dyDescent="0.25">
      <c r="B368" s="206"/>
      <c r="C368" s="185"/>
      <c r="D368" s="164"/>
      <c r="E368" s="174"/>
      <c r="F368" s="164"/>
      <c r="G368" s="174"/>
      <c r="H368" s="164"/>
      <c r="I368" s="174"/>
      <c r="J368" s="184"/>
      <c r="K368" s="186"/>
      <c r="L368" s="187" t="str">
        <f t="shared" si="96"/>
        <v/>
      </c>
      <c r="M368" s="187" t="str">
        <f t="shared" si="97"/>
        <v/>
      </c>
      <c r="N368" s="187" t="str">
        <f t="shared" si="89"/>
        <v>D</v>
      </c>
      <c r="O368" s="187" t="str">
        <f t="shared" si="98"/>
        <v>D</v>
      </c>
      <c r="P368" s="187">
        <f t="shared" si="99"/>
        <v>1</v>
      </c>
      <c r="Q368" s="187">
        <f>IFERROR(VLOOKUP(E368,Tabela_Deflator:E$43,5,FALSE),1)</f>
        <v>1</v>
      </c>
      <c r="R368" s="188" t="str">
        <f t="shared" si="100"/>
        <v/>
      </c>
      <c r="S368" s="237" t="str">
        <f t="shared" si="90"/>
        <v/>
      </c>
      <c r="T368" s="237" t="str">
        <f t="shared" si="105"/>
        <v/>
      </c>
      <c r="U368" s="189"/>
      <c r="V368" s="167"/>
      <c r="W368" s="165"/>
      <c r="X368" s="164"/>
      <c r="Y368" s="164"/>
      <c r="Z368" s="164"/>
      <c r="AA368" s="174"/>
      <c r="AB368" s="164"/>
      <c r="AC368" s="174"/>
      <c r="AD368" s="184"/>
      <c r="AE368" s="190" t="str">
        <f t="shared" si="101"/>
        <v/>
      </c>
      <c r="AF368" s="190" t="str">
        <f t="shared" si="102"/>
        <v/>
      </c>
      <c r="AG368" s="190" t="str">
        <f t="shared" si="91"/>
        <v>D</v>
      </c>
      <c r="AH368" s="190">
        <f>IFERROR(VLOOKUP(Y368,SISP_Deflatores_e_INMs!B$4:F$49,3,FALSE),1)</f>
        <v>1</v>
      </c>
      <c r="AI368" s="190">
        <f>IFERROR(VLOOKUP(Y368,SISP_Deflatores_e_INMs!B$4:G$49,5,FALSE),1)</f>
        <v>1</v>
      </c>
      <c r="AJ368" s="191" t="str">
        <f t="shared" si="103"/>
        <v/>
      </c>
      <c r="AK368" s="237" t="str">
        <f t="shared" si="92"/>
        <v/>
      </c>
      <c r="AL368" s="237" t="str">
        <f t="shared" si="104"/>
        <v/>
      </c>
      <c r="AM368" s="192" t="e">
        <f t="shared" si="93"/>
        <v>#VALUE!</v>
      </c>
      <c r="AN368" s="193" t="e">
        <f t="shared" si="94"/>
        <v>#VALUE!</v>
      </c>
      <c r="AO368" s="193" t="e">
        <f t="shared" si="95"/>
        <v>#VALUE!</v>
      </c>
      <c r="AP368" s="193"/>
      <c r="AQ368" s="204"/>
      <c r="AR368" s="204"/>
      <c r="AS368" s="204"/>
      <c r="AT368" s="205"/>
      <c r="AU368"/>
    </row>
    <row r="369" spans="2:47" ht="15" customHeight="1" x14ac:dyDescent="0.25">
      <c r="B369" s="206"/>
      <c r="C369" s="185"/>
      <c r="D369" s="164"/>
      <c r="E369" s="174"/>
      <c r="F369" s="164"/>
      <c r="G369" s="174"/>
      <c r="H369" s="164"/>
      <c r="I369" s="174"/>
      <c r="J369" s="184"/>
      <c r="K369" s="186"/>
      <c r="L369" s="187" t="str">
        <f t="shared" si="96"/>
        <v/>
      </c>
      <c r="M369" s="187" t="str">
        <f t="shared" si="97"/>
        <v/>
      </c>
      <c r="N369" s="187" t="str">
        <f t="shared" si="89"/>
        <v>D</v>
      </c>
      <c r="O369" s="187" t="str">
        <f t="shared" si="98"/>
        <v>D</v>
      </c>
      <c r="P369" s="187">
        <f t="shared" si="99"/>
        <v>1</v>
      </c>
      <c r="Q369" s="187">
        <f>IFERROR(VLOOKUP(E369,Tabela_Deflator:E$43,5,FALSE),1)</f>
        <v>1</v>
      </c>
      <c r="R369" s="188" t="str">
        <f t="shared" si="100"/>
        <v/>
      </c>
      <c r="S369" s="237" t="str">
        <f t="shared" si="90"/>
        <v/>
      </c>
      <c r="T369" s="237" t="str">
        <f t="shared" si="105"/>
        <v/>
      </c>
      <c r="U369" s="189"/>
      <c r="V369" s="167"/>
      <c r="W369" s="165"/>
      <c r="X369" s="164"/>
      <c r="Y369" s="164"/>
      <c r="Z369" s="164"/>
      <c r="AA369" s="174"/>
      <c r="AB369" s="164"/>
      <c r="AC369" s="174"/>
      <c r="AD369" s="184"/>
      <c r="AE369" s="190" t="str">
        <f t="shared" si="101"/>
        <v/>
      </c>
      <c r="AF369" s="190" t="str">
        <f t="shared" si="102"/>
        <v/>
      </c>
      <c r="AG369" s="190" t="str">
        <f t="shared" si="91"/>
        <v>D</v>
      </c>
      <c r="AH369" s="190">
        <f>IFERROR(VLOOKUP(Y369,SISP_Deflatores_e_INMs!B$4:F$49,3,FALSE),1)</f>
        <v>1</v>
      </c>
      <c r="AI369" s="190">
        <f>IFERROR(VLOOKUP(Y369,SISP_Deflatores_e_INMs!B$4:G$49,5,FALSE),1)</f>
        <v>1</v>
      </c>
      <c r="AJ369" s="191" t="str">
        <f t="shared" si="103"/>
        <v/>
      </c>
      <c r="AK369" s="237" t="str">
        <f t="shared" si="92"/>
        <v/>
      </c>
      <c r="AL369" s="237" t="str">
        <f t="shared" si="104"/>
        <v/>
      </c>
      <c r="AM369" s="192" t="e">
        <f t="shared" si="93"/>
        <v>#VALUE!</v>
      </c>
      <c r="AN369" s="193" t="e">
        <f t="shared" si="94"/>
        <v>#VALUE!</v>
      </c>
      <c r="AO369" s="193" t="e">
        <f t="shared" si="95"/>
        <v>#VALUE!</v>
      </c>
      <c r="AP369" s="193"/>
      <c r="AQ369" s="204"/>
      <c r="AR369" s="204"/>
      <c r="AS369" s="204"/>
      <c r="AT369" s="205"/>
      <c r="AU369"/>
    </row>
    <row r="370" spans="2:47" ht="15" customHeight="1" x14ac:dyDescent="0.25">
      <c r="B370" s="206"/>
      <c r="C370" s="185"/>
      <c r="D370" s="164"/>
      <c r="E370" s="174"/>
      <c r="F370" s="164"/>
      <c r="G370" s="174"/>
      <c r="H370" s="164"/>
      <c r="I370" s="174"/>
      <c r="J370" s="184"/>
      <c r="K370" s="186"/>
      <c r="L370" s="187" t="str">
        <f t="shared" si="96"/>
        <v/>
      </c>
      <c r="M370" s="187" t="str">
        <f t="shared" si="97"/>
        <v/>
      </c>
      <c r="N370" s="187" t="str">
        <f t="shared" si="89"/>
        <v>D</v>
      </c>
      <c r="O370" s="187" t="str">
        <f t="shared" si="98"/>
        <v>D</v>
      </c>
      <c r="P370" s="187">
        <f t="shared" si="99"/>
        <v>1</v>
      </c>
      <c r="Q370" s="187">
        <f>IFERROR(VLOOKUP(E370,Tabela_Deflator:E$43,5,FALSE),1)</f>
        <v>1</v>
      </c>
      <c r="R370" s="188" t="str">
        <f t="shared" si="100"/>
        <v/>
      </c>
      <c r="S370" s="237" t="str">
        <f t="shared" si="90"/>
        <v/>
      </c>
      <c r="T370" s="237" t="str">
        <f t="shared" si="105"/>
        <v/>
      </c>
      <c r="U370" s="189"/>
      <c r="V370" s="167"/>
      <c r="W370" s="165"/>
      <c r="X370" s="164"/>
      <c r="Y370" s="164"/>
      <c r="Z370" s="164"/>
      <c r="AA370" s="174"/>
      <c r="AB370" s="164"/>
      <c r="AC370" s="174"/>
      <c r="AD370" s="184"/>
      <c r="AE370" s="190" t="str">
        <f t="shared" si="101"/>
        <v/>
      </c>
      <c r="AF370" s="190" t="str">
        <f t="shared" si="102"/>
        <v/>
      </c>
      <c r="AG370" s="190" t="str">
        <f t="shared" si="91"/>
        <v>D</v>
      </c>
      <c r="AH370" s="190">
        <f>IFERROR(VLOOKUP(Y370,SISP_Deflatores_e_INMs!B$4:F$49,3,FALSE),1)</f>
        <v>1</v>
      </c>
      <c r="AI370" s="190">
        <f>IFERROR(VLOOKUP(Y370,SISP_Deflatores_e_INMs!B$4:G$49,5,FALSE),1)</f>
        <v>1</v>
      </c>
      <c r="AJ370" s="191" t="str">
        <f t="shared" si="103"/>
        <v/>
      </c>
      <c r="AK370" s="237" t="str">
        <f t="shared" si="92"/>
        <v/>
      </c>
      <c r="AL370" s="237" t="str">
        <f t="shared" si="104"/>
        <v/>
      </c>
      <c r="AM370" s="192" t="e">
        <f t="shared" si="93"/>
        <v>#VALUE!</v>
      </c>
      <c r="AN370" s="193" t="e">
        <f t="shared" si="94"/>
        <v>#VALUE!</v>
      </c>
      <c r="AO370" s="193" t="e">
        <f t="shared" si="95"/>
        <v>#VALUE!</v>
      </c>
      <c r="AP370" s="193"/>
      <c r="AQ370" s="204"/>
      <c r="AR370" s="204"/>
      <c r="AS370" s="204"/>
      <c r="AT370" s="205"/>
      <c r="AU370"/>
    </row>
    <row r="371" spans="2:47" ht="15" customHeight="1" x14ac:dyDescent="0.25">
      <c r="B371" s="206"/>
      <c r="C371" s="185"/>
      <c r="D371" s="164"/>
      <c r="E371" s="174"/>
      <c r="F371" s="164"/>
      <c r="G371" s="174"/>
      <c r="H371" s="164"/>
      <c r="I371" s="174"/>
      <c r="J371" s="184"/>
      <c r="K371" s="186"/>
      <c r="L371" s="187" t="str">
        <f t="shared" si="96"/>
        <v/>
      </c>
      <c r="M371" s="187" t="str">
        <f t="shared" si="97"/>
        <v/>
      </c>
      <c r="N371" s="187" t="str">
        <f t="shared" si="89"/>
        <v>D</v>
      </c>
      <c r="O371" s="187" t="str">
        <f t="shared" si="98"/>
        <v>D</v>
      </c>
      <c r="P371" s="187">
        <f t="shared" si="99"/>
        <v>1</v>
      </c>
      <c r="Q371" s="187">
        <f>IFERROR(VLOOKUP(E371,Tabela_Deflator:E$43,5,FALSE),1)</f>
        <v>1</v>
      </c>
      <c r="R371" s="188" t="str">
        <f t="shared" si="100"/>
        <v/>
      </c>
      <c r="S371" s="237" t="str">
        <f t="shared" si="90"/>
        <v/>
      </c>
      <c r="T371" s="237" t="str">
        <f t="shared" si="105"/>
        <v/>
      </c>
      <c r="U371" s="189"/>
      <c r="V371" s="167"/>
      <c r="W371" s="165"/>
      <c r="X371" s="164"/>
      <c r="Y371" s="164"/>
      <c r="Z371" s="164"/>
      <c r="AA371" s="174"/>
      <c r="AB371" s="164"/>
      <c r="AC371" s="174"/>
      <c r="AD371" s="184"/>
      <c r="AE371" s="190" t="str">
        <f t="shared" si="101"/>
        <v/>
      </c>
      <c r="AF371" s="190" t="str">
        <f t="shared" si="102"/>
        <v/>
      </c>
      <c r="AG371" s="190" t="str">
        <f t="shared" si="91"/>
        <v>D</v>
      </c>
      <c r="AH371" s="190">
        <f>IFERROR(VLOOKUP(Y371,SISP_Deflatores_e_INMs!B$4:F$49,3,FALSE),1)</f>
        <v>1</v>
      </c>
      <c r="AI371" s="190">
        <f>IFERROR(VLOOKUP(Y371,SISP_Deflatores_e_INMs!B$4:G$49,5,FALSE),1)</f>
        <v>1</v>
      </c>
      <c r="AJ371" s="191" t="str">
        <f t="shared" si="103"/>
        <v/>
      </c>
      <c r="AK371" s="237" t="str">
        <f t="shared" si="92"/>
        <v/>
      </c>
      <c r="AL371" s="237" t="str">
        <f t="shared" si="104"/>
        <v/>
      </c>
      <c r="AM371" s="192" t="e">
        <f t="shared" si="93"/>
        <v>#VALUE!</v>
      </c>
      <c r="AN371" s="193" t="e">
        <f t="shared" si="94"/>
        <v>#VALUE!</v>
      </c>
      <c r="AO371" s="193" t="e">
        <f t="shared" si="95"/>
        <v>#VALUE!</v>
      </c>
      <c r="AP371" s="193"/>
      <c r="AQ371" s="204"/>
      <c r="AR371" s="204"/>
      <c r="AS371" s="204"/>
      <c r="AT371" s="205"/>
      <c r="AU371"/>
    </row>
    <row r="372" spans="2:47" ht="15" customHeight="1" x14ac:dyDescent="0.25">
      <c r="B372" s="206"/>
      <c r="C372" s="185"/>
      <c r="D372" s="164"/>
      <c r="E372" s="174"/>
      <c r="F372" s="164"/>
      <c r="G372" s="174"/>
      <c r="H372" s="164"/>
      <c r="I372" s="174"/>
      <c r="J372" s="184"/>
      <c r="K372" s="186"/>
      <c r="L372" s="187" t="str">
        <f t="shared" si="96"/>
        <v/>
      </c>
      <c r="M372" s="187" t="str">
        <f t="shared" si="97"/>
        <v/>
      </c>
      <c r="N372" s="187" t="str">
        <f t="shared" si="89"/>
        <v>D</v>
      </c>
      <c r="O372" s="187" t="str">
        <f t="shared" si="98"/>
        <v>D</v>
      </c>
      <c r="P372" s="187">
        <f t="shared" si="99"/>
        <v>1</v>
      </c>
      <c r="Q372" s="187">
        <f>IFERROR(VLOOKUP(E372,Tabela_Deflator:E$43,5,FALSE),1)</f>
        <v>1</v>
      </c>
      <c r="R372" s="188" t="str">
        <f t="shared" si="100"/>
        <v/>
      </c>
      <c r="S372" s="237" t="str">
        <f t="shared" si="90"/>
        <v/>
      </c>
      <c r="T372" s="237" t="str">
        <f t="shared" si="105"/>
        <v/>
      </c>
      <c r="U372" s="189"/>
      <c r="V372" s="167"/>
      <c r="W372" s="165"/>
      <c r="X372" s="164"/>
      <c r="Y372" s="164"/>
      <c r="Z372" s="164"/>
      <c r="AA372" s="174"/>
      <c r="AB372" s="164"/>
      <c r="AC372" s="174"/>
      <c r="AD372" s="184"/>
      <c r="AE372" s="190" t="str">
        <f t="shared" si="101"/>
        <v/>
      </c>
      <c r="AF372" s="190" t="str">
        <f t="shared" si="102"/>
        <v/>
      </c>
      <c r="AG372" s="190" t="str">
        <f t="shared" si="91"/>
        <v>D</v>
      </c>
      <c r="AH372" s="190">
        <f>IFERROR(VLOOKUP(Y372,SISP_Deflatores_e_INMs!B$4:F$49,3,FALSE),1)</f>
        <v>1</v>
      </c>
      <c r="AI372" s="190">
        <f>IFERROR(VLOOKUP(Y372,SISP_Deflatores_e_INMs!B$4:G$49,5,FALSE),1)</f>
        <v>1</v>
      </c>
      <c r="AJ372" s="191" t="str">
        <f t="shared" si="103"/>
        <v/>
      </c>
      <c r="AK372" s="237" t="str">
        <f t="shared" si="92"/>
        <v/>
      </c>
      <c r="AL372" s="237" t="str">
        <f t="shared" si="104"/>
        <v/>
      </c>
      <c r="AM372" s="192" t="e">
        <f t="shared" si="93"/>
        <v>#VALUE!</v>
      </c>
      <c r="AN372" s="193" t="e">
        <f t="shared" si="94"/>
        <v>#VALUE!</v>
      </c>
      <c r="AO372" s="193" t="e">
        <f t="shared" si="95"/>
        <v>#VALUE!</v>
      </c>
      <c r="AP372" s="193"/>
      <c r="AQ372" s="204"/>
      <c r="AR372" s="204"/>
      <c r="AS372" s="204"/>
      <c r="AT372" s="205"/>
      <c r="AU372"/>
    </row>
    <row r="373" spans="2:47" ht="15" customHeight="1" x14ac:dyDescent="0.25">
      <c r="B373" s="206"/>
      <c r="C373" s="185"/>
      <c r="D373" s="164"/>
      <c r="E373" s="174"/>
      <c r="F373" s="164"/>
      <c r="G373" s="174"/>
      <c r="H373" s="164"/>
      <c r="I373" s="174"/>
      <c r="J373" s="184"/>
      <c r="K373" s="186"/>
      <c r="L373" s="187" t="str">
        <f t="shared" si="96"/>
        <v/>
      </c>
      <c r="M373" s="187" t="str">
        <f t="shared" si="97"/>
        <v/>
      </c>
      <c r="N373" s="187" t="str">
        <f t="shared" si="89"/>
        <v>D</v>
      </c>
      <c r="O373" s="187" t="str">
        <f t="shared" si="98"/>
        <v>D</v>
      </c>
      <c r="P373" s="187">
        <f t="shared" si="99"/>
        <v>1</v>
      </c>
      <c r="Q373" s="187">
        <f>IFERROR(VLOOKUP(E373,Tabela_Deflator:E$43,5,FALSE),1)</f>
        <v>1</v>
      </c>
      <c r="R373" s="188" t="str">
        <f t="shared" si="100"/>
        <v/>
      </c>
      <c r="S373" s="237" t="str">
        <f t="shared" si="90"/>
        <v/>
      </c>
      <c r="T373" s="237" t="str">
        <f t="shared" si="105"/>
        <v/>
      </c>
      <c r="U373" s="189"/>
      <c r="V373" s="167"/>
      <c r="W373" s="165"/>
      <c r="X373" s="164"/>
      <c r="Y373" s="164"/>
      <c r="Z373" s="164"/>
      <c r="AA373" s="174"/>
      <c r="AB373" s="164"/>
      <c r="AC373" s="174"/>
      <c r="AD373" s="184"/>
      <c r="AE373" s="190" t="str">
        <f t="shared" si="101"/>
        <v/>
      </c>
      <c r="AF373" s="190" t="str">
        <f t="shared" si="102"/>
        <v/>
      </c>
      <c r="AG373" s="190" t="str">
        <f t="shared" si="91"/>
        <v>D</v>
      </c>
      <c r="AH373" s="190">
        <f>IFERROR(VLOOKUP(Y373,SISP_Deflatores_e_INMs!B$4:F$49,3,FALSE),1)</f>
        <v>1</v>
      </c>
      <c r="AI373" s="190">
        <f>IFERROR(VLOOKUP(Y373,SISP_Deflatores_e_INMs!B$4:G$49,5,FALSE),1)</f>
        <v>1</v>
      </c>
      <c r="AJ373" s="191" t="str">
        <f t="shared" si="103"/>
        <v/>
      </c>
      <c r="AK373" s="237" t="str">
        <f t="shared" si="92"/>
        <v/>
      </c>
      <c r="AL373" s="237" t="str">
        <f t="shared" si="104"/>
        <v/>
      </c>
      <c r="AM373" s="192" t="e">
        <f t="shared" si="93"/>
        <v>#VALUE!</v>
      </c>
      <c r="AN373" s="193" t="e">
        <f t="shared" si="94"/>
        <v>#VALUE!</v>
      </c>
      <c r="AO373" s="193" t="e">
        <f t="shared" si="95"/>
        <v>#VALUE!</v>
      </c>
      <c r="AP373" s="193"/>
      <c r="AQ373" s="204"/>
      <c r="AR373" s="204"/>
      <c r="AS373" s="204"/>
      <c r="AT373" s="205"/>
      <c r="AU373"/>
    </row>
    <row r="374" spans="2:47" ht="15" customHeight="1" x14ac:dyDescent="0.25">
      <c r="B374" s="206"/>
      <c r="C374" s="185"/>
      <c r="D374" s="164"/>
      <c r="E374" s="174"/>
      <c r="F374" s="164"/>
      <c r="G374" s="174"/>
      <c r="H374" s="164"/>
      <c r="I374" s="174"/>
      <c r="J374" s="184"/>
      <c r="K374" s="186"/>
      <c r="L374" s="187" t="str">
        <f t="shared" si="96"/>
        <v/>
      </c>
      <c r="M374" s="187" t="str">
        <f t="shared" si="97"/>
        <v/>
      </c>
      <c r="N374" s="187" t="str">
        <f t="shared" si="89"/>
        <v>D</v>
      </c>
      <c r="O374" s="187" t="str">
        <f t="shared" si="98"/>
        <v>D</v>
      </c>
      <c r="P374" s="187">
        <f t="shared" si="99"/>
        <v>1</v>
      </c>
      <c r="Q374" s="187">
        <f>IFERROR(VLOOKUP(E374,Tabela_Deflator:E$43,5,FALSE),1)</f>
        <v>1</v>
      </c>
      <c r="R374" s="188" t="str">
        <f t="shared" si="100"/>
        <v/>
      </c>
      <c r="S374" s="237" t="str">
        <f t="shared" si="90"/>
        <v/>
      </c>
      <c r="T374" s="237" t="str">
        <f t="shared" si="105"/>
        <v/>
      </c>
      <c r="U374" s="189"/>
      <c r="V374" s="167"/>
      <c r="W374" s="165"/>
      <c r="X374" s="164"/>
      <c r="Y374" s="164"/>
      <c r="Z374" s="164"/>
      <c r="AA374" s="174"/>
      <c r="AB374" s="164"/>
      <c r="AC374" s="174"/>
      <c r="AD374" s="184"/>
      <c r="AE374" s="190" t="str">
        <f t="shared" si="101"/>
        <v/>
      </c>
      <c r="AF374" s="190" t="str">
        <f t="shared" si="102"/>
        <v/>
      </c>
      <c r="AG374" s="190" t="str">
        <f t="shared" si="91"/>
        <v>D</v>
      </c>
      <c r="AH374" s="190">
        <f>IFERROR(VLOOKUP(Y374,SISP_Deflatores_e_INMs!B$4:F$49,3,FALSE),1)</f>
        <v>1</v>
      </c>
      <c r="AI374" s="190">
        <f>IFERROR(VLOOKUP(Y374,SISP_Deflatores_e_INMs!B$4:G$49,5,FALSE),1)</f>
        <v>1</v>
      </c>
      <c r="AJ374" s="191" t="str">
        <f t="shared" si="103"/>
        <v/>
      </c>
      <c r="AK374" s="237" t="str">
        <f t="shared" si="92"/>
        <v/>
      </c>
      <c r="AL374" s="237" t="str">
        <f t="shared" si="104"/>
        <v/>
      </c>
      <c r="AM374" s="192" t="e">
        <f t="shared" si="93"/>
        <v>#VALUE!</v>
      </c>
      <c r="AN374" s="193" t="e">
        <f t="shared" si="94"/>
        <v>#VALUE!</v>
      </c>
      <c r="AO374" s="193" t="e">
        <f t="shared" si="95"/>
        <v>#VALUE!</v>
      </c>
      <c r="AP374" s="193"/>
      <c r="AQ374" s="204"/>
      <c r="AR374" s="204"/>
      <c r="AS374" s="204"/>
      <c r="AT374" s="205"/>
      <c r="AU374"/>
    </row>
    <row r="375" spans="2:47" ht="15" customHeight="1" x14ac:dyDescent="0.25">
      <c r="B375" s="206"/>
      <c r="C375" s="185"/>
      <c r="D375" s="164"/>
      <c r="E375" s="174"/>
      <c r="F375" s="164"/>
      <c r="G375" s="174"/>
      <c r="H375" s="164"/>
      <c r="I375" s="174"/>
      <c r="J375" s="184"/>
      <c r="K375" s="186"/>
      <c r="L375" s="187" t="str">
        <f t="shared" si="96"/>
        <v/>
      </c>
      <c r="M375" s="187" t="str">
        <f t="shared" si="97"/>
        <v/>
      </c>
      <c r="N375" s="187" t="str">
        <f t="shared" si="89"/>
        <v>D</v>
      </c>
      <c r="O375" s="187" t="str">
        <f t="shared" si="98"/>
        <v>D</v>
      </c>
      <c r="P375" s="187">
        <f t="shared" si="99"/>
        <v>1</v>
      </c>
      <c r="Q375" s="187">
        <f>IFERROR(VLOOKUP(E375,Tabela_Deflator:E$43,5,FALSE),1)</f>
        <v>1</v>
      </c>
      <c r="R375" s="188" t="str">
        <f t="shared" si="100"/>
        <v/>
      </c>
      <c r="S375" s="237" t="str">
        <f t="shared" si="90"/>
        <v/>
      </c>
      <c r="T375" s="237" t="str">
        <f t="shared" si="105"/>
        <v/>
      </c>
      <c r="U375" s="189"/>
      <c r="V375" s="167"/>
      <c r="W375" s="165"/>
      <c r="X375" s="164"/>
      <c r="Y375" s="164"/>
      <c r="Z375" s="164"/>
      <c r="AA375" s="174"/>
      <c r="AB375" s="164"/>
      <c r="AC375" s="174"/>
      <c r="AD375" s="184"/>
      <c r="AE375" s="190" t="str">
        <f t="shared" si="101"/>
        <v/>
      </c>
      <c r="AF375" s="190" t="str">
        <f t="shared" si="102"/>
        <v/>
      </c>
      <c r="AG375" s="190" t="str">
        <f t="shared" si="91"/>
        <v>D</v>
      </c>
      <c r="AH375" s="190">
        <f>IFERROR(VLOOKUP(Y375,SISP_Deflatores_e_INMs!B$4:F$49,3,FALSE),1)</f>
        <v>1</v>
      </c>
      <c r="AI375" s="190">
        <f>IFERROR(VLOOKUP(Y375,SISP_Deflatores_e_INMs!B$4:G$49,5,FALSE),1)</f>
        <v>1</v>
      </c>
      <c r="AJ375" s="191" t="str">
        <f t="shared" si="103"/>
        <v/>
      </c>
      <c r="AK375" s="237" t="str">
        <f t="shared" si="92"/>
        <v/>
      </c>
      <c r="AL375" s="237" t="str">
        <f t="shared" si="104"/>
        <v/>
      </c>
      <c r="AM375" s="192" t="e">
        <f t="shared" si="93"/>
        <v>#VALUE!</v>
      </c>
      <c r="AN375" s="193" t="e">
        <f t="shared" si="94"/>
        <v>#VALUE!</v>
      </c>
      <c r="AO375" s="193" t="e">
        <f t="shared" si="95"/>
        <v>#VALUE!</v>
      </c>
      <c r="AP375" s="193"/>
      <c r="AQ375" s="204"/>
      <c r="AR375" s="204"/>
      <c r="AS375" s="204"/>
      <c r="AT375" s="205"/>
      <c r="AU375"/>
    </row>
    <row r="376" spans="2:47" ht="15" customHeight="1" x14ac:dyDescent="0.25">
      <c r="B376" s="206"/>
      <c r="C376" s="185"/>
      <c r="D376" s="164"/>
      <c r="E376" s="174"/>
      <c r="F376" s="164"/>
      <c r="G376" s="174"/>
      <c r="H376" s="164"/>
      <c r="I376" s="174"/>
      <c r="J376" s="184"/>
      <c r="K376" s="186"/>
      <c r="L376" s="187" t="str">
        <f t="shared" si="96"/>
        <v/>
      </c>
      <c r="M376" s="187" t="str">
        <f t="shared" si="97"/>
        <v/>
      </c>
      <c r="N376" s="187" t="str">
        <f t="shared" si="89"/>
        <v>D</v>
      </c>
      <c r="O376" s="187" t="str">
        <f t="shared" si="98"/>
        <v>D</v>
      </c>
      <c r="P376" s="187">
        <f t="shared" si="99"/>
        <v>1</v>
      </c>
      <c r="Q376" s="187">
        <f>IFERROR(VLOOKUP(E376,Tabela_Deflator:E$43,5,FALSE),1)</f>
        <v>1</v>
      </c>
      <c r="R376" s="188" t="str">
        <f t="shared" si="100"/>
        <v/>
      </c>
      <c r="S376" s="237" t="str">
        <f t="shared" si="90"/>
        <v/>
      </c>
      <c r="T376" s="237" t="str">
        <f t="shared" si="105"/>
        <v/>
      </c>
      <c r="U376" s="189"/>
      <c r="V376" s="167"/>
      <c r="W376" s="165"/>
      <c r="X376" s="164"/>
      <c r="Y376" s="164"/>
      <c r="Z376" s="164"/>
      <c r="AA376" s="174"/>
      <c r="AB376" s="164"/>
      <c r="AC376" s="174"/>
      <c r="AD376" s="184"/>
      <c r="AE376" s="190" t="str">
        <f t="shared" si="101"/>
        <v/>
      </c>
      <c r="AF376" s="190" t="str">
        <f t="shared" si="102"/>
        <v/>
      </c>
      <c r="AG376" s="190" t="str">
        <f t="shared" si="91"/>
        <v>D</v>
      </c>
      <c r="AH376" s="190">
        <f>IFERROR(VLOOKUP(Y376,SISP_Deflatores_e_INMs!B$4:F$49,3,FALSE),1)</f>
        <v>1</v>
      </c>
      <c r="AI376" s="190">
        <f>IFERROR(VLOOKUP(Y376,SISP_Deflatores_e_INMs!B$4:G$49,5,FALSE),1)</f>
        <v>1</v>
      </c>
      <c r="AJ376" s="191" t="str">
        <f t="shared" si="103"/>
        <v/>
      </c>
      <c r="AK376" s="237" t="str">
        <f t="shared" si="92"/>
        <v/>
      </c>
      <c r="AL376" s="237" t="str">
        <f t="shared" si="104"/>
        <v/>
      </c>
      <c r="AM376" s="192" t="e">
        <f t="shared" si="93"/>
        <v>#VALUE!</v>
      </c>
      <c r="AN376" s="193" t="e">
        <f t="shared" si="94"/>
        <v>#VALUE!</v>
      </c>
      <c r="AO376" s="193" t="e">
        <f t="shared" si="95"/>
        <v>#VALUE!</v>
      </c>
      <c r="AP376" s="193"/>
      <c r="AQ376" s="204"/>
      <c r="AR376" s="204"/>
      <c r="AS376" s="204"/>
      <c r="AT376" s="205"/>
      <c r="AU376"/>
    </row>
    <row r="377" spans="2:47" ht="15" customHeight="1" x14ac:dyDescent="0.25">
      <c r="B377" s="206"/>
      <c r="C377" s="185"/>
      <c r="D377" s="164"/>
      <c r="E377" s="174"/>
      <c r="F377" s="164"/>
      <c r="G377" s="174"/>
      <c r="H377" s="164"/>
      <c r="I377" s="174"/>
      <c r="J377" s="184"/>
      <c r="K377" s="186"/>
      <c r="L377" s="187" t="str">
        <f t="shared" si="96"/>
        <v/>
      </c>
      <c r="M377" s="187" t="str">
        <f t="shared" si="97"/>
        <v/>
      </c>
      <c r="N377" s="187" t="str">
        <f t="shared" si="89"/>
        <v>D</v>
      </c>
      <c r="O377" s="187" t="str">
        <f t="shared" si="98"/>
        <v>D</v>
      </c>
      <c r="P377" s="187">
        <f t="shared" si="99"/>
        <v>1</v>
      </c>
      <c r="Q377" s="187">
        <f>IFERROR(VLOOKUP(E377,Tabela_Deflator:E$43,5,FALSE),1)</f>
        <v>1</v>
      </c>
      <c r="R377" s="188" t="str">
        <f t="shared" si="100"/>
        <v/>
      </c>
      <c r="S377" s="237" t="str">
        <f t="shared" si="90"/>
        <v/>
      </c>
      <c r="T377" s="237" t="str">
        <f t="shared" si="105"/>
        <v/>
      </c>
      <c r="U377" s="189"/>
      <c r="V377" s="167"/>
      <c r="W377" s="165"/>
      <c r="X377" s="164"/>
      <c r="Y377" s="164"/>
      <c r="Z377" s="164"/>
      <c r="AA377" s="174"/>
      <c r="AB377" s="164"/>
      <c r="AC377" s="174"/>
      <c r="AD377" s="184"/>
      <c r="AE377" s="190" t="str">
        <f t="shared" si="101"/>
        <v/>
      </c>
      <c r="AF377" s="190" t="str">
        <f t="shared" si="102"/>
        <v/>
      </c>
      <c r="AG377" s="190" t="str">
        <f t="shared" si="91"/>
        <v>D</v>
      </c>
      <c r="AH377" s="190">
        <f>IFERROR(VLOOKUP(Y377,SISP_Deflatores_e_INMs!B$4:F$49,3,FALSE),1)</f>
        <v>1</v>
      </c>
      <c r="AI377" s="190">
        <f>IFERROR(VLOOKUP(Y377,SISP_Deflatores_e_INMs!B$4:G$49,5,FALSE),1)</f>
        <v>1</v>
      </c>
      <c r="AJ377" s="191" t="str">
        <f t="shared" si="103"/>
        <v/>
      </c>
      <c r="AK377" s="237" t="str">
        <f t="shared" si="92"/>
        <v/>
      </c>
      <c r="AL377" s="237" t="str">
        <f t="shared" si="104"/>
        <v/>
      </c>
      <c r="AM377" s="192" t="e">
        <f t="shared" si="93"/>
        <v>#VALUE!</v>
      </c>
      <c r="AN377" s="193" t="e">
        <f t="shared" si="94"/>
        <v>#VALUE!</v>
      </c>
      <c r="AO377" s="193" t="e">
        <f t="shared" si="95"/>
        <v>#VALUE!</v>
      </c>
      <c r="AP377" s="193"/>
      <c r="AQ377" s="204"/>
      <c r="AR377" s="204"/>
      <c r="AS377" s="204"/>
      <c r="AT377" s="205"/>
      <c r="AU377"/>
    </row>
    <row r="378" spans="2:47" ht="15" customHeight="1" x14ac:dyDescent="0.25">
      <c r="B378" s="206"/>
      <c r="C378" s="185"/>
      <c r="D378" s="164"/>
      <c r="E378" s="174"/>
      <c r="F378" s="164"/>
      <c r="G378" s="174"/>
      <c r="H378" s="164"/>
      <c r="I378" s="174"/>
      <c r="J378" s="184"/>
      <c r="K378" s="186"/>
      <c r="L378" s="187" t="str">
        <f t="shared" si="96"/>
        <v/>
      </c>
      <c r="M378" s="187" t="str">
        <f t="shared" si="97"/>
        <v/>
      </c>
      <c r="N378" s="187" t="str">
        <f t="shared" si="89"/>
        <v>D</v>
      </c>
      <c r="O378" s="187" t="str">
        <f t="shared" si="98"/>
        <v>D</v>
      </c>
      <c r="P378" s="187">
        <f t="shared" si="99"/>
        <v>1</v>
      </c>
      <c r="Q378" s="187">
        <f>IFERROR(VLOOKUP(E378,Tabela_Deflator:E$43,5,FALSE),1)</f>
        <v>1</v>
      </c>
      <c r="R378" s="188" t="str">
        <f t="shared" si="100"/>
        <v/>
      </c>
      <c r="S378" s="237" t="str">
        <f t="shared" si="90"/>
        <v/>
      </c>
      <c r="T378" s="237" t="str">
        <f t="shared" si="105"/>
        <v/>
      </c>
      <c r="U378" s="189"/>
      <c r="V378" s="167"/>
      <c r="W378" s="165"/>
      <c r="X378" s="164"/>
      <c r="Y378" s="164"/>
      <c r="Z378" s="164"/>
      <c r="AA378" s="174"/>
      <c r="AB378" s="164"/>
      <c r="AC378" s="174"/>
      <c r="AD378" s="184"/>
      <c r="AE378" s="190" t="str">
        <f t="shared" si="101"/>
        <v/>
      </c>
      <c r="AF378" s="190" t="str">
        <f t="shared" si="102"/>
        <v/>
      </c>
      <c r="AG378" s="190" t="str">
        <f t="shared" si="91"/>
        <v>D</v>
      </c>
      <c r="AH378" s="190">
        <f>IFERROR(VLOOKUP(Y378,SISP_Deflatores_e_INMs!B$4:F$49,3,FALSE),1)</f>
        <v>1</v>
      </c>
      <c r="AI378" s="190">
        <f>IFERROR(VLOOKUP(Y378,SISP_Deflatores_e_INMs!B$4:G$49,5,FALSE),1)</f>
        <v>1</v>
      </c>
      <c r="AJ378" s="191" t="str">
        <f t="shared" si="103"/>
        <v/>
      </c>
      <c r="AK378" s="237" t="str">
        <f t="shared" si="92"/>
        <v/>
      </c>
      <c r="AL378" s="237" t="str">
        <f t="shared" si="104"/>
        <v/>
      </c>
      <c r="AM378" s="192" t="e">
        <f t="shared" si="93"/>
        <v>#VALUE!</v>
      </c>
      <c r="AN378" s="193" t="e">
        <f t="shared" si="94"/>
        <v>#VALUE!</v>
      </c>
      <c r="AO378" s="193" t="e">
        <f t="shared" si="95"/>
        <v>#VALUE!</v>
      </c>
      <c r="AP378" s="193"/>
      <c r="AQ378" s="204"/>
      <c r="AR378" s="204"/>
      <c r="AS378" s="204"/>
      <c r="AT378" s="205"/>
      <c r="AU378"/>
    </row>
    <row r="379" spans="2:47" ht="15" customHeight="1" x14ac:dyDescent="0.25">
      <c r="B379" s="206"/>
      <c r="C379" s="185"/>
      <c r="D379" s="164"/>
      <c r="E379" s="174"/>
      <c r="F379" s="164"/>
      <c r="G379" s="174"/>
      <c r="H379" s="164"/>
      <c r="I379" s="174"/>
      <c r="J379" s="184"/>
      <c r="K379" s="186"/>
      <c r="L379" s="187" t="str">
        <f t="shared" si="96"/>
        <v/>
      </c>
      <c r="M379" s="187" t="str">
        <f t="shared" si="97"/>
        <v/>
      </c>
      <c r="N379" s="187" t="str">
        <f t="shared" si="89"/>
        <v>D</v>
      </c>
      <c r="O379" s="187" t="str">
        <f t="shared" si="98"/>
        <v>D</v>
      </c>
      <c r="P379" s="187">
        <f t="shared" si="99"/>
        <v>1</v>
      </c>
      <c r="Q379" s="187">
        <f>IFERROR(VLOOKUP(E379,Tabela_Deflator:E$43,5,FALSE),1)</f>
        <v>1</v>
      </c>
      <c r="R379" s="188" t="str">
        <f t="shared" si="100"/>
        <v/>
      </c>
      <c r="S379" s="237" t="str">
        <f t="shared" si="90"/>
        <v/>
      </c>
      <c r="T379" s="237" t="str">
        <f t="shared" si="105"/>
        <v/>
      </c>
      <c r="U379" s="189"/>
      <c r="V379" s="167"/>
      <c r="W379" s="165"/>
      <c r="X379" s="164"/>
      <c r="Y379" s="164"/>
      <c r="Z379" s="164"/>
      <c r="AA379" s="174"/>
      <c r="AB379" s="164"/>
      <c r="AC379" s="174"/>
      <c r="AD379" s="184"/>
      <c r="AE379" s="190" t="str">
        <f t="shared" si="101"/>
        <v/>
      </c>
      <c r="AF379" s="190" t="str">
        <f t="shared" si="102"/>
        <v/>
      </c>
      <c r="AG379" s="190" t="str">
        <f t="shared" si="91"/>
        <v>D</v>
      </c>
      <c r="AH379" s="190">
        <f>IFERROR(VLOOKUP(Y379,SISP_Deflatores_e_INMs!B$4:F$49,3,FALSE),1)</f>
        <v>1</v>
      </c>
      <c r="AI379" s="190">
        <f>IFERROR(VLOOKUP(Y379,SISP_Deflatores_e_INMs!B$4:G$49,5,FALSE),1)</f>
        <v>1</v>
      </c>
      <c r="AJ379" s="191" t="str">
        <f t="shared" si="103"/>
        <v/>
      </c>
      <c r="AK379" s="237" t="str">
        <f t="shared" si="92"/>
        <v/>
      </c>
      <c r="AL379" s="237" t="str">
        <f t="shared" si="104"/>
        <v/>
      </c>
      <c r="AM379" s="192" t="e">
        <f t="shared" si="93"/>
        <v>#VALUE!</v>
      </c>
      <c r="AN379" s="193" t="e">
        <f t="shared" si="94"/>
        <v>#VALUE!</v>
      </c>
      <c r="AO379" s="193" t="e">
        <f t="shared" si="95"/>
        <v>#VALUE!</v>
      </c>
      <c r="AP379" s="193"/>
      <c r="AQ379" s="204"/>
      <c r="AR379" s="204"/>
      <c r="AS379" s="204"/>
      <c r="AT379" s="205"/>
      <c r="AU379"/>
    </row>
    <row r="380" spans="2:47" ht="15" customHeight="1" x14ac:dyDescent="0.25">
      <c r="B380" s="206"/>
      <c r="C380" s="185"/>
      <c r="D380" s="164"/>
      <c r="E380" s="174"/>
      <c r="F380" s="164"/>
      <c r="G380" s="174"/>
      <c r="H380" s="164"/>
      <c r="I380" s="174"/>
      <c r="J380" s="184"/>
      <c r="K380" s="186"/>
      <c r="L380" s="187" t="str">
        <f t="shared" si="96"/>
        <v/>
      </c>
      <c r="M380" s="187" t="str">
        <f t="shared" si="97"/>
        <v/>
      </c>
      <c r="N380" s="187" t="str">
        <f t="shared" si="89"/>
        <v>D</v>
      </c>
      <c r="O380" s="187" t="str">
        <f t="shared" si="98"/>
        <v>D</v>
      </c>
      <c r="P380" s="187">
        <f t="shared" si="99"/>
        <v>1</v>
      </c>
      <c r="Q380" s="187">
        <f>IFERROR(VLOOKUP(E380,Tabela_Deflator:E$43,5,FALSE),1)</f>
        <v>1</v>
      </c>
      <c r="R380" s="188" t="str">
        <f t="shared" si="100"/>
        <v/>
      </c>
      <c r="S380" s="237" t="str">
        <f t="shared" si="90"/>
        <v/>
      </c>
      <c r="T380" s="237" t="str">
        <f t="shared" si="105"/>
        <v/>
      </c>
      <c r="U380" s="189"/>
      <c r="V380" s="167"/>
      <c r="W380" s="165"/>
      <c r="X380" s="164"/>
      <c r="Y380" s="164"/>
      <c r="Z380" s="164"/>
      <c r="AA380" s="174"/>
      <c r="AB380" s="164"/>
      <c r="AC380" s="174"/>
      <c r="AD380" s="184"/>
      <c r="AE380" s="190" t="str">
        <f t="shared" si="101"/>
        <v/>
      </c>
      <c r="AF380" s="190" t="str">
        <f t="shared" si="102"/>
        <v/>
      </c>
      <c r="AG380" s="190" t="str">
        <f t="shared" si="91"/>
        <v>D</v>
      </c>
      <c r="AH380" s="190">
        <f>IFERROR(VLOOKUP(Y380,SISP_Deflatores_e_INMs!B$4:F$49,3,FALSE),1)</f>
        <v>1</v>
      </c>
      <c r="AI380" s="190">
        <f>IFERROR(VLOOKUP(Y380,SISP_Deflatores_e_INMs!B$4:G$49,5,FALSE),1)</f>
        <v>1</v>
      </c>
      <c r="AJ380" s="191" t="str">
        <f t="shared" si="103"/>
        <v/>
      </c>
      <c r="AK380" s="237" t="str">
        <f t="shared" si="92"/>
        <v/>
      </c>
      <c r="AL380" s="237" t="str">
        <f t="shared" si="104"/>
        <v/>
      </c>
      <c r="AM380" s="192" t="e">
        <f t="shared" si="93"/>
        <v>#VALUE!</v>
      </c>
      <c r="AN380" s="193" t="e">
        <f t="shared" si="94"/>
        <v>#VALUE!</v>
      </c>
      <c r="AO380" s="193" t="e">
        <f t="shared" si="95"/>
        <v>#VALUE!</v>
      </c>
      <c r="AP380" s="193"/>
      <c r="AQ380" s="204"/>
      <c r="AR380" s="204"/>
      <c r="AS380" s="204"/>
      <c r="AT380" s="205"/>
      <c r="AU380"/>
    </row>
    <row r="381" spans="2:47" ht="15" customHeight="1" x14ac:dyDescent="0.25">
      <c r="B381" s="206"/>
      <c r="C381" s="185"/>
      <c r="D381" s="164"/>
      <c r="E381" s="174"/>
      <c r="F381" s="164"/>
      <c r="G381" s="174"/>
      <c r="H381" s="164"/>
      <c r="I381" s="174"/>
      <c r="J381" s="184"/>
      <c r="K381" s="186"/>
      <c r="L381" s="187" t="str">
        <f t="shared" si="96"/>
        <v/>
      </c>
      <c r="M381" s="187" t="str">
        <f t="shared" si="97"/>
        <v/>
      </c>
      <c r="N381" s="187" t="str">
        <f t="shared" si="89"/>
        <v>D</v>
      </c>
      <c r="O381" s="187" t="str">
        <f t="shared" si="98"/>
        <v>D</v>
      </c>
      <c r="P381" s="187">
        <f t="shared" si="99"/>
        <v>1</v>
      </c>
      <c r="Q381" s="187">
        <f>IFERROR(VLOOKUP(E381,Tabela_Deflator:E$43,5,FALSE),1)</f>
        <v>1</v>
      </c>
      <c r="R381" s="188" t="str">
        <f t="shared" si="100"/>
        <v/>
      </c>
      <c r="S381" s="237" t="str">
        <f t="shared" si="90"/>
        <v/>
      </c>
      <c r="T381" s="237" t="str">
        <f t="shared" si="105"/>
        <v/>
      </c>
      <c r="U381" s="189"/>
      <c r="V381" s="167"/>
      <c r="W381" s="165"/>
      <c r="X381" s="164"/>
      <c r="Y381" s="164"/>
      <c r="Z381" s="164"/>
      <c r="AA381" s="174"/>
      <c r="AB381" s="164"/>
      <c r="AC381" s="174"/>
      <c r="AD381" s="184"/>
      <c r="AE381" s="190" t="str">
        <f t="shared" si="101"/>
        <v/>
      </c>
      <c r="AF381" s="190" t="str">
        <f t="shared" si="102"/>
        <v/>
      </c>
      <c r="AG381" s="190" t="str">
        <f t="shared" si="91"/>
        <v>D</v>
      </c>
      <c r="AH381" s="190">
        <f>IFERROR(VLOOKUP(Y381,SISP_Deflatores_e_INMs!B$4:F$49,3,FALSE),1)</f>
        <v>1</v>
      </c>
      <c r="AI381" s="190">
        <f>IFERROR(VLOOKUP(Y381,SISP_Deflatores_e_INMs!B$4:G$49,5,FALSE),1)</f>
        <v>1</v>
      </c>
      <c r="AJ381" s="191" t="str">
        <f t="shared" si="103"/>
        <v/>
      </c>
      <c r="AK381" s="237" t="str">
        <f t="shared" si="92"/>
        <v/>
      </c>
      <c r="AL381" s="237" t="str">
        <f t="shared" si="104"/>
        <v/>
      </c>
      <c r="AM381" s="192" t="e">
        <f t="shared" si="93"/>
        <v>#VALUE!</v>
      </c>
      <c r="AN381" s="193" t="e">
        <f t="shared" si="94"/>
        <v>#VALUE!</v>
      </c>
      <c r="AO381" s="193" t="e">
        <f t="shared" si="95"/>
        <v>#VALUE!</v>
      </c>
      <c r="AP381" s="193"/>
      <c r="AQ381" s="204"/>
      <c r="AR381" s="204"/>
      <c r="AS381" s="204"/>
      <c r="AT381" s="205"/>
      <c r="AU381"/>
    </row>
    <row r="382" spans="2:47" ht="15" customHeight="1" x14ac:dyDescent="0.25">
      <c r="B382" s="206"/>
      <c r="C382" s="185"/>
      <c r="D382" s="164"/>
      <c r="E382" s="174"/>
      <c r="F382" s="164"/>
      <c r="G382" s="174"/>
      <c r="H382" s="164"/>
      <c r="I382" s="174"/>
      <c r="J382" s="184"/>
      <c r="K382" s="186"/>
      <c r="L382" s="187" t="str">
        <f t="shared" si="96"/>
        <v/>
      </c>
      <c r="M382" s="187" t="str">
        <f t="shared" si="97"/>
        <v/>
      </c>
      <c r="N382" s="187" t="str">
        <f t="shared" si="89"/>
        <v>D</v>
      </c>
      <c r="O382" s="187" t="str">
        <f t="shared" si="98"/>
        <v>D</v>
      </c>
      <c r="P382" s="187">
        <f t="shared" si="99"/>
        <v>1</v>
      </c>
      <c r="Q382" s="187">
        <f>IFERROR(VLOOKUP(E382,Tabela_Deflator:E$43,5,FALSE),1)</f>
        <v>1</v>
      </c>
      <c r="R382" s="188" t="str">
        <f t="shared" si="100"/>
        <v/>
      </c>
      <c r="S382" s="237" t="str">
        <f t="shared" si="90"/>
        <v/>
      </c>
      <c r="T382" s="237" t="str">
        <f t="shared" si="105"/>
        <v/>
      </c>
      <c r="U382" s="189"/>
      <c r="V382" s="167"/>
      <c r="W382" s="165"/>
      <c r="X382" s="164"/>
      <c r="Y382" s="164"/>
      <c r="Z382" s="164"/>
      <c r="AA382" s="174"/>
      <c r="AB382" s="164"/>
      <c r="AC382" s="174"/>
      <c r="AD382" s="184"/>
      <c r="AE382" s="190" t="str">
        <f t="shared" si="101"/>
        <v/>
      </c>
      <c r="AF382" s="190" t="str">
        <f t="shared" si="102"/>
        <v/>
      </c>
      <c r="AG382" s="190" t="str">
        <f t="shared" si="91"/>
        <v>D</v>
      </c>
      <c r="AH382" s="190">
        <f>IFERROR(VLOOKUP(Y382,SISP_Deflatores_e_INMs!B$4:F$49,3,FALSE),1)</f>
        <v>1</v>
      </c>
      <c r="AI382" s="190">
        <f>IFERROR(VLOOKUP(Y382,SISP_Deflatores_e_INMs!B$4:G$49,5,FALSE),1)</f>
        <v>1</v>
      </c>
      <c r="AJ382" s="191" t="str">
        <f t="shared" si="103"/>
        <v/>
      </c>
      <c r="AK382" s="237" t="str">
        <f t="shared" si="92"/>
        <v/>
      </c>
      <c r="AL382" s="237" t="str">
        <f t="shared" si="104"/>
        <v/>
      </c>
      <c r="AM382" s="192" t="e">
        <f t="shared" si="93"/>
        <v>#VALUE!</v>
      </c>
      <c r="AN382" s="193" t="e">
        <f t="shared" si="94"/>
        <v>#VALUE!</v>
      </c>
      <c r="AO382" s="193" t="e">
        <f t="shared" si="95"/>
        <v>#VALUE!</v>
      </c>
      <c r="AP382" s="193"/>
      <c r="AQ382" s="204"/>
      <c r="AR382" s="204"/>
      <c r="AS382" s="204"/>
      <c r="AT382" s="205"/>
      <c r="AU382"/>
    </row>
    <row r="383" spans="2:47" ht="15" customHeight="1" x14ac:dyDescent="0.25">
      <c r="B383" s="206"/>
      <c r="C383" s="185"/>
      <c r="D383" s="164"/>
      <c r="E383" s="174"/>
      <c r="F383" s="164"/>
      <c r="G383" s="174"/>
      <c r="H383" s="164"/>
      <c r="I383" s="174"/>
      <c r="J383" s="184"/>
      <c r="K383" s="186"/>
      <c r="L383" s="187" t="str">
        <f t="shared" si="96"/>
        <v/>
      </c>
      <c r="M383" s="187" t="str">
        <f t="shared" si="97"/>
        <v/>
      </c>
      <c r="N383" s="187" t="str">
        <f t="shared" si="89"/>
        <v>D</v>
      </c>
      <c r="O383" s="187" t="str">
        <f t="shared" si="98"/>
        <v>D</v>
      </c>
      <c r="P383" s="187">
        <f t="shared" si="99"/>
        <v>1</v>
      </c>
      <c r="Q383" s="187">
        <f>IFERROR(VLOOKUP(E383,Tabela_Deflator:E$43,5,FALSE),1)</f>
        <v>1</v>
      </c>
      <c r="R383" s="188" t="str">
        <f t="shared" si="100"/>
        <v/>
      </c>
      <c r="S383" s="237" t="str">
        <f t="shared" si="90"/>
        <v/>
      </c>
      <c r="T383" s="237" t="str">
        <f t="shared" si="105"/>
        <v/>
      </c>
      <c r="U383" s="189"/>
      <c r="V383" s="167"/>
      <c r="W383" s="165"/>
      <c r="X383" s="164"/>
      <c r="Y383" s="164"/>
      <c r="Z383" s="164"/>
      <c r="AA383" s="174"/>
      <c r="AB383" s="164"/>
      <c r="AC383" s="174"/>
      <c r="AD383" s="184"/>
      <c r="AE383" s="190" t="str">
        <f t="shared" si="101"/>
        <v/>
      </c>
      <c r="AF383" s="190" t="str">
        <f t="shared" si="102"/>
        <v/>
      </c>
      <c r="AG383" s="190" t="str">
        <f t="shared" si="91"/>
        <v>D</v>
      </c>
      <c r="AH383" s="190">
        <f>IFERROR(VLOOKUP(Y383,SISP_Deflatores_e_INMs!B$4:F$49,3,FALSE),1)</f>
        <v>1</v>
      </c>
      <c r="AI383" s="190">
        <f>IFERROR(VLOOKUP(Y383,SISP_Deflatores_e_INMs!B$4:G$49,5,FALSE),1)</f>
        <v>1</v>
      </c>
      <c r="AJ383" s="191" t="str">
        <f t="shared" si="103"/>
        <v/>
      </c>
      <c r="AK383" s="237" t="str">
        <f t="shared" si="92"/>
        <v/>
      </c>
      <c r="AL383" s="237" t="str">
        <f t="shared" si="104"/>
        <v/>
      </c>
      <c r="AM383" s="192" t="e">
        <f t="shared" si="93"/>
        <v>#VALUE!</v>
      </c>
      <c r="AN383" s="193" t="e">
        <f t="shared" si="94"/>
        <v>#VALUE!</v>
      </c>
      <c r="AO383" s="193" t="e">
        <f t="shared" si="95"/>
        <v>#VALUE!</v>
      </c>
      <c r="AP383" s="193"/>
      <c r="AQ383" s="204"/>
      <c r="AR383" s="204"/>
      <c r="AS383" s="204"/>
      <c r="AT383" s="205"/>
      <c r="AU383"/>
    </row>
    <row r="384" spans="2:47" ht="15" customHeight="1" x14ac:dyDescent="0.25">
      <c r="B384" s="206"/>
      <c r="C384" s="185"/>
      <c r="D384" s="164"/>
      <c r="E384" s="174"/>
      <c r="F384" s="164"/>
      <c r="G384" s="174"/>
      <c r="H384" s="164"/>
      <c r="I384" s="174"/>
      <c r="J384" s="184"/>
      <c r="K384" s="186"/>
      <c r="L384" s="187" t="str">
        <f t="shared" si="96"/>
        <v/>
      </c>
      <c r="M384" s="187" t="str">
        <f t="shared" si="97"/>
        <v/>
      </c>
      <c r="N384" s="187" t="str">
        <f t="shared" si="89"/>
        <v>D</v>
      </c>
      <c r="O384" s="187" t="str">
        <f t="shared" si="98"/>
        <v>D</v>
      </c>
      <c r="P384" s="187">
        <f t="shared" si="99"/>
        <v>1</v>
      </c>
      <c r="Q384" s="187">
        <f>IFERROR(VLOOKUP(E384,Tabela_Deflator:E$43,5,FALSE),1)</f>
        <v>1</v>
      </c>
      <c r="R384" s="188" t="str">
        <f t="shared" si="100"/>
        <v/>
      </c>
      <c r="S384" s="237" t="str">
        <f t="shared" si="90"/>
        <v/>
      </c>
      <c r="T384" s="237" t="str">
        <f t="shared" si="105"/>
        <v/>
      </c>
      <c r="U384" s="189"/>
      <c r="V384" s="167"/>
      <c r="W384" s="165"/>
      <c r="X384" s="164"/>
      <c r="Y384" s="164"/>
      <c r="Z384" s="164"/>
      <c r="AA384" s="174"/>
      <c r="AB384" s="164"/>
      <c r="AC384" s="174"/>
      <c r="AD384" s="184"/>
      <c r="AE384" s="190" t="str">
        <f t="shared" si="101"/>
        <v/>
      </c>
      <c r="AF384" s="190" t="str">
        <f t="shared" si="102"/>
        <v/>
      </c>
      <c r="AG384" s="190" t="str">
        <f t="shared" si="91"/>
        <v>D</v>
      </c>
      <c r="AH384" s="190">
        <f>IFERROR(VLOOKUP(Y384,SISP_Deflatores_e_INMs!B$4:F$49,3,FALSE),1)</f>
        <v>1</v>
      </c>
      <c r="AI384" s="190">
        <f>IFERROR(VLOOKUP(Y384,SISP_Deflatores_e_INMs!B$4:G$49,5,FALSE),1)</f>
        <v>1</v>
      </c>
      <c r="AJ384" s="191" t="str">
        <f t="shared" si="103"/>
        <v/>
      </c>
      <c r="AK384" s="237" t="str">
        <f t="shared" si="92"/>
        <v/>
      </c>
      <c r="AL384" s="237" t="str">
        <f t="shared" si="104"/>
        <v/>
      </c>
      <c r="AM384" s="192" t="e">
        <f t="shared" si="93"/>
        <v>#VALUE!</v>
      </c>
      <c r="AN384" s="193" t="e">
        <f t="shared" si="94"/>
        <v>#VALUE!</v>
      </c>
      <c r="AO384" s="193" t="e">
        <f t="shared" si="95"/>
        <v>#VALUE!</v>
      </c>
      <c r="AP384" s="193"/>
      <c r="AQ384" s="204"/>
      <c r="AR384" s="204"/>
      <c r="AS384" s="204"/>
      <c r="AT384" s="205"/>
      <c r="AU384"/>
    </row>
    <row r="385" spans="2:47" ht="15" customHeight="1" x14ac:dyDescent="0.25">
      <c r="B385" s="206"/>
      <c r="C385" s="185"/>
      <c r="D385" s="164"/>
      <c r="E385" s="174"/>
      <c r="F385" s="164"/>
      <c r="G385" s="174"/>
      <c r="H385" s="164"/>
      <c r="I385" s="174"/>
      <c r="J385" s="184"/>
      <c r="K385" s="186"/>
      <c r="L385" s="187" t="str">
        <f t="shared" si="96"/>
        <v/>
      </c>
      <c r="M385" s="187" t="str">
        <f t="shared" si="97"/>
        <v/>
      </c>
      <c r="N385" s="187" t="str">
        <f t="shared" si="89"/>
        <v>D</v>
      </c>
      <c r="O385" s="187" t="str">
        <f t="shared" si="98"/>
        <v>D</v>
      </c>
      <c r="P385" s="187">
        <f t="shared" si="99"/>
        <v>1</v>
      </c>
      <c r="Q385" s="187">
        <f>IFERROR(VLOOKUP(E385,Tabela_Deflator:E$43,5,FALSE),1)</f>
        <v>1</v>
      </c>
      <c r="R385" s="188" t="str">
        <f t="shared" si="100"/>
        <v/>
      </c>
      <c r="S385" s="237" t="str">
        <f t="shared" si="90"/>
        <v/>
      </c>
      <c r="T385" s="237" t="str">
        <f t="shared" si="105"/>
        <v/>
      </c>
      <c r="U385" s="189"/>
      <c r="V385" s="167"/>
      <c r="W385" s="165"/>
      <c r="X385" s="164"/>
      <c r="Y385" s="164"/>
      <c r="Z385" s="164"/>
      <c r="AA385" s="174"/>
      <c r="AB385" s="164"/>
      <c r="AC385" s="174"/>
      <c r="AD385" s="184"/>
      <c r="AE385" s="190" t="str">
        <f t="shared" si="101"/>
        <v/>
      </c>
      <c r="AF385" s="190" t="str">
        <f t="shared" si="102"/>
        <v/>
      </c>
      <c r="AG385" s="190" t="str">
        <f t="shared" si="91"/>
        <v>D</v>
      </c>
      <c r="AH385" s="190">
        <f>IFERROR(VLOOKUP(Y385,SISP_Deflatores_e_INMs!B$4:F$49,3,FALSE),1)</f>
        <v>1</v>
      </c>
      <c r="AI385" s="190">
        <f>IFERROR(VLOOKUP(Y385,SISP_Deflatores_e_INMs!B$4:G$49,5,FALSE),1)</f>
        <v>1</v>
      </c>
      <c r="AJ385" s="191" t="str">
        <f t="shared" si="103"/>
        <v/>
      </c>
      <c r="AK385" s="237" t="str">
        <f t="shared" si="92"/>
        <v/>
      </c>
      <c r="AL385" s="237" t="str">
        <f t="shared" si="104"/>
        <v/>
      </c>
      <c r="AM385" s="192" t="e">
        <f t="shared" si="93"/>
        <v>#VALUE!</v>
      </c>
      <c r="AN385" s="193" t="e">
        <f t="shared" si="94"/>
        <v>#VALUE!</v>
      </c>
      <c r="AO385" s="193" t="e">
        <f t="shared" si="95"/>
        <v>#VALUE!</v>
      </c>
      <c r="AP385" s="193"/>
      <c r="AQ385" s="204"/>
      <c r="AR385" s="204"/>
      <c r="AS385" s="204"/>
      <c r="AT385" s="205"/>
      <c r="AU385"/>
    </row>
    <row r="386" spans="2:47" ht="15" customHeight="1" x14ac:dyDescent="0.25">
      <c r="B386" s="206"/>
      <c r="C386" s="185"/>
      <c r="D386" s="164"/>
      <c r="E386" s="174"/>
      <c r="F386" s="164"/>
      <c r="G386" s="174"/>
      <c r="H386" s="164"/>
      <c r="I386" s="174"/>
      <c r="J386" s="184"/>
      <c r="K386" s="186"/>
      <c r="L386" s="187" t="str">
        <f t="shared" si="96"/>
        <v/>
      </c>
      <c r="M386" s="187" t="str">
        <f t="shared" si="97"/>
        <v/>
      </c>
      <c r="N386" s="187" t="str">
        <f t="shared" si="89"/>
        <v>D</v>
      </c>
      <c r="O386" s="187" t="str">
        <f t="shared" si="98"/>
        <v>D</v>
      </c>
      <c r="P386" s="187">
        <f t="shared" si="99"/>
        <v>1</v>
      </c>
      <c r="Q386" s="187">
        <f>IFERROR(VLOOKUP(E386,Tabela_Deflator:E$43,5,FALSE),1)</f>
        <v>1</v>
      </c>
      <c r="R386" s="188" t="str">
        <f t="shared" si="100"/>
        <v/>
      </c>
      <c r="S386" s="237" t="str">
        <f t="shared" si="90"/>
        <v/>
      </c>
      <c r="T386" s="237" t="str">
        <f t="shared" si="105"/>
        <v/>
      </c>
      <c r="U386" s="189"/>
      <c r="V386" s="167"/>
      <c r="W386" s="165"/>
      <c r="X386" s="164"/>
      <c r="Y386" s="164"/>
      <c r="Z386" s="164"/>
      <c r="AA386" s="174"/>
      <c r="AB386" s="164"/>
      <c r="AC386" s="174"/>
      <c r="AD386" s="184"/>
      <c r="AE386" s="190" t="str">
        <f t="shared" si="101"/>
        <v/>
      </c>
      <c r="AF386" s="190" t="str">
        <f t="shared" si="102"/>
        <v/>
      </c>
      <c r="AG386" s="190" t="str">
        <f t="shared" si="91"/>
        <v>D</v>
      </c>
      <c r="AH386" s="190">
        <f>IFERROR(VLOOKUP(Y386,SISP_Deflatores_e_INMs!B$4:F$49,3,FALSE),1)</f>
        <v>1</v>
      </c>
      <c r="AI386" s="190">
        <f>IFERROR(VLOOKUP(Y386,SISP_Deflatores_e_INMs!B$4:G$49,5,FALSE),1)</f>
        <v>1</v>
      </c>
      <c r="AJ386" s="191" t="str">
        <f t="shared" si="103"/>
        <v/>
      </c>
      <c r="AK386" s="237" t="str">
        <f t="shared" si="92"/>
        <v/>
      </c>
      <c r="AL386" s="237" t="str">
        <f t="shared" si="104"/>
        <v/>
      </c>
      <c r="AM386" s="192" t="e">
        <f t="shared" si="93"/>
        <v>#VALUE!</v>
      </c>
      <c r="AN386" s="193" t="e">
        <f t="shared" si="94"/>
        <v>#VALUE!</v>
      </c>
      <c r="AO386" s="193" t="e">
        <f t="shared" si="95"/>
        <v>#VALUE!</v>
      </c>
      <c r="AP386" s="193"/>
      <c r="AQ386" s="204"/>
      <c r="AR386" s="204"/>
      <c r="AS386" s="204"/>
      <c r="AT386" s="205"/>
      <c r="AU386"/>
    </row>
    <row r="387" spans="2:47" ht="15" customHeight="1" x14ac:dyDescent="0.25">
      <c r="B387" s="206"/>
      <c r="C387" s="185"/>
      <c r="D387" s="164"/>
      <c r="E387" s="174"/>
      <c r="F387" s="164"/>
      <c r="G387" s="174"/>
      <c r="H387" s="164"/>
      <c r="I387" s="174"/>
      <c r="J387" s="184"/>
      <c r="K387" s="186"/>
      <c r="L387" s="187" t="str">
        <f t="shared" si="96"/>
        <v/>
      </c>
      <c r="M387" s="187" t="str">
        <f t="shared" si="97"/>
        <v/>
      </c>
      <c r="N387" s="187" t="str">
        <f t="shared" si="89"/>
        <v>D</v>
      </c>
      <c r="O387" s="187" t="str">
        <f t="shared" si="98"/>
        <v>D</v>
      </c>
      <c r="P387" s="187">
        <f t="shared" si="99"/>
        <v>1</v>
      </c>
      <c r="Q387" s="187">
        <f>IFERROR(VLOOKUP(E387,Tabela_Deflator:E$43,5,FALSE),1)</f>
        <v>1</v>
      </c>
      <c r="R387" s="188" t="str">
        <f t="shared" si="100"/>
        <v/>
      </c>
      <c r="S387" s="237" t="str">
        <f t="shared" si="90"/>
        <v/>
      </c>
      <c r="T387" s="237" t="str">
        <f t="shared" si="105"/>
        <v/>
      </c>
      <c r="U387" s="189"/>
      <c r="V387" s="167"/>
      <c r="W387" s="165"/>
      <c r="X387" s="164"/>
      <c r="Y387" s="164"/>
      <c r="Z387" s="164"/>
      <c r="AA387" s="174"/>
      <c r="AB387" s="164"/>
      <c r="AC387" s="174"/>
      <c r="AD387" s="184"/>
      <c r="AE387" s="190" t="str">
        <f t="shared" si="101"/>
        <v/>
      </c>
      <c r="AF387" s="190" t="str">
        <f t="shared" si="102"/>
        <v/>
      </c>
      <c r="AG387" s="190" t="str">
        <f t="shared" si="91"/>
        <v>D</v>
      </c>
      <c r="AH387" s="190">
        <f>IFERROR(VLOOKUP(Y387,SISP_Deflatores_e_INMs!B$4:F$49,3,FALSE),1)</f>
        <v>1</v>
      </c>
      <c r="AI387" s="190">
        <f>IFERROR(VLOOKUP(Y387,SISP_Deflatores_e_INMs!B$4:G$49,5,FALSE),1)</f>
        <v>1</v>
      </c>
      <c r="AJ387" s="191" t="str">
        <f t="shared" si="103"/>
        <v/>
      </c>
      <c r="AK387" s="237" t="str">
        <f t="shared" si="92"/>
        <v/>
      </c>
      <c r="AL387" s="237" t="str">
        <f t="shared" si="104"/>
        <v/>
      </c>
      <c r="AM387" s="192" t="e">
        <f t="shared" si="93"/>
        <v>#VALUE!</v>
      </c>
      <c r="AN387" s="193" t="e">
        <f t="shared" si="94"/>
        <v>#VALUE!</v>
      </c>
      <c r="AO387" s="193" t="e">
        <f t="shared" si="95"/>
        <v>#VALUE!</v>
      </c>
      <c r="AP387" s="193"/>
      <c r="AQ387" s="204"/>
      <c r="AR387" s="204"/>
      <c r="AS387" s="204"/>
      <c r="AT387" s="205"/>
      <c r="AU387"/>
    </row>
    <row r="388" spans="2:47" ht="15" customHeight="1" x14ac:dyDescent="0.25">
      <c r="B388" s="206"/>
      <c r="C388" s="185"/>
      <c r="D388" s="164"/>
      <c r="E388" s="174"/>
      <c r="F388" s="164"/>
      <c r="G388" s="174"/>
      <c r="H388" s="164"/>
      <c r="I388" s="174"/>
      <c r="J388" s="184"/>
      <c r="K388" s="186"/>
      <c r="L388" s="187" t="str">
        <f t="shared" si="96"/>
        <v/>
      </c>
      <c r="M388" s="187" t="str">
        <f t="shared" si="97"/>
        <v/>
      </c>
      <c r="N388" s="187" t="str">
        <f t="shared" ref="N388:N451" si="106">IF(Tipo_de_contagem="Contagem Detalhada","D",IF(Tipo_de_contagem="Contagem Estimada","E","S"))</f>
        <v>D</v>
      </c>
      <c r="O388" s="187" t="str">
        <f t="shared" si="98"/>
        <v>D</v>
      </c>
      <c r="P388" s="187">
        <f t="shared" si="99"/>
        <v>1</v>
      </c>
      <c r="Q388" s="187">
        <f>IFERROR(VLOOKUP(E388,Tabela_Deflator:E$43,5,FALSE),1)</f>
        <v>1</v>
      </c>
      <c r="R388" s="188" t="str">
        <f t="shared" si="100"/>
        <v/>
      </c>
      <c r="S388" s="237" t="str">
        <f t="shared" ref="S388:S451" si="107">IF(D388="N/A","",IF(D388="","",IFERROR(IF(D388="INM",P388*J388,VLOOKUP(O388,Tabela_Pontuação,2,FALSE)),0)))</f>
        <v/>
      </c>
      <c r="T388" s="237" t="str">
        <f t="shared" si="105"/>
        <v/>
      </c>
      <c r="U388" s="189"/>
      <c r="V388" s="167"/>
      <c r="W388" s="165"/>
      <c r="X388" s="164"/>
      <c r="Y388" s="164"/>
      <c r="Z388" s="164"/>
      <c r="AA388" s="174"/>
      <c r="AB388" s="164"/>
      <c r="AC388" s="174"/>
      <c r="AD388" s="184"/>
      <c r="AE388" s="190" t="str">
        <f t="shared" si="101"/>
        <v/>
      </c>
      <c r="AF388" s="190" t="str">
        <f t="shared" si="102"/>
        <v/>
      </c>
      <c r="AG388" s="190" t="str">
        <f t="shared" ref="AG388:AG451" si="108">IF(N388="S",X388,CONCATENATE(X388,AE388,N388))</f>
        <v>D</v>
      </c>
      <c r="AH388" s="190">
        <f>IFERROR(VLOOKUP(Y388,SISP_Deflatores_e_INMs!B$4:F$49,3,FALSE),1)</f>
        <v>1</v>
      </c>
      <c r="AI388" s="190">
        <f>IFERROR(VLOOKUP(Y388,SISP_Deflatores_e_INMs!B$4:G$49,5,FALSE),1)</f>
        <v>1</v>
      </c>
      <c r="AJ388" s="191" t="str">
        <f t="shared" si="103"/>
        <v/>
      </c>
      <c r="AK388" s="237" t="str">
        <f t="shared" ref="AK388:AK451" si="109">IFERROR(IF(X388="INM",AH388*AD388,VLOOKUP(AG388,Tabela_Pontuação,2,FALSE)),"")</f>
        <v/>
      </c>
      <c r="AL388" s="237" t="str">
        <f t="shared" si="104"/>
        <v/>
      </c>
      <c r="AM388" s="192" t="e">
        <f t="shared" ref="AM388:AM451" si="110">IF(S388&lt;=0,0,AK388-S388)</f>
        <v>#VALUE!</v>
      </c>
      <c r="AN388" s="193" t="e">
        <f t="shared" ref="AN388:AN451" si="111">AM388/S388</f>
        <v>#VALUE!</v>
      </c>
      <c r="AO388" s="193" t="e">
        <f t="shared" ref="AO388:AO451" si="112">IF(T388&lt;=0,0,AL388-T388)</f>
        <v>#VALUE!</v>
      </c>
      <c r="AP388" s="193"/>
      <c r="AQ388" s="204"/>
      <c r="AR388" s="204"/>
      <c r="AS388" s="204"/>
      <c r="AT388" s="205"/>
      <c r="AU388"/>
    </row>
    <row r="389" spans="2:47" ht="15" customHeight="1" x14ac:dyDescent="0.25">
      <c r="B389" s="206"/>
      <c r="C389" s="185"/>
      <c r="D389" s="164"/>
      <c r="E389" s="174"/>
      <c r="F389" s="164"/>
      <c r="G389" s="174"/>
      <c r="H389" s="164"/>
      <c r="I389" s="174"/>
      <c r="J389" s="184"/>
      <c r="K389" s="186"/>
      <c r="L389" s="187" t="str">
        <f t="shared" ref="L389:L452" si="113">IF(OR(ISBLANK(F389),ISBLANK(H389)),IF(OR(D389="ALI",D389="AIE"),"L",IF(ISBLANK(D389),"","A")),IF(D389="EE",IF(H389&gt;=3,IF(F389&gt;=5,"H","A"),IF(H389&gt;=2,IF(F389&gt;=16,"H",IF(F389&lt;=4,"L","A")),IF(F389&lt;=15,"L","A"))),IF(OR(D389="SE",D389="CE"),IF(H389&gt;=4,IF(F389&gt;=6,"H","A"),IF(H389&gt;=2,IF(F389&gt;=20,"H",IF(F389&lt;=5,"L","A")),IF(F389&lt;=19,"L","A"))),IF(OR(D389="ALI",D389="AIE"),IF(H389&gt;=6,IF(F389&gt;=20,"H","A"),IF(H389&gt;=2,IF(F389&gt;=51,"H",IF(F389&lt;=19,"L","A")),IF(F389&lt;=50,"L","A")))))))</f>
        <v/>
      </c>
      <c r="M389" s="187" t="str">
        <f t="shared" ref="M389:M452" si="114">CONCATENATE(D389,L389)</f>
        <v/>
      </c>
      <c r="N389" s="187" t="str">
        <f t="shared" si="106"/>
        <v>D</v>
      </c>
      <c r="O389" s="187" t="str">
        <f t="shared" ref="O389:O452" si="115">IF(N389="S",D389,CONCATENATE(D389,L389,N389))</f>
        <v>D</v>
      </c>
      <c r="P389" s="187">
        <f t="shared" ref="P389:P452" si="116">IFERROR(VLOOKUP(E389,Tabela_Deflator,3,FALSE),1)</f>
        <v>1</v>
      </c>
      <c r="Q389" s="187">
        <f>IFERROR(VLOOKUP(E389,Tabela_Deflator:E$43,5,FALSE),1)</f>
        <v>1</v>
      </c>
      <c r="R389" s="188" t="str">
        <f t="shared" ref="R389:R452" si="117">IF(OR(D389="INM",D389="N/A"),"",IF(L389="L","Baixa",IF(L389="A","Média",IF(L389="","","Alta"))))</f>
        <v/>
      </c>
      <c r="S389" s="237" t="str">
        <f t="shared" si="107"/>
        <v/>
      </c>
      <c r="T389" s="237" t="str">
        <f t="shared" si="105"/>
        <v/>
      </c>
      <c r="U389" s="189"/>
      <c r="V389" s="167"/>
      <c r="W389" s="165"/>
      <c r="X389" s="164"/>
      <c r="Y389" s="164"/>
      <c r="Z389" s="164"/>
      <c r="AA389" s="174"/>
      <c r="AB389" s="164"/>
      <c r="AC389" s="174"/>
      <c r="AD389" s="184"/>
      <c r="AE389" s="190" t="str">
        <f t="shared" ref="AE389:AE452" si="118">IF(OR(ISBLANK(Z389),ISBLANK(AB389)),IF(OR(X389="ALI",X389="AIE"),"L",IF(ISBLANK(X389),"","A")),IF(X389="EE",IF(AB389&gt;=3,IF(Z389&gt;=5,"H","A"),IF(AB389&gt;=2,IF(Z389&gt;=16,"H",IF(Z389&lt;=4,"L","A")),IF(Z389&lt;=15,"L","A"))),IF(OR(X389="SE",X389="CE"),IF(AB389&gt;=4,IF(Z389&gt;=6,"H","A"),IF(AB389&gt;=2,IF(Z389&gt;=20,"H",IF(Z389&lt;=5,"L","A")),IF(Z389&lt;=19,"L","A"))),IF(OR(X389="ALI",X389="AIE"),IF(AB389&gt;=6,IF(Z389&gt;=20,"H","A"),IF(AB389&gt;=2,IF(Z389&gt;=51,"H",IF(Z389&lt;=19,"L","A")),IF(Z389&lt;=50,"L","A")))))))</f>
        <v/>
      </c>
      <c r="AF389" s="190" t="str">
        <f t="shared" ref="AF389:AF452" si="119">CONCATENATE(X389,AE389)</f>
        <v/>
      </c>
      <c r="AG389" s="190" t="str">
        <f t="shared" si="108"/>
        <v>D</v>
      </c>
      <c r="AH389" s="190">
        <f>IFERROR(VLOOKUP(Y389,SISP_Deflatores_e_INMs!B$4:F$49,3,FALSE),1)</f>
        <v>1</v>
      </c>
      <c r="AI389" s="190">
        <f>IFERROR(VLOOKUP(Y389,SISP_Deflatores_e_INMs!B$4:G$49,5,FALSE),1)</f>
        <v>1</v>
      </c>
      <c r="AJ389" s="191" t="str">
        <f t="shared" ref="AJ389:AJ452" si="120">IF(OR(X389="INM",X389="N/A"),"",IF(AE389="L","Baixa",IF(AE389="A","Média",IF(AE389="","","Alta"))))</f>
        <v/>
      </c>
      <c r="AK389" s="237" t="str">
        <f t="shared" si="109"/>
        <v/>
      </c>
      <c r="AL389" s="237" t="str">
        <f t="shared" ref="AL389:AL452" si="121">IFERROR(IF(OR(ISBLANK(V389),V389="NOK"),"",IF(X389="INM",(1*AH389)*AD389,AK389*AH389)),"")</f>
        <v/>
      </c>
      <c r="AM389" s="192" t="e">
        <f t="shared" si="110"/>
        <v>#VALUE!</v>
      </c>
      <c r="AN389" s="193" t="e">
        <f t="shared" si="111"/>
        <v>#VALUE!</v>
      </c>
      <c r="AO389" s="193" t="e">
        <f t="shared" si="112"/>
        <v>#VALUE!</v>
      </c>
      <c r="AP389" s="193"/>
      <c r="AQ389" s="204"/>
      <c r="AR389" s="204"/>
      <c r="AS389" s="204"/>
      <c r="AT389" s="205"/>
      <c r="AU389"/>
    </row>
    <row r="390" spans="2:47" ht="15" customHeight="1" x14ac:dyDescent="0.25">
      <c r="B390" s="206"/>
      <c r="C390" s="185"/>
      <c r="D390" s="164"/>
      <c r="E390" s="174"/>
      <c r="F390" s="164"/>
      <c r="G390" s="174"/>
      <c r="H390" s="164"/>
      <c r="I390" s="174"/>
      <c r="J390" s="184"/>
      <c r="K390" s="186"/>
      <c r="L390" s="187" t="str">
        <f t="shared" si="113"/>
        <v/>
      </c>
      <c r="M390" s="187" t="str">
        <f t="shared" si="114"/>
        <v/>
      </c>
      <c r="N390" s="187" t="str">
        <f t="shared" si="106"/>
        <v>D</v>
      </c>
      <c r="O390" s="187" t="str">
        <f t="shared" si="115"/>
        <v>D</v>
      </c>
      <c r="P390" s="187">
        <f t="shared" si="116"/>
        <v>1</v>
      </c>
      <c r="Q390" s="187">
        <f>IFERROR(VLOOKUP(E390,Tabela_Deflator:E$43,5,FALSE),1)</f>
        <v>1</v>
      </c>
      <c r="R390" s="188" t="str">
        <f t="shared" si="117"/>
        <v/>
      </c>
      <c r="S390" s="237" t="str">
        <f t="shared" si="107"/>
        <v/>
      </c>
      <c r="T390" s="237" t="str">
        <f t="shared" ref="T390:T453" si="122" xml:space="preserve"> IF(D390="N/A","",IF(D390="","",IF(D390="INM",(1*P390)*J390,S390*P390)))</f>
        <v/>
      </c>
      <c r="U390" s="189"/>
      <c r="V390" s="167"/>
      <c r="W390" s="165"/>
      <c r="X390" s="164"/>
      <c r="Y390" s="164"/>
      <c r="Z390" s="164"/>
      <c r="AA390" s="174"/>
      <c r="AB390" s="164"/>
      <c r="AC390" s="174"/>
      <c r="AD390" s="184"/>
      <c r="AE390" s="190" t="str">
        <f t="shared" si="118"/>
        <v/>
      </c>
      <c r="AF390" s="190" t="str">
        <f t="shared" si="119"/>
        <v/>
      </c>
      <c r="AG390" s="190" t="str">
        <f t="shared" si="108"/>
        <v>D</v>
      </c>
      <c r="AH390" s="190">
        <f>IFERROR(VLOOKUP(Y390,SISP_Deflatores_e_INMs!B$4:F$49,3,FALSE),1)</f>
        <v>1</v>
      </c>
      <c r="AI390" s="190">
        <f>IFERROR(VLOOKUP(Y390,SISP_Deflatores_e_INMs!B$4:G$49,5,FALSE),1)</f>
        <v>1</v>
      </c>
      <c r="AJ390" s="191" t="str">
        <f t="shared" si="120"/>
        <v/>
      </c>
      <c r="AK390" s="237" t="str">
        <f t="shared" si="109"/>
        <v/>
      </c>
      <c r="AL390" s="237" t="str">
        <f t="shared" si="121"/>
        <v/>
      </c>
      <c r="AM390" s="192" t="e">
        <f t="shared" si="110"/>
        <v>#VALUE!</v>
      </c>
      <c r="AN390" s="193" t="e">
        <f t="shared" si="111"/>
        <v>#VALUE!</v>
      </c>
      <c r="AO390" s="193" t="e">
        <f t="shared" si="112"/>
        <v>#VALUE!</v>
      </c>
      <c r="AP390" s="193"/>
      <c r="AQ390" s="204"/>
      <c r="AR390" s="204"/>
      <c r="AS390" s="204"/>
      <c r="AT390" s="205"/>
      <c r="AU390"/>
    </row>
    <row r="391" spans="2:47" ht="15" customHeight="1" x14ac:dyDescent="0.25">
      <c r="B391" s="206"/>
      <c r="C391" s="185"/>
      <c r="D391" s="164"/>
      <c r="E391" s="174"/>
      <c r="F391" s="164"/>
      <c r="G391" s="174"/>
      <c r="H391" s="164"/>
      <c r="I391" s="174"/>
      <c r="J391" s="184"/>
      <c r="K391" s="186"/>
      <c r="L391" s="187" t="str">
        <f t="shared" si="113"/>
        <v/>
      </c>
      <c r="M391" s="187" t="str">
        <f t="shared" si="114"/>
        <v/>
      </c>
      <c r="N391" s="187" t="str">
        <f t="shared" si="106"/>
        <v>D</v>
      </c>
      <c r="O391" s="187" t="str">
        <f t="shared" si="115"/>
        <v>D</v>
      </c>
      <c r="P391" s="187">
        <f t="shared" si="116"/>
        <v>1</v>
      </c>
      <c r="Q391" s="187">
        <f>IFERROR(VLOOKUP(E391,Tabela_Deflator:E$43,5,FALSE),1)</f>
        <v>1</v>
      </c>
      <c r="R391" s="188" t="str">
        <f t="shared" si="117"/>
        <v/>
      </c>
      <c r="S391" s="237" t="str">
        <f t="shared" si="107"/>
        <v/>
      </c>
      <c r="T391" s="237" t="str">
        <f t="shared" si="122"/>
        <v/>
      </c>
      <c r="U391" s="189"/>
      <c r="V391" s="167"/>
      <c r="W391" s="165"/>
      <c r="X391" s="164"/>
      <c r="Y391" s="164"/>
      <c r="Z391" s="164"/>
      <c r="AA391" s="174"/>
      <c r="AB391" s="164"/>
      <c r="AC391" s="174"/>
      <c r="AD391" s="184"/>
      <c r="AE391" s="190" t="str">
        <f t="shared" si="118"/>
        <v/>
      </c>
      <c r="AF391" s="190" t="str">
        <f t="shared" si="119"/>
        <v/>
      </c>
      <c r="AG391" s="190" t="str">
        <f t="shared" si="108"/>
        <v>D</v>
      </c>
      <c r="AH391" s="190">
        <f>IFERROR(VLOOKUP(Y391,SISP_Deflatores_e_INMs!B$4:F$49,3,FALSE),1)</f>
        <v>1</v>
      </c>
      <c r="AI391" s="190">
        <f>IFERROR(VLOOKUP(Y391,SISP_Deflatores_e_INMs!B$4:G$49,5,FALSE),1)</f>
        <v>1</v>
      </c>
      <c r="AJ391" s="191" t="str">
        <f t="shared" si="120"/>
        <v/>
      </c>
      <c r="AK391" s="237" t="str">
        <f t="shared" si="109"/>
        <v/>
      </c>
      <c r="AL391" s="237" t="str">
        <f t="shared" si="121"/>
        <v/>
      </c>
      <c r="AM391" s="192" t="e">
        <f t="shared" si="110"/>
        <v>#VALUE!</v>
      </c>
      <c r="AN391" s="193" t="e">
        <f t="shared" si="111"/>
        <v>#VALUE!</v>
      </c>
      <c r="AO391" s="193" t="e">
        <f t="shared" si="112"/>
        <v>#VALUE!</v>
      </c>
      <c r="AP391" s="193"/>
      <c r="AQ391" s="204"/>
      <c r="AR391" s="204"/>
      <c r="AS391" s="204"/>
      <c r="AT391" s="205"/>
      <c r="AU391"/>
    </row>
    <row r="392" spans="2:47" ht="15" customHeight="1" x14ac:dyDescent="0.25">
      <c r="B392" s="206"/>
      <c r="C392" s="185"/>
      <c r="D392" s="164"/>
      <c r="E392" s="174"/>
      <c r="F392" s="164"/>
      <c r="G392" s="174"/>
      <c r="H392" s="164"/>
      <c r="I392" s="174"/>
      <c r="J392" s="184"/>
      <c r="K392" s="186"/>
      <c r="L392" s="187" t="str">
        <f t="shared" si="113"/>
        <v/>
      </c>
      <c r="M392" s="187" t="str">
        <f t="shared" si="114"/>
        <v/>
      </c>
      <c r="N392" s="187" t="str">
        <f t="shared" si="106"/>
        <v>D</v>
      </c>
      <c r="O392" s="187" t="str">
        <f t="shared" si="115"/>
        <v>D</v>
      </c>
      <c r="P392" s="187">
        <f t="shared" si="116"/>
        <v>1</v>
      </c>
      <c r="Q392" s="187">
        <f>IFERROR(VLOOKUP(E392,Tabela_Deflator:E$43,5,FALSE),1)</f>
        <v>1</v>
      </c>
      <c r="R392" s="188" t="str">
        <f t="shared" si="117"/>
        <v/>
      </c>
      <c r="S392" s="237" t="str">
        <f t="shared" si="107"/>
        <v/>
      </c>
      <c r="T392" s="237" t="str">
        <f t="shared" si="122"/>
        <v/>
      </c>
      <c r="U392" s="189"/>
      <c r="V392" s="167"/>
      <c r="W392" s="165"/>
      <c r="X392" s="164"/>
      <c r="Y392" s="164"/>
      <c r="Z392" s="164"/>
      <c r="AA392" s="174"/>
      <c r="AB392" s="164"/>
      <c r="AC392" s="174"/>
      <c r="AD392" s="184"/>
      <c r="AE392" s="190" t="str">
        <f t="shared" si="118"/>
        <v/>
      </c>
      <c r="AF392" s="190" t="str">
        <f t="shared" si="119"/>
        <v/>
      </c>
      <c r="AG392" s="190" t="str">
        <f t="shared" si="108"/>
        <v>D</v>
      </c>
      <c r="AH392" s="190">
        <f>IFERROR(VLOOKUP(Y392,SISP_Deflatores_e_INMs!B$4:F$49,3,FALSE),1)</f>
        <v>1</v>
      </c>
      <c r="AI392" s="190">
        <f>IFERROR(VLOOKUP(Y392,SISP_Deflatores_e_INMs!B$4:G$49,5,FALSE),1)</f>
        <v>1</v>
      </c>
      <c r="AJ392" s="191" t="str">
        <f t="shared" si="120"/>
        <v/>
      </c>
      <c r="AK392" s="237" t="str">
        <f t="shared" si="109"/>
        <v/>
      </c>
      <c r="AL392" s="237" t="str">
        <f t="shared" si="121"/>
        <v/>
      </c>
      <c r="AM392" s="192" t="e">
        <f t="shared" si="110"/>
        <v>#VALUE!</v>
      </c>
      <c r="AN392" s="193" t="e">
        <f t="shared" si="111"/>
        <v>#VALUE!</v>
      </c>
      <c r="AO392" s="193" t="e">
        <f t="shared" si="112"/>
        <v>#VALUE!</v>
      </c>
      <c r="AP392" s="193"/>
      <c r="AQ392" s="204"/>
      <c r="AR392" s="204"/>
      <c r="AS392" s="204"/>
      <c r="AT392" s="205"/>
      <c r="AU392"/>
    </row>
    <row r="393" spans="2:47" ht="15" customHeight="1" x14ac:dyDescent="0.25">
      <c r="B393" s="206"/>
      <c r="C393" s="185"/>
      <c r="D393" s="164"/>
      <c r="E393" s="174"/>
      <c r="F393" s="164"/>
      <c r="G393" s="174"/>
      <c r="H393" s="164"/>
      <c r="I393" s="174"/>
      <c r="J393" s="184"/>
      <c r="K393" s="186"/>
      <c r="L393" s="187" t="str">
        <f t="shared" si="113"/>
        <v/>
      </c>
      <c r="M393" s="187" t="str">
        <f t="shared" si="114"/>
        <v/>
      </c>
      <c r="N393" s="187" t="str">
        <f t="shared" si="106"/>
        <v>D</v>
      </c>
      <c r="O393" s="187" t="str">
        <f t="shared" si="115"/>
        <v>D</v>
      </c>
      <c r="P393" s="187">
        <f t="shared" si="116"/>
        <v>1</v>
      </c>
      <c r="Q393" s="187">
        <f>IFERROR(VLOOKUP(E393,Tabela_Deflator:E$43,5,FALSE),1)</f>
        <v>1</v>
      </c>
      <c r="R393" s="188" t="str">
        <f t="shared" si="117"/>
        <v/>
      </c>
      <c r="S393" s="237" t="str">
        <f t="shared" si="107"/>
        <v/>
      </c>
      <c r="T393" s="237" t="str">
        <f t="shared" si="122"/>
        <v/>
      </c>
      <c r="U393" s="189"/>
      <c r="V393" s="167"/>
      <c r="W393" s="165"/>
      <c r="X393" s="164"/>
      <c r="Y393" s="164"/>
      <c r="Z393" s="164"/>
      <c r="AA393" s="174"/>
      <c r="AB393" s="164"/>
      <c r="AC393" s="174"/>
      <c r="AD393" s="184"/>
      <c r="AE393" s="190" t="str">
        <f t="shared" si="118"/>
        <v/>
      </c>
      <c r="AF393" s="190" t="str">
        <f t="shared" si="119"/>
        <v/>
      </c>
      <c r="AG393" s="190" t="str">
        <f t="shared" si="108"/>
        <v>D</v>
      </c>
      <c r="AH393" s="190">
        <f>IFERROR(VLOOKUP(Y393,SISP_Deflatores_e_INMs!B$4:F$49,3,FALSE),1)</f>
        <v>1</v>
      </c>
      <c r="AI393" s="190">
        <f>IFERROR(VLOOKUP(Y393,SISP_Deflatores_e_INMs!B$4:G$49,5,FALSE),1)</f>
        <v>1</v>
      </c>
      <c r="AJ393" s="191" t="str">
        <f t="shared" si="120"/>
        <v/>
      </c>
      <c r="AK393" s="237" t="str">
        <f t="shared" si="109"/>
        <v/>
      </c>
      <c r="AL393" s="237" t="str">
        <f t="shared" si="121"/>
        <v/>
      </c>
      <c r="AM393" s="192" t="e">
        <f t="shared" si="110"/>
        <v>#VALUE!</v>
      </c>
      <c r="AN393" s="193" t="e">
        <f t="shared" si="111"/>
        <v>#VALUE!</v>
      </c>
      <c r="AO393" s="193" t="e">
        <f t="shared" si="112"/>
        <v>#VALUE!</v>
      </c>
      <c r="AP393" s="193"/>
      <c r="AQ393" s="204"/>
      <c r="AR393" s="204"/>
      <c r="AS393" s="204"/>
      <c r="AT393" s="205"/>
      <c r="AU393"/>
    </row>
    <row r="394" spans="2:47" ht="15" customHeight="1" x14ac:dyDescent="0.25">
      <c r="B394" s="206"/>
      <c r="C394" s="185"/>
      <c r="D394" s="164"/>
      <c r="E394" s="174"/>
      <c r="F394" s="164"/>
      <c r="G394" s="174"/>
      <c r="H394" s="164"/>
      <c r="I394" s="174"/>
      <c r="J394" s="184"/>
      <c r="K394" s="186"/>
      <c r="L394" s="187" t="str">
        <f t="shared" si="113"/>
        <v/>
      </c>
      <c r="M394" s="187" t="str">
        <f t="shared" si="114"/>
        <v/>
      </c>
      <c r="N394" s="187" t="str">
        <f t="shared" si="106"/>
        <v>D</v>
      </c>
      <c r="O394" s="187" t="str">
        <f t="shared" si="115"/>
        <v>D</v>
      </c>
      <c r="P394" s="187">
        <f t="shared" si="116"/>
        <v>1</v>
      </c>
      <c r="Q394" s="187">
        <f>IFERROR(VLOOKUP(E394,Tabela_Deflator:E$43,5,FALSE),1)</f>
        <v>1</v>
      </c>
      <c r="R394" s="188" t="str">
        <f t="shared" si="117"/>
        <v/>
      </c>
      <c r="S394" s="237" t="str">
        <f t="shared" si="107"/>
        <v/>
      </c>
      <c r="T394" s="237" t="str">
        <f t="shared" si="122"/>
        <v/>
      </c>
      <c r="U394" s="189"/>
      <c r="V394" s="167"/>
      <c r="W394" s="165"/>
      <c r="X394" s="164"/>
      <c r="Y394" s="164"/>
      <c r="Z394" s="164"/>
      <c r="AA394" s="174"/>
      <c r="AB394" s="164"/>
      <c r="AC394" s="174"/>
      <c r="AD394" s="184"/>
      <c r="AE394" s="190" t="str">
        <f t="shared" si="118"/>
        <v/>
      </c>
      <c r="AF394" s="190" t="str">
        <f t="shared" si="119"/>
        <v/>
      </c>
      <c r="AG394" s="190" t="str">
        <f t="shared" si="108"/>
        <v>D</v>
      </c>
      <c r="AH394" s="190">
        <f>IFERROR(VLOOKUP(Y394,SISP_Deflatores_e_INMs!B$4:F$49,3,FALSE),1)</f>
        <v>1</v>
      </c>
      <c r="AI394" s="190">
        <f>IFERROR(VLOOKUP(Y394,SISP_Deflatores_e_INMs!B$4:G$49,5,FALSE),1)</f>
        <v>1</v>
      </c>
      <c r="AJ394" s="191" t="str">
        <f t="shared" si="120"/>
        <v/>
      </c>
      <c r="AK394" s="237" t="str">
        <f t="shared" si="109"/>
        <v/>
      </c>
      <c r="AL394" s="237" t="str">
        <f t="shared" si="121"/>
        <v/>
      </c>
      <c r="AM394" s="192" t="e">
        <f t="shared" si="110"/>
        <v>#VALUE!</v>
      </c>
      <c r="AN394" s="193" t="e">
        <f t="shared" si="111"/>
        <v>#VALUE!</v>
      </c>
      <c r="AO394" s="193" t="e">
        <f t="shared" si="112"/>
        <v>#VALUE!</v>
      </c>
      <c r="AP394" s="193"/>
      <c r="AQ394" s="204"/>
      <c r="AR394" s="204"/>
      <c r="AS394" s="204"/>
      <c r="AT394" s="205"/>
      <c r="AU394"/>
    </row>
    <row r="395" spans="2:47" ht="15" customHeight="1" x14ac:dyDescent="0.25">
      <c r="B395" s="206"/>
      <c r="C395" s="185"/>
      <c r="D395" s="164"/>
      <c r="E395" s="174"/>
      <c r="F395" s="164"/>
      <c r="G395" s="174"/>
      <c r="H395" s="164"/>
      <c r="I395" s="174"/>
      <c r="J395" s="184"/>
      <c r="K395" s="186"/>
      <c r="L395" s="187" t="str">
        <f t="shared" si="113"/>
        <v/>
      </c>
      <c r="M395" s="187" t="str">
        <f t="shared" si="114"/>
        <v/>
      </c>
      <c r="N395" s="187" t="str">
        <f t="shared" si="106"/>
        <v>D</v>
      </c>
      <c r="O395" s="187" t="str">
        <f t="shared" si="115"/>
        <v>D</v>
      </c>
      <c r="P395" s="187">
        <f t="shared" si="116"/>
        <v>1</v>
      </c>
      <c r="Q395" s="187">
        <f>IFERROR(VLOOKUP(E395,Tabela_Deflator:E$43,5,FALSE),1)</f>
        <v>1</v>
      </c>
      <c r="R395" s="188" t="str">
        <f t="shared" si="117"/>
        <v/>
      </c>
      <c r="S395" s="237" t="str">
        <f t="shared" si="107"/>
        <v/>
      </c>
      <c r="T395" s="237" t="str">
        <f t="shared" si="122"/>
        <v/>
      </c>
      <c r="U395" s="189"/>
      <c r="V395" s="167"/>
      <c r="W395" s="165"/>
      <c r="X395" s="164"/>
      <c r="Y395" s="164"/>
      <c r="Z395" s="164"/>
      <c r="AA395" s="174"/>
      <c r="AB395" s="164"/>
      <c r="AC395" s="174"/>
      <c r="AD395" s="184"/>
      <c r="AE395" s="190" t="str">
        <f t="shared" si="118"/>
        <v/>
      </c>
      <c r="AF395" s="190" t="str">
        <f t="shared" si="119"/>
        <v/>
      </c>
      <c r="AG395" s="190" t="str">
        <f t="shared" si="108"/>
        <v>D</v>
      </c>
      <c r="AH395" s="190">
        <f>IFERROR(VLOOKUP(Y395,SISP_Deflatores_e_INMs!B$4:F$49,3,FALSE),1)</f>
        <v>1</v>
      </c>
      <c r="AI395" s="190">
        <f>IFERROR(VLOOKUP(Y395,SISP_Deflatores_e_INMs!B$4:G$49,5,FALSE),1)</f>
        <v>1</v>
      </c>
      <c r="AJ395" s="191" t="str">
        <f t="shared" si="120"/>
        <v/>
      </c>
      <c r="AK395" s="237" t="str">
        <f t="shared" si="109"/>
        <v/>
      </c>
      <c r="AL395" s="237" t="str">
        <f t="shared" si="121"/>
        <v/>
      </c>
      <c r="AM395" s="192" t="e">
        <f t="shared" si="110"/>
        <v>#VALUE!</v>
      </c>
      <c r="AN395" s="193" t="e">
        <f t="shared" si="111"/>
        <v>#VALUE!</v>
      </c>
      <c r="AO395" s="193" t="e">
        <f t="shared" si="112"/>
        <v>#VALUE!</v>
      </c>
      <c r="AP395" s="193"/>
      <c r="AQ395" s="204"/>
      <c r="AR395" s="204"/>
      <c r="AS395" s="204"/>
      <c r="AT395" s="205"/>
      <c r="AU395"/>
    </row>
    <row r="396" spans="2:47" ht="15" customHeight="1" x14ac:dyDescent="0.25">
      <c r="B396" s="206"/>
      <c r="C396" s="185"/>
      <c r="D396" s="164"/>
      <c r="E396" s="174"/>
      <c r="F396" s="164"/>
      <c r="G396" s="174"/>
      <c r="H396" s="164"/>
      <c r="I396" s="174"/>
      <c r="J396" s="184"/>
      <c r="K396" s="186"/>
      <c r="L396" s="187" t="str">
        <f t="shared" si="113"/>
        <v/>
      </c>
      <c r="M396" s="187" t="str">
        <f t="shared" si="114"/>
        <v/>
      </c>
      <c r="N396" s="187" t="str">
        <f t="shared" si="106"/>
        <v>D</v>
      </c>
      <c r="O396" s="187" t="str">
        <f t="shared" si="115"/>
        <v>D</v>
      </c>
      <c r="P396" s="187">
        <f t="shared" si="116"/>
        <v>1</v>
      </c>
      <c r="Q396" s="187">
        <f>IFERROR(VLOOKUP(E396,Tabela_Deflator:E$43,5,FALSE),1)</f>
        <v>1</v>
      </c>
      <c r="R396" s="188" t="str">
        <f t="shared" si="117"/>
        <v/>
      </c>
      <c r="S396" s="237" t="str">
        <f t="shared" si="107"/>
        <v/>
      </c>
      <c r="T396" s="237" t="str">
        <f t="shared" si="122"/>
        <v/>
      </c>
      <c r="U396" s="189"/>
      <c r="V396" s="167"/>
      <c r="W396" s="165"/>
      <c r="X396" s="164"/>
      <c r="Y396" s="164"/>
      <c r="Z396" s="164"/>
      <c r="AA396" s="174"/>
      <c r="AB396" s="164"/>
      <c r="AC396" s="174"/>
      <c r="AD396" s="184"/>
      <c r="AE396" s="190" t="str">
        <f t="shared" si="118"/>
        <v/>
      </c>
      <c r="AF396" s="190" t="str">
        <f t="shared" si="119"/>
        <v/>
      </c>
      <c r="AG396" s="190" t="str">
        <f t="shared" si="108"/>
        <v>D</v>
      </c>
      <c r="AH396" s="190">
        <f>IFERROR(VLOOKUP(Y396,SISP_Deflatores_e_INMs!B$4:F$49,3,FALSE),1)</f>
        <v>1</v>
      </c>
      <c r="AI396" s="190">
        <f>IFERROR(VLOOKUP(Y396,SISP_Deflatores_e_INMs!B$4:G$49,5,FALSE),1)</f>
        <v>1</v>
      </c>
      <c r="AJ396" s="191" t="str">
        <f t="shared" si="120"/>
        <v/>
      </c>
      <c r="AK396" s="237" t="str">
        <f t="shared" si="109"/>
        <v/>
      </c>
      <c r="AL396" s="237" t="str">
        <f t="shared" si="121"/>
        <v/>
      </c>
      <c r="AM396" s="192" t="e">
        <f t="shared" si="110"/>
        <v>#VALUE!</v>
      </c>
      <c r="AN396" s="193" t="e">
        <f t="shared" si="111"/>
        <v>#VALUE!</v>
      </c>
      <c r="AO396" s="193" t="e">
        <f t="shared" si="112"/>
        <v>#VALUE!</v>
      </c>
      <c r="AP396" s="193"/>
      <c r="AQ396" s="204"/>
      <c r="AR396" s="204"/>
      <c r="AS396" s="204"/>
      <c r="AT396" s="205"/>
      <c r="AU396"/>
    </row>
    <row r="397" spans="2:47" ht="15" customHeight="1" x14ac:dyDescent="0.25">
      <c r="B397" s="206"/>
      <c r="C397" s="185"/>
      <c r="D397" s="164"/>
      <c r="E397" s="174"/>
      <c r="F397" s="164"/>
      <c r="G397" s="174"/>
      <c r="H397" s="164"/>
      <c r="I397" s="174"/>
      <c r="J397" s="184"/>
      <c r="K397" s="186"/>
      <c r="L397" s="187" t="str">
        <f t="shared" si="113"/>
        <v/>
      </c>
      <c r="M397" s="187" t="str">
        <f t="shared" si="114"/>
        <v/>
      </c>
      <c r="N397" s="187" t="str">
        <f t="shared" si="106"/>
        <v>D</v>
      </c>
      <c r="O397" s="187" t="str">
        <f t="shared" si="115"/>
        <v>D</v>
      </c>
      <c r="P397" s="187">
        <f t="shared" si="116"/>
        <v>1</v>
      </c>
      <c r="Q397" s="187">
        <f>IFERROR(VLOOKUP(E397,Tabela_Deflator:E$43,5,FALSE),1)</f>
        <v>1</v>
      </c>
      <c r="R397" s="188" t="str">
        <f t="shared" si="117"/>
        <v/>
      </c>
      <c r="S397" s="237" t="str">
        <f t="shared" si="107"/>
        <v/>
      </c>
      <c r="T397" s="237" t="str">
        <f t="shared" si="122"/>
        <v/>
      </c>
      <c r="U397" s="189"/>
      <c r="V397" s="167"/>
      <c r="W397" s="165"/>
      <c r="X397" s="164"/>
      <c r="Y397" s="164"/>
      <c r="Z397" s="164"/>
      <c r="AA397" s="174"/>
      <c r="AB397" s="164"/>
      <c r="AC397" s="174"/>
      <c r="AD397" s="184"/>
      <c r="AE397" s="190" t="str">
        <f t="shared" si="118"/>
        <v/>
      </c>
      <c r="AF397" s="190" t="str">
        <f t="shared" si="119"/>
        <v/>
      </c>
      <c r="AG397" s="190" t="str">
        <f t="shared" si="108"/>
        <v>D</v>
      </c>
      <c r="AH397" s="190">
        <f>IFERROR(VLOOKUP(Y397,SISP_Deflatores_e_INMs!B$4:F$49,3,FALSE),1)</f>
        <v>1</v>
      </c>
      <c r="AI397" s="190">
        <f>IFERROR(VLOOKUP(Y397,SISP_Deflatores_e_INMs!B$4:G$49,5,FALSE),1)</f>
        <v>1</v>
      </c>
      <c r="AJ397" s="191" t="str">
        <f t="shared" si="120"/>
        <v/>
      </c>
      <c r="AK397" s="237" t="str">
        <f t="shared" si="109"/>
        <v/>
      </c>
      <c r="AL397" s="237" t="str">
        <f t="shared" si="121"/>
        <v/>
      </c>
      <c r="AM397" s="192" t="e">
        <f t="shared" si="110"/>
        <v>#VALUE!</v>
      </c>
      <c r="AN397" s="193" t="e">
        <f t="shared" si="111"/>
        <v>#VALUE!</v>
      </c>
      <c r="AO397" s="193" t="e">
        <f t="shared" si="112"/>
        <v>#VALUE!</v>
      </c>
      <c r="AP397" s="193"/>
      <c r="AQ397" s="204"/>
      <c r="AR397" s="204"/>
      <c r="AS397" s="204"/>
      <c r="AT397" s="205"/>
      <c r="AU397"/>
    </row>
    <row r="398" spans="2:47" ht="15" customHeight="1" x14ac:dyDescent="0.25">
      <c r="B398" s="206"/>
      <c r="C398" s="185"/>
      <c r="D398" s="164"/>
      <c r="E398" s="174"/>
      <c r="F398" s="164"/>
      <c r="G398" s="174"/>
      <c r="H398" s="164"/>
      <c r="I398" s="174"/>
      <c r="J398" s="184"/>
      <c r="K398" s="186"/>
      <c r="L398" s="187" t="str">
        <f t="shared" si="113"/>
        <v/>
      </c>
      <c r="M398" s="187" t="str">
        <f t="shared" si="114"/>
        <v/>
      </c>
      <c r="N398" s="187" t="str">
        <f t="shared" si="106"/>
        <v>D</v>
      </c>
      <c r="O398" s="187" t="str">
        <f t="shared" si="115"/>
        <v>D</v>
      </c>
      <c r="P398" s="187">
        <f t="shared" si="116"/>
        <v>1</v>
      </c>
      <c r="Q398" s="187">
        <f>IFERROR(VLOOKUP(E398,Tabela_Deflator:E$43,5,FALSE),1)</f>
        <v>1</v>
      </c>
      <c r="R398" s="188" t="str">
        <f t="shared" si="117"/>
        <v/>
      </c>
      <c r="S398" s="237" t="str">
        <f t="shared" si="107"/>
        <v/>
      </c>
      <c r="T398" s="237" t="str">
        <f t="shared" si="122"/>
        <v/>
      </c>
      <c r="U398" s="189"/>
      <c r="V398" s="167"/>
      <c r="W398" s="165"/>
      <c r="X398" s="164"/>
      <c r="Y398" s="164"/>
      <c r="Z398" s="164"/>
      <c r="AA398" s="174"/>
      <c r="AB398" s="164"/>
      <c r="AC398" s="174"/>
      <c r="AD398" s="184"/>
      <c r="AE398" s="190" t="str">
        <f t="shared" si="118"/>
        <v/>
      </c>
      <c r="AF398" s="190" t="str">
        <f t="shared" si="119"/>
        <v/>
      </c>
      <c r="AG398" s="190" t="str">
        <f t="shared" si="108"/>
        <v>D</v>
      </c>
      <c r="AH398" s="190">
        <f>IFERROR(VLOOKUP(Y398,SISP_Deflatores_e_INMs!B$4:F$49,3,FALSE),1)</f>
        <v>1</v>
      </c>
      <c r="AI398" s="190">
        <f>IFERROR(VLOOKUP(Y398,SISP_Deflatores_e_INMs!B$4:G$49,5,FALSE),1)</f>
        <v>1</v>
      </c>
      <c r="AJ398" s="191" t="str">
        <f t="shared" si="120"/>
        <v/>
      </c>
      <c r="AK398" s="237" t="str">
        <f t="shared" si="109"/>
        <v/>
      </c>
      <c r="AL398" s="237" t="str">
        <f t="shared" si="121"/>
        <v/>
      </c>
      <c r="AM398" s="192" t="e">
        <f t="shared" si="110"/>
        <v>#VALUE!</v>
      </c>
      <c r="AN398" s="193" t="e">
        <f t="shared" si="111"/>
        <v>#VALUE!</v>
      </c>
      <c r="AO398" s="193" t="e">
        <f t="shared" si="112"/>
        <v>#VALUE!</v>
      </c>
      <c r="AP398" s="193"/>
      <c r="AQ398" s="204"/>
      <c r="AR398" s="204"/>
      <c r="AS398" s="204"/>
      <c r="AT398" s="205"/>
      <c r="AU398"/>
    </row>
    <row r="399" spans="2:47" ht="15" customHeight="1" x14ac:dyDescent="0.25">
      <c r="B399" s="206"/>
      <c r="C399" s="185"/>
      <c r="D399" s="164"/>
      <c r="E399" s="174"/>
      <c r="F399" s="164"/>
      <c r="G399" s="174"/>
      <c r="H399" s="164"/>
      <c r="I399" s="174"/>
      <c r="J399" s="184"/>
      <c r="K399" s="186"/>
      <c r="L399" s="187" t="str">
        <f t="shared" si="113"/>
        <v/>
      </c>
      <c r="M399" s="187" t="str">
        <f t="shared" si="114"/>
        <v/>
      </c>
      <c r="N399" s="187" t="str">
        <f t="shared" si="106"/>
        <v>D</v>
      </c>
      <c r="O399" s="187" t="str">
        <f t="shared" si="115"/>
        <v>D</v>
      </c>
      <c r="P399" s="187">
        <f t="shared" si="116"/>
        <v>1</v>
      </c>
      <c r="Q399" s="187">
        <f>IFERROR(VLOOKUP(E399,Tabela_Deflator:E$43,5,FALSE),1)</f>
        <v>1</v>
      </c>
      <c r="R399" s="188" t="str">
        <f t="shared" si="117"/>
        <v/>
      </c>
      <c r="S399" s="237" t="str">
        <f t="shared" si="107"/>
        <v/>
      </c>
      <c r="T399" s="237" t="str">
        <f t="shared" si="122"/>
        <v/>
      </c>
      <c r="U399" s="189"/>
      <c r="V399" s="167"/>
      <c r="W399" s="165"/>
      <c r="X399" s="164"/>
      <c r="Y399" s="164"/>
      <c r="Z399" s="164"/>
      <c r="AA399" s="174"/>
      <c r="AB399" s="164"/>
      <c r="AC399" s="174"/>
      <c r="AD399" s="184"/>
      <c r="AE399" s="190" t="str">
        <f t="shared" si="118"/>
        <v/>
      </c>
      <c r="AF399" s="190" t="str">
        <f t="shared" si="119"/>
        <v/>
      </c>
      <c r="AG399" s="190" t="str">
        <f t="shared" si="108"/>
        <v>D</v>
      </c>
      <c r="AH399" s="190">
        <f>IFERROR(VLOOKUP(Y399,SISP_Deflatores_e_INMs!B$4:F$49,3,FALSE),1)</f>
        <v>1</v>
      </c>
      <c r="AI399" s="190">
        <f>IFERROR(VLOOKUP(Y399,SISP_Deflatores_e_INMs!B$4:G$49,5,FALSE),1)</f>
        <v>1</v>
      </c>
      <c r="AJ399" s="191" t="str">
        <f t="shared" si="120"/>
        <v/>
      </c>
      <c r="AK399" s="237" t="str">
        <f t="shared" si="109"/>
        <v/>
      </c>
      <c r="AL399" s="237" t="str">
        <f t="shared" si="121"/>
        <v/>
      </c>
      <c r="AM399" s="192" t="e">
        <f t="shared" si="110"/>
        <v>#VALUE!</v>
      </c>
      <c r="AN399" s="193" t="e">
        <f t="shared" si="111"/>
        <v>#VALUE!</v>
      </c>
      <c r="AO399" s="193" t="e">
        <f t="shared" si="112"/>
        <v>#VALUE!</v>
      </c>
      <c r="AP399" s="193"/>
      <c r="AQ399" s="204"/>
      <c r="AR399" s="204"/>
      <c r="AS399" s="204"/>
      <c r="AT399" s="205"/>
      <c r="AU399"/>
    </row>
    <row r="400" spans="2:47" ht="15" customHeight="1" x14ac:dyDescent="0.25">
      <c r="B400" s="206"/>
      <c r="C400" s="185"/>
      <c r="D400" s="164"/>
      <c r="E400" s="174"/>
      <c r="F400" s="164"/>
      <c r="G400" s="174"/>
      <c r="H400" s="164"/>
      <c r="I400" s="174"/>
      <c r="J400" s="184"/>
      <c r="K400" s="186"/>
      <c r="L400" s="187" t="str">
        <f t="shared" si="113"/>
        <v/>
      </c>
      <c r="M400" s="187" t="str">
        <f t="shared" si="114"/>
        <v/>
      </c>
      <c r="N400" s="187" t="str">
        <f t="shared" si="106"/>
        <v>D</v>
      </c>
      <c r="O400" s="187" t="str">
        <f t="shared" si="115"/>
        <v>D</v>
      </c>
      <c r="P400" s="187">
        <f t="shared" si="116"/>
        <v>1</v>
      </c>
      <c r="Q400" s="187">
        <f>IFERROR(VLOOKUP(E400,Tabela_Deflator:E$43,5,FALSE),1)</f>
        <v>1</v>
      </c>
      <c r="R400" s="188" t="str">
        <f t="shared" si="117"/>
        <v/>
      </c>
      <c r="S400" s="237" t="str">
        <f t="shared" si="107"/>
        <v/>
      </c>
      <c r="T400" s="237" t="str">
        <f t="shared" si="122"/>
        <v/>
      </c>
      <c r="U400" s="189"/>
      <c r="V400" s="167"/>
      <c r="W400" s="165"/>
      <c r="X400" s="164"/>
      <c r="Y400" s="164"/>
      <c r="Z400" s="164"/>
      <c r="AA400" s="174"/>
      <c r="AB400" s="164"/>
      <c r="AC400" s="174"/>
      <c r="AD400" s="184"/>
      <c r="AE400" s="190" t="str">
        <f t="shared" si="118"/>
        <v/>
      </c>
      <c r="AF400" s="190" t="str">
        <f t="shared" si="119"/>
        <v/>
      </c>
      <c r="AG400" s="190" t="str">
        <f t="shared" si="108"/>
        <v>D</v>
      </c>
      <c r="AH400" s="190">
        <f>IFERROR(VLOOKUP(Y400,SISP_Deflatores_e_INMs!B$4:F$49,3,FALSE),1)</f>
        <v>1</v>
      </c>
      <c r="AI400" s="190">
        <f>IFERROR(VLOOKUP(Y400,SISP_Deflatores_e_INMs!B$4:G$49,5,FALSE),1)</f>
        <v>1</v>
      </c>
      <c r="AJ400" s="191" t="str">
        <f t="shared" si="120"/>
        <v/>
      </c>
      <c r="AK400" s="237" t="str">
        <f t="shared" si="109"/>
        <v/>
      </c>
      <c r="AL400" s="237" t="str">
        <f t="shared" si="121"/>
        <v/>
      </c>
      <c r="AM400" s="192" t="e">
        <f t="shared" si="110"/>
        <v>#VALUE!</v>
      </c>
      <c r="AN400" s="193" t="e">
        <f t="shared" si="111"/>
        <v>#VALUE!</v>
      </c>
      <c r="AO400" s="193" t="e">
        <f t="shared" si="112"/>
        <v>#VALUE!</v>
      </c>
      <c r="AP400" s="193"/>
      <c r="AQ400" s="204"/>
      <c r="AR400" s="204"/>
      <c r="AS400" s="204"/>
      <c r="AT400" s="205"/>
      <c r="AU400"/>
    </row>
    <row r="401" spans="2:47" ht="15" customHeight="1" x14ac:dyDescent="0.25">
      <c r="B401" s="206"/>
      <c r="C401" s="185"/>
      <c r="D401" s="164"/>
      <c r="E401" s="174"/>
      <c r="F401" s="164"/>
      <c r="G401" s="174"/>
      <c r="H401" s="164"/>
      <c r="I401" s="174"/>
      <c r="J401" s="184"/>
      <c r="K401" s="186"/>
      <c r="L401" s="187" t="str">
        <f t="shared" si="113"/>
        <v/>
      </c>
      <c r="M401" s="187" t="str">
        <f t="shared" si="114"/>
        <v/>
      </c>
      <c r="N401" s="187" t="str">
        <f t="shared" si="106"/>
        <v>D</v>
      </c>
      <c r="O401" s="187" t="str">
        <f t="shared" si="115"/>
        <v>D</v>
      </c>
      <c r="P401" s="187">
        <f t="shared" si="116"/>
        <v>1</v>
      </c>
      <c r="Q401" s="187">
        <f>IFERROR(VLOOKUP(E401,Tabela_Deflator:E$43,5,FALSE),1)</f>
        <v>1</v>
      </c>
      <c r="R401" s="188" t="str">
        <f t="shared" si="117"/>
        <v/>
      </c>
      <c r="S401" s="237" t="str">
        <f t="shared" si="107"/>
        <v/>
      </c>
      <c r="T401" s="237" t="str">
        <f t="shared" si="122"/>
        <v/>
      </c>
      <c r="U401" s="189"/>
      <c r="V401" s="167"/>
      <c r="W401" s="165"/>
      <c r="X401" s="164"/>
      <c r="Y401" s="164"/>
      <c r="Z401" s="164"/>
      <c r="AA401" s="174"/>
      <c r="AB401" s="164"/>
      <c r="AC401" s="174"/>
      <c r="AD401" s="184"/>
      <c r="AE401" s="190" t="str">
        <f t="shared" si="118"/>
        <v/>
      </c>
      <c r="AF401" s="190" t="str">
        <f t="shared" si="119"/>
        <v/>
      </c>
      <c r="AG401" s="190" t="str">
        <f t="shared" si="108"/>
        <v>D</v>
      </c>
      <c r="AH401" s="190">
        <f>IFERROR(VLOOKUP(Y401,SISP_Deflatores_e_INMs!B$4:F$49,3,FALSE),1)</f>
        <v>1</v>
      </c>
      <c r="AI401" s="190">
        <f>IFERROR(VLOOKUP(Y401,SISP_Deflatores_e_INMs!B$4:G$49,5,FALSE),1)</f>
        <v>1</v>
      </c>
      <c r="AJ401" s="191" t="str">
        <f t="shared" si="120"/>
        <v/>
      </c>
      <c r="AK401" s="237" t="str">
        <f t="shared" si="109"/>
        <v/>
      </c>
      <c r="AL401" s="237" t="str">
        <f t="shared" si="121"/>
        <v/>
      </c>
      <c r="AM401" s="192" t="e">
        <f t="shared" si="110"/>
        <v>#VALUE!</v>
      </c>
      <c r="AN401" s="193" t="e">
        <f t="shared" si="111"/>
        <v>#VALUE!</v>
      </c>
      <c r="AO401" s="193" t="e">
        <f t="shared" si="112"/>
        <v>#VALUE!</v>
      </c>
      <c r="AP401" s="193"/>
      <c r="AQ401" s="204"/>
      <c r="AR401" s="204"/>
      <c r="AS401" s="204"/>
      <c r="AT401" s="205"/>
      <c r="AU401"/>
    </row>
    <row r="402" spans="2:47" ht="15" customHeight="1" x14ac:dyDescent="0.25">
      <c r="B402" s="206"/>
      <c r="C402" s="185"/>
      <c r="D402" s="164"/>
      <c r="E402" s="174"/>
      <c r="F402" s="164"/>
      <c r="G402" s="174"/>
      <c r="H402" s="164"/>
      <c r="I402" s="174"/>
      <c r="J402" s="184"/>
      <c r="K402" s="186"/>
      <c r="L402" s="187" t="str">
        <f t="shared" si="113"/>
        <v/>
      </c>
      <c r="M402" s="187" t="str">
        <f t="shared" si="114"/>
        <v/>
      </c>
      <c r="N402" s="187" t="str">
        <f t="shared" si="106"/>
        <v>D</v>
      </c>
      <c r="O402" s="187" t="str">
        <f t="shared" si="115"/>
        <v>D</v>
      </c>
      <c r="P402" s="187">
        <f t="shared" si="116"/>
        <v>1</v>
      </c>
      <c r="Q402" s="187">
        <f>IFERROR(VLOOKUP(E402,Tabela_Deflator:E$43,5,FALSE),1)</f>
        <v>1</v>
      </c>
      <c r="R402" s="188" t="str">
        <f t="shared" si="117"/>
        <v/>
      </c>
      <c r="S402" s="237" t="str">
        <f t="shared" si="107"/>
        <v/>
      </c>
      <c r="T402" s="237" t="str">
        <f t="shared" si="122"/>
        <v/>
      </c>
      <c r="U402" s="189"/>
      <c r="V402" s="167"/>
      <c r="W402" s="165"/>
      <c r="X402" s="164"/>
      <c r="Y402" s="164"/>
      <c r="Z402" s="164"/>
      <c r="AA402" s="174"/>
      <c r="AB402" s="164"/>
      <c r="AC402" s="174"/>
      <c r="AD402" s="184"/>
      <c r="AE402" s="190" t="str">
        <f t="shared" si="118"/>
        <v/>
      </c>
      <c r="AF402" s="190" t="str">
        <f t="shared" si="119"/>
        <v/>
      </c>
      <c r="AG402" s="190" t="str">
        <f t="shared" si="108"/>
        <v>D</v>
      </c>
      <c r="AH402" s="190">
        <f>IFERROR(VLOOKUP(Y402,SISP_Deflatores_e_INMs!B$4:F$49,3,FALSE),1)</f>
        <v>1</v>
      </c>
      <c r="AI402" s="190">
        <f>IFERROR(VLOOKUP(Y402,SISP_Deflatores_e_INMs!B$4:G$49,5,FALSE),1)</f>
        <v>1</v>
      </c>
      <c r="AJ402" s="191" t="str">
        <f t="shared" si="120"/>
        <v/>
      </c>
      <c r="AK402" s="237" t="str">
        <f t="shared" si="109"/>
        <v/>
      </c>
      <c r="AL402" s="237" t="str">
        <f t="shared" si="121"/>
        <v/>
      </c>
      <c r="AM402" s="192" t="e">
        <f t="shared" si="110"/>
        <v>#VALUE!</v>
      </c>
      <c r="AN402" s="193" t="e">
        <f t="shared" si="111"/>
        <v>#VALUE!</v>
      </c>
      <c r="AO402" s="193" t="e">
        <f t="shared" si="112"/>
        <v>#VALUE!</v>
      </c>
      <c r="AP402" s="193"/>
      <c r="AQ402" s="204"/>
      <c r="AR402" s="204"/>
      <c r="AS402" s="204"/>
      <c r="AT402" s="205"/>
      <c r="AU402"/>
    </row>
    <row r="403" spans="2:47" ht="15" customHeight="1" x14ac:dyDescent="0.25">
      <c r="B403" s="206"/>
      <c r="C403" s="185"/>
      <c r="D403" s="164"/>
      <c r="E403" s="174"/>
      <c r="F403" s="164"/>
      <c r="G403" s="174"/>
      <c r="H403" s="164"/>
      <c r="I403" s="174"/>
      <c r="J403" s="184"/>
      <c r="K403" s="186"/>
      <c r="L403" s="187" t="str">
        <f t="shared" si="113"/>
        <v/>
      </c>
      <c r="M403" s="187" t="str">
        <f t="shared" si="114"/>
        <v/>
      </c>
      <c r="N403" s="187" t="str">
        <f t="shared" si="106"/>
        <v>D</v>
      </c>
      <c r="O403" s="187" t="str">
        <f t="shared" si="115"/>
        <v>D</v>
      </c>
      <c r="P403" s="187">
        <f t="shared" si="116"/>
        <v>1</v>
      </c>
      <c r="Q403" s="187">
        <f>IFERROR(VLOOKUP(E403,Tabela_Deflator:E$43,5,FALSE),1)</f>
        <v>1</v>
      </c>
      <c r="R403" s="188" t="str">
        <f t="shared" si="117"/>
        <v/>
      </c>
      <c r="S403" s="237" t="str">
        <f t="shared" si="107"/>
        <v/>
      </c>
      <c r="T403" s="237" t="str">
        <f t="shared" si="122"/>
        <v/>
      </c>
      <c r="U403" s="189"/>
      <c r="V403" s="167"/>
      <c r="W403" s="165"/>
      <c r="X403" s="164"/>
      <c r="Y403" s="164"/>
      <c r="Z403" s="164"/>
      <c r="AA403" s="174"/>
      <c r="AB403" s="164"/>
      <c r="AC403" s="174"/>
      <c r="AD403" s="184"/>
      <c r="AE403" s="190" t="str">
        <f t="shared" si="118"/>
        <v/>
      </c>
      <c r="AF403" s="190" t="str">
        <f t="shared" si="119"/>
        <v/>
      </c>
      <c r="AG403" s="190" t="str">
        <f t="shared" si="108"/>
        <v>D</v>
      </c>
      <c r="AH403" s="190">
        <f>IFERROR(VLOOKUP(Y403,SISP_Deflatores_e_INMs!B$4:F$49,3,FALSE),1)</f>
        <v>1</v>
      </c>
      <c r="AI403" s="190">
        <f>IFERROR(VLOOKUP(Y403,SISP_Deflatores_e_INMs!B$4:G$49,5,FALSE),1)</f>
        <v>1</v>
      </c>
      <c r="AJ403" s="191" t="str">
        <f t="shared" si="120"/>
        <v/>
      </c>
      <c r="AK403" s="237" t="str">
        <f t="shared" si="109"/>
        <v/>
      </c>
      <c r="AL403" s="237" t="str">
        <f t="shared" si="121"/>
        <v/>
      </c>
      <c r="AM403" s="192" t="e">
        <f t="shared" si="110"/>
        <v>#VALUE!</v>
      </c>
      <c r="AN403" s="193" t="e">
        <f t="shared" si="111"/>
        <v>#VALUE!</v>
      </c>
      <c r="AO403" s="193" t="e">
        <f t="shared" si="112"/>
        <v>#VALUE!</v>
      </c>
      <c r="AP403" s="193"/>
      <c r="AQ403" s="204"/>
      <c r="AR403" s="204"/>
      <c r="AS403" s="204"/>
      <c r="AT403" s="205"/>
      <c r="AU403"/>
    </row>
    <row r="404" spans="2:47" ht="15" customHeight="1" x14ac:dyDescent="0.25">
      <c r="B404" s="206"/>
      <c r="C404" s="185"/>
      <c r="D404" s="164"/>
      <c r="E404" s="174"/>
      <c r="F404" s="164"/>
      <c r="G404" s="174"/>
      <c r="H404" s="164"/>
      <c r="I404" s="174"/>
      <c r="J404" s="184"/>
      <c r="K404" s="186"/>
      <c r="L404" s="187" t="str">
        <f t="shared" si="113"/>
        <v/>
      </c>
      <c r="M404" s="187" t="str">
        <f t="shared" si="114"/>
        <v/>
      </c>
      <c r="N404" s="187" t="str">
        <f t="shared" si="106"/>
        <v>D</v>
      </c>
      <c r="O404" s="187" t="str">
        <f t="shared" si="115"/>
        <v>D</v>
      </c>
      <c r="P404" s="187">
        <f t="shared" si="116"/>
        <v>1</v>
      </c>
      <c r="Q404" s="187">
        <f>IFERROR(VLOOKUP(E404,Tabela_Deflator:E$43,5,FALSE),1)</f>
        <v>1</v>
      </c>
      <c r="R404" s="188" t="str">
        <f t="shared" si="117"/>
        <v/>
      </c>
      <c r="S404" s="237" t="str">
        <f t="shared" si="107"/>
        <v/>
      </c>
      <c r="T404" s="237" t="str">
        <f t="shared" si="122"/>
        <v/>
      </c>
      <c r="U404" s="189"/>
      <c r="V404" s="167"/>
      <c r="W404" s="165"/>
      <c r="X404" s="164"/>
      <c r="Y404" s="164"/>
      <c r="Z404" s="164"/>
      <c r="AA404" s="174"/>
      <c r="AB404" s="164"/>
      <c r="AC404" s="174"/>
      <c r="AD404" s="184"/>
      <c r="AE404" s="190" t="str">
        <f t="shared" si="118"/>
        <v/>
      </c>
      <c r="AF404" s="190" t="str">
        <f t="shared" si="119"/>
        <v/>
      </c>
      <c r="AG404" s="190" t="str">
        <f t="shared" si="108"/>
        <v>D</v>
      </c>
      <c r="AH404" s="190">
        <f>IFERROR(VLOOKUP(Y404,SISP_Deflatores_e_INMs!B$4:F$49,3,FALSE),1)</f>
        <v>1</v>
      </c>
      <c r="AI404" s="190">
        <f>IFERROR(VLOOKUP(Y404,SISP_Deflatores_e_INMs!B$4:G$49,5,FALSE),1)</f>
        <v>1</v>
      </c>
      <c r="AJ404" s="191" t="str">
        <f t="shared" si="120"/>
        <v/>
      </c>
      <c r="AK404" s="237" t="str">
        <f t="shared" si="109"/>
        <v/>
      </c>
      <c r="AL404" s="237" t="str">
        <f t="shared" si="121"/>
        <v/>
      </c>
      <c r="AM404" s="192" t="e">
        <f t="shared" si="110"/>
        <v>#VALUE!</v>
      </c>
      <c r="AN404" s="193" t="e">
        <f t="shared" si="111"/>
        <v>#VALUE!</v>
      </c>
      <c r="AO404" s="193" t="e">
        <f t="shared" si="112"/>
        <v>#VALUE!</v>
      </c>
      <c r="AP404" s="193"/>
      <c r="AQ404" s="204"/>
      <c r="AR404" s="204"/>
      <c r="AS404" s="204"/>
      <c r="AT404" s="205"/>
      <c r="AU404"/>
    </row>
    <row r="405" spans="2:47" ht="15" customHeight="1" x14ac:dyDescent="0.25">
      <c r="B405" s="206"/>
      <c r="C405" s="185"/>
      <c r="D405" s="164"/>
      <c r="E405" s="174"/>
      <c r="F405" s="164"/>
      <c r="G405" s="174"/>
      <c r="H405" s="164"/>
      <c r="I405" s="174"/>
      <c r="J405" s="184"/>
      <c r="K405" s="186"/>
      <c r="L405" s="187" t="str">
        <f t="shared" si="113"/>
        <v/>
      </c>
      <c r="M405" s="187" t="str">
        <f t="shared" si="114"/>
        <v/>
      </c>
      <c r="N405" s="187" t="str">
        <f t="shared" si="106"/>
        <v>D</v>
      </c>
      <c r="O405" s="187" t="str">
        <f t="shared" si="115"/>
        <v>D</v>
      </c>
      <c r="P405" s="187">
        <f t="shared" si="116"/>
        <v>1</v>
      </c>
      <c r="Q405" s="187">
        <f>IFERROR(VLOOKUP(E405,Tabela_Deflator:E$43,5,FALSE),1)</f>
        <v>1</v>
      </c>
      <c r="R405" s="188" t="str">
        <f t="shared" si="117"/>
        <v/>
      </c>
      <c r="S405" s="237" t="str">
        <f t="shared" si="107"/>
        <v/>
      </c>
      <c r="T405" s="237" t="str">
        <f t="shared" si="122"/>
        <v/>
      </c>
      <c r="U405" s="189"/>
      <c r="V405" s="167"/>
      <c r="W405" s="165"/>
      <c r="X405" s="164"/>
      <c r="Y405" s="164"/>
      <c r="Z405" s="164"/>
      <c r="AA405" s="174"/>
      <c r="AB405" s="164"/>
      <c r="AC405" s="174"/>
      <c r="AD405" s="184"/>
      <c r="AE405" s="190" t="str">
        <f t="shared" si="118"/>
        <v/>
      </c>
      <c r="AF405" s="190" t="str">
        <f t="shared" si="119"/>
        <v/>
      </c>
      <c r="AG405" s="190" t="str">
        <f t="shared" si="108"/>
        <v>D</v>
      </c>
      <c r="AH405" s="190">
        <f>IFERROR(VLOOKUP(Y405,SISP_Deflatores_e_INMs!B$4:F$49,3,FALSE),1)</f>
        <v>1</v>
      </c>
      <c r="AI405" s="190">
        <f>IFERROR(VLOOKUP(Y405,SISP_Deflatores_e_INMs!B$4:G$49,5,FALSE),1)</f>
        <v>1</v>
      </c>
      <c r="AJ405" s="191" t="str">
        <f t="shared" si="120"/>
        <v/>
      </c>
      <c r="AK405" s="237" t="str">
        <f t="shared" si="109"/>
        <v/>
      </c>
      <c r="AL405" s="237" t="str">
        <f t="shared" si="121"/>
        <v/>
      </c>
      <c r="AM405" s="192" t="e">
        <f t="shared" si="110"/>
        <v>#VALUE!</v>
      </c>
      <c r="AN405" s="193" t="e">
        <f t="shared" si="111"/>
        <v>#VALUE!</v>
      </c>
      <c r="AO405" s="193" t="e">
        <f t="shared" si="112"/>
        <v>#VALUE!</v>
      </c>
      <c r="AP405" s="193"/>
      <c r="AQ405" s="204"/>
      <c r="AR405" s="204"/>
      <c r="AS405" s="204"/>
      <c r="AT405" s="205"/>
      <c r="AU405"/>
    </row>
    <row r="406" spans="2:47" ht="15" customHeight="1" x14ac:dyDescent="0.25">
      <c r="B406" s="206"/>
      <c r="C406" s="185"/>
      <c r="D406" s="164"/>
      <c r="E406" s="174"/>
      <c r="F406" s="164"/>
      <c r="G406" s="174"/>
      <c r="H406" s="164"/>
      <c r="I406" s="174"/>
      <c r="J406" s="184"/>
      <c r="K406" s="186"/>
      <c r="L406" s="187" t="str">
        <f t="shared" si="113"/>
        <v/>
      </c>
      <c r="M406" s="187" t="str">
        <f t="shared" si="114"/>
        <v/>
      </c>
      <c r="N406" s="187" t="str">
        <f t="shared" si="106"/>
        <v>D</v>
      </c>
      <c r="O406" s="187" t="str">
        <f t="shared" si="115"/>
        <v>D</v>
      </c>
      <c r="P406" s="187">
        <f t="shared" si="116"/>
        <v>1</v>
      </c>
      <c r="Q406" s="187">
        <f>IFERROR(VLOOKUP(E406,Tabela_Deflator:E$43,5,FALSE),1)</f>
        <v>1</v>
      </c>
      <c r="R406" s="188" t="str">
        <f t="shared" si="117"/>
        <v/>
      </c>
      <c r="S406" s="237" t="str">
        <f t="shared" si="107"/>
        <v/>
      </c>
      <c r="T406" s="237" t="str">
        <f t="shared" si="122"/>
        <v/>
      </c>
      <c r="U406" s="189"/>
      <c r="V406" s="167"/>
      <c r="W406" s="165"/>
      <c r="X406" s="164"/>
      <c r="Y406" s="164"/>
      <c r="Z406" s="164"/>
      <c r="AA406" s="174"/>
      <c r="AB406" s="164"/>
      <c r="AC406" s="174"/>
      <c r="AD406" s="184"/>
      <c r="AE406" s="190" t="str">
        <f t="shared" si="118"/>
        <v/>
      </c>
      <c r="AF406" s="190" t="str">
        <f t="shared" si="119"/>
        <v/>
      </c>
      <c r="AG406" s="190" t="str">
        <f t="shared" si="108"/>
        <v>D</v>
      </c>
      <c r="AH406" s="190">
        <f>IFERROR(VLOOKUP(Y406,SISP_Deflatores_e_INMs!B$4:F$49,3,FALSE),1)</f>
        <v>1</v>
      </c>
      <c r="AI406" s="190">
        <f>IFERROR(VLOOKUP(Y406,SISP_Deflatores_e_INMs!B$4:G$49,5,FALSE),1)</f>
        <v>1</v>
      </c>
      <c r="AJ406" s="191" t="str">
        <f t="shared" si="120"/>
        <v/>
      </c>
      <c r="AK406" s="237" t="str">
        <f t="shared" si="109"/>
        <v/>
      </c>
      <c r="AL406" s="237" t="str">
        <f t="shared" si="121"/>
        <v/>
      </c>
      <c r="AM406" s="192" t="e">
        <f t="shared" si="110"/>
        <v>#VALUE!</v>
      </c>
      <c r="AN406" s="193" t="e">
        <f t="shared" si="111"/>
        <v>#VALUE!</v>
      </c>
      <c r="AO406" s="193" t="e">
        <f t="shared" si="112"/>
        <v>#VALUE!</v>
      </c>
      <c r="AP406" s="193"/>
      <c r="AQ406" s="204"/>
      <c r="AR406" s="204"/>
      <c r="AS406" s="204"/>
      <c r="AT406" s="205"/>
      <c r="AU406"/>
    </row>
    <row r="407" spans="2:47" ht="15" customHeight="1" x14ac:dyDescent="0.25">
      <c r="B407" s="206"/>
      <c r="C407" s="185"/>
      <c r="D407" s="164"/>
      <c r="E407" s="174"/>
      <c r="F407" s="164"/>
      <c r="G407" s="174"/>
      <c r="H407" s="164"/>
      <c r="I407" s="174"/>
      <c r="J407" s="184"/>
      <c r="K407" s="186"/>
      <c r="L407" s="187" t="str">
        <f t="shared" si="113"/>
        <v/>
      </c>
      <c r="M407" s="187" t="str">
        <f t="shared" si="114"/>
        <v/>
      </c>
      <c r="N407" s="187" t="str">
        <f t="shared" si="106"/>
        <v>D</v>
      </c>
      <c r="O407" s="187" t="str">
        <f t="shared" si="115"/>
        <v>D</v>
      </c>
      <c r="P407" s="187">
        <f t="shared" si="116"/>
        <v>1</v>
      </c>
      <c r="Q407" s="187">
        <f>IFERROR(VLOOKUP(E407,Tabela_Deflator:E$43,5,FALSE),1)</f>
        <v>1</v>
      </c>
      <c r="R407" s="188" t="str">
        <f t="shared" si="117"/>
        <v/>
      </c>
      <c r="S407" s="237" t="str">
        <f t="shared" si="107"/>
        <v/>
      </c>
      <c r="T407" s="237" t="str">
        <f t="shared" si="122"/>
        <v/>
      </c>
      <c r="U407" s="189"/>
      <c r="V407" s="167"/>
      <c r="W407" s="165"/>
      <c r="X407" s="164"/>
      <c r="Y407" s="164"/>
      <c r="Z407" s="164"/>
      <c r="AA407" s="174"/>
      <c r="AB407" s="164"/>
      <c r="AC407" s="174"/>
      <c r="AD407" s="184"/>
      <c r="AE407" s="190" t="str">
        <f t="shared" si="118"/>
        <v/>
      </c>
      <c r="AF407" s="190" t="str">
        <f t="shared" si="119"/>
        <v/>
      </c>
      <c r="AG407" s="190" t="str">
        <f t="shared" si="108"/>
        <v>D</v>
      </c>
      <c r="AH407" s="190">
        <f>IFERROR(VLOOKUP(Y407,SISP_Deflatores_e_INMs!B$4:F$49,3,FALSE),1)</f>
        <v>1</v>
      </c>
      <c r="AI407" s="190">
        <f>IFERROR(VLOOKUP(Y407,SISP_Deflatores_e_INMs!B$4:G$49,5,FALSE),1)</f>
        <v>1</v>
      </c>
      <c r="AJ407" s="191" t="str">
        <f t="shared" si="120"/>
        <v/>
      </c>
      <c r="AK407" s="237" t="str">
        <f t="shared" si="109"/>
        <v/>
      </c>
      <c r="AL407" s="237" t="str">
        <f t="shared" si="121"/>
        <v/>
      </c>
      <c r="AM407" s="192" t="e">
        <f t="shared" si="110"/>
        <v>#VALUE!</v>
      </c>
      <c r="AN407" s="193" t="e">
        <f t="shared" si="111"/>
        <v>#VALUE!</v>
      </c>
      <c r="AO407" s="193" t="e">
        <f t="shared" si="112"/>
        <v>#VALUE!</v>
      </c>
      <c r="AP407" s="193"/>
      <c r="AQ407" s="204"/>
      <c r="AR407" s="204"/>
      <c r="AS407" s="204"/>
      <c r="AT407" s="205"/>
      <c r="AU407"/>
    </row>
    <row r="408" spans="2:47" ht="15" customHeight="1" x14ac:dyDescent="0.25">
      <c r="B408" s="206"/>
      <c r="C408" s="185"/>
      <c r="D408" s="164"/>
      <c r="E408" s="174"/>
      <c r="F408" s="164"/>
      <c r="G408" s="174"/>
      <c r="H408" s="164"/>
      <c r="I408" s="174"/>
      <c r="J408" s="184"/>
      <c r="K408" s="186"/>
      <c r="L408" s="187" t="str">
        <f t="shared" si="113"/>
        <v/>
      </c>
      <c r="M408" s="187" t="str">
        <f t="shared" si="114"/>
        <v/>
      </c>
      <c r="N408" s="187" t="str">
        <f t="shared" si="106"/>
        <v>D</v>
      </c>
      <c r="O408" s="187" t="str">
        <f t="shared" si="115"/>
        <v>D</v>
      </c>
      <c r="P408" s="187">
        <f t="shared" si="116"/>
        <v>1</v>
      </c>
      <c r="Q408" s="187">
        <f>IFERROR(VLOOKUP(E408,Tabela_Deflator:E$43,5,FALSE),1)</f>
        <v>1</v>
      </c>
      <c r="R408" s="188" t="str">
        <f t="shared" si="117"/>
        <v/>
      </c>
      <c r="S408" s="237" t="str">
        <f t="shared" si="107"/>
        <v/>
      </c>
      <c r="T408" s="237" t="str">
        <f t="shared" si="122"/>
        <v/>
      </c>
      <c r="U408" s="189"/>
      <c r="V408" s="167"/>
      <c r="W408" s="165"/>
      <c r="X408" s="164"/>
      <c r="Y408" s="164"/>
      <c r="Z408" s="164"/>
      <c r="AA408" s="174"/>
      <c r="AB408" s="164"/>
      <c r="AC408" s="174"/>
      <c r="AD408" s="184"/>
      <c r="AE408" s="190" t="str">
        <f t="shared" si="118"/>
        <v/>
      </c>
      <c r="AF408" s="190" t="str">
        <f t="shared" si="119"/>
        <v/>
      </c>
      <c r="AG408" s="190" t="str">
        <f t="shared" si="108"/>
        <v>D</v>
      </c>
      <c r="AH408" s="190">
        <f>IFERROR(VLOOKUP(Y408,SISP_Deflatores_e_INMs!B$4:F$49,3,FALSE),1)</f>
        <v>1</v>
      </c>
      <c r="AI408" s="190">
        <f>IFERROR(VLOOKUP(Y408,SISP_Deflatores_e_INMs!B$4:G$49,5,FALSE),1)</f>
        <v>1</v>
      </c>
      <c r="AJ408" s="191" t="str">
        <f t="shared" si="120"/>
        <v/>
      </c>
      <c r="AK408" s="237" t="str">
        <f t="shared" si="109"/>
        <v/>
      </c>
      <c r="AL408" s="237" t="str">
        <f t="shared" si="121"/>
        <v/>
      </c>
      <c r="AM408" s="192" t="e">
        <f t="shared" si="110"/>
        <v>#VALUE!</v>
      </c>
      <c r="AN408" s="193" t="e">
        <f t="shared" si="111"/>
        <v>#VALUE!</v>
      </c>
      <c r="AO408" s="193" t="e">
        <f t="shared" si="112"/>
        <v>#VALUE!</v>
      </c>
      <c r="AP408" s="193"/>
      <c r="AQ408" s="204"/>
      <c r="AR408" s="204"/>
      <c r="AS408" s="204"/>
      <c r="AT408" s="205"/>
      <c r="AU408"/>
    </row>
    <row r="409" spans="2:47" ht="15" customHeight="1" x14ac:dyDescent="0.25">
      <c r="B409" s="206"/>
      <c r="C409" s="185"/>
      <c r="D409" s="164"/>
      <c r="E409" s="174"/>
      <c r="F409" s="164"/>
      <c r="G409" s="174"/>
      <c r="H409" s="164"/>
      <c r="I409" s="174"/>
      <c r="J409" s="184"/>
      <c r="K409" s="186"/>
      <c r="L409" s="187" t="str">
        <f t="shared" si="113"/>
        <v/>
      </c>
      <c r="M409" s="187" t="str">
        <f t="shared" si="114"/>
        <v/>
      </c>
      <c r="N409" s="187" t="str">
        <f t="shared" si="106"/>
        <v>D</v>
      </c>
      <c r="O409" s="187" t="str">
        <f t="shared" si="115"/>
        <v>D</v>
      </c>
      <c r="P409" s="187">
        <f t="shared" si="116"/>
        <v>1</v>
      </c>
      <c r="Q409" s="187">
        <f>IFERROR(VLOOKUP(E409,Tabela_Deflator:E$43,5,FALSE),1)</f>
        <v>1</v>
      </c>
      <c r="R409" s="188" t="str">
        <f t="shared" si="117"/>
        <v/>
      </c>
      <c r="S409" s="237" t="str">
        <f t="shared" si="107"/>
        <v/>
      </c>
      <c r="T409" s="237" t="str">
        <f t="shared" si="122"/>
        <v/>
      </c>
      <c r="U409" s="189"/>
      <c r="V409" s="167"/>
      <c r="W409" s="165"/>
      <c r="X409" s="164"/>
      <c r="Y409" s="164"/>
      <c r="Z409" s="164"/>
      <c r="AA409" s="174"/>
      <c r="AB409" s="164"/>
      <c r="AC409" s="174"/>
      <c r="AD409" s="184"/>
      <c r="AE409" s="190" t="str">
        <f t="shared" si="118"/>
        <v/>
      </c>
      <c r="AF409" s="190" t="str">
        <f t="shared" si="119"/>
        <v/>
      </c>
      <c r="AG409" s="190" t="str">
        <f t="shared" si="108"/>
        <v>D</v>
      </c>
      <c r="AH409" s="190">
        <f>IFERROR(VLOOKUP(Y409,SISP_Deflatores_e_INMs!B$4:F$49,3,FALSE),1)</f>
        <v>1</v>
      </c>
      <c r="AI409" s="190">
        <f>IFERROR(VLOOKUP(Y409,SISP_Deflatores_e_INMs!B$4:G$49,5,FALSE),1)</f>
        <v>1</v>
      </c>
      <c r="AJ409" s="191" t="str">
        <f t="shared" si="120"/>
        <v/>
      </c>
      <c r="AK409" s="237" t="str">
        <f t="shared" si="109"/>
        <v/>
      </c>
      <c r="AL409" s="237" t="str">
        <f t="shared" si="121"/>
        <v/>
      </c>
      <c r="AM409" s="192" t="e">
        <f t="shared" si="110"/>
        <v>#VALUE!</v>
      </c>
      <c r="AN409" s="193" t="e">
        <f t="shared" si="111"/>
        <v>#VALUE!</v>
      </c>
      <c r="AO409" s="193" t="e">
        <f t="shared" si="112"/>
        <v>#VALUE!</v>
      </c>
      <c r="AP409" s="193"/>
      <c r="AQ409" s="204"/>
      <c r="AR409" s="204"/>
      <c r="AS409" s="204"/>
      <c r="AT409" s="205"/>
      <c r="AU409"/>
    </row>
    <row r="410" spans="2:47" ht="15" customHeight="1" x14ac:dyDescent="0.25">
      <c r="B410" s="206"/>
      <c r="C410" s="185"/>
      <c r="D410" s="164"/>
      <c r="E410" s="174"/>
      <c r="F410" s="164"/>
      <c r="G410" s="174"/>
      <c r="H410" s="164"/>
      <c r="I410" s="174"/>
      <c r="J410" s="184"/>
      <c r="K410" s="186"/>
      <c r="L410" s="187" t="str">
        <f t="shared" si="113"/>
        <v/>
      </c>
      <c r="M410" s="187" t="str">
        <f t="shared" si="114"/>
        <v/>
      </c>
      <c r="N410" s="187" t="str">
        <f t="shared" si="106"/>
        <v>D</v>
      </c>
      <c r="O410" s="187" t="str">
        <f t="shared" si="115"/>
        <v>D</v>
      </c>
      <c r="P410" s="187">
        <f t="shared" si="116"/>
        <v>1</v>
      </c>
      <c r="Q410" s="187">
        <f>IFERROR(VLOOKUP(E410,Tabela_Deflator:E$43,5,FALSE),1)</f>
        <v>1</v>
      </c>
      <c r="R410" s="188" t="str">
        <f t="shared" si="117"/>
        <v/>
      </c>
      <c r="S410" s="237" t="str">
        <f t="shared" si="107"/>
        <v/>
      </c>
      <c r="T410" s="237" t="str">
        <f t="shared" si="122"/>
        <v/>
      </c>
      <c r="U410" s="189"/>
      <c r="V410" s="167"/>
      <c r="W410" s="165"/>
      <c r="X410" s="164"/>
      <c r="Y410" s="164"/>
      <c r="Z410" s="164"/>
      <c r="AA410" s="174"/>
      <c r="AB410" s="164"/>
      <c r="AC410" s="174"/>
      <c r="AD410" s="184"/>
      <c r="AE410" s="190" t="str">
        <f t="shared" si="118"/>
        <v/>
      </c>
      <c r="AF410" s="190" t="str">
        <f t="shared" si="119"/>
        <v/>
      </c>
      <c r="AG410" s="190" t="str">
        <f t="shared" si="108"/>
        <v>D</v>
      </c>
      <c r="AH410" s="190">
        <f>IFERROR(VLOOKUP(Y410,SISP_Deflatores_e_INMs!B$4:F$49,3,FALSE),1)</f>
        <v>1</v>
      </c>
      <c r="AI410" s="190">
        <f>IFERROR(VLOOKUP(Y410,SISP_Deflatores_e_INMs!B$4:G$49,5,FALSE),1)</f>
        <v>1</v>
      </c>
      <c r="AJ410" s="191" t="str">
        <f t="shared" si="120"/>
        <v/>
      </c>
      <c r="AK410" s="237" t="str">
        <f t="shared" si="109"/>
        <v/>
      </c>
      <c r="AL410" s="237" t="str">
        <f t="shared" si="121"/>
        <v/>
      </c>
      <c r="AM410" s="192" t="e">
        <f t="shared" si="110"/>
        <v>#VALUE!</v>
      </c>
      <c r="AN410" s="193" t="e">
        <f t="shared" si="111"/>
        <v>#VALUE!</v>
      </c>
      <c r="AO410" s="193" t="e">
        <f t="shared" si="112"/>
        <v>#VALUE!</v>
      </c>
      <c r="AP410" s="193"/>
      <c r="AQ410" s="204"/>
      <c r="AR410" s="204"/>
      <c r="AS410" s="204"/>
      <c r="AT410" s="205"/>
      <c r="AU410"/>
    </row>
    <row r="411" spans="2:47" ht="15" customHeight="1" x14ac:dyDescent="0.25">
      <c r="B411" s="206"/>
      <c r="C411" s="185"/>
      <c r="D411" s="164"/>
      <c r="E411" s="174"/>
      <c r="F411" s="164"/>
      <c r="G411" s="174"/>
      <c r="H411" s="164"/>
      <c r="I411" s="174"/>
      <c r="J411" s="184"/>
      <c r="K411" s="186"/>
      <c r="L411" s="187" t="str">
        <f t="shared" si="113"/>
        <v/>
      </c>
      <c r="M411" s="187" t="str">
        <f t="shared" si="114"/>
        <v/>
      </c>
      <c r="N411" s="187" t="str">
        <f t="shared" si="106"/>
        <v>D</v>
      </c>
      <c r="O411" s="187" t="str">
        <f t="shared" si="115"/>
        <v>D</v>
      </c>
      <c r="P411" s="187">
        <f t="shared" si="116"/>
        <v>1</v>
      </c>
      <c r="Q411" s="187">
        <f>IFERROR(VLOOKUP(E411,Tabela_Deflator:E$43,5,FALSE),1)</f>
        <v>1</v>
      </c>
      <c r="R411" s="188" t="str">
        <f t="shared" si="117"/>
        <v/>
      </c>
      <c r="S411" s="237" t="str">
        <f t="shared" si="107"/>
        <v/>
      </c>
      <c r="T411" s="237" t="str">
        <f t="shared" si="122"/>
        <v/>
      </c>
      <c r="U411" s="189"/>
      <c r="V411" s="167"/>
      <c r="W411" s="165"/>
      <c r="X411" s="164"/>
      <c r="Y411" s="164"/>
      <c r="Z411" s="164"/>
      <c r="AA411" s="174"/>
      <c r="AB411" s="164"/>
      <c r="AC411" s="174"/>
      <c r="AD411" s="184"/>
      <c r="AE411" s="190" t="str">
        <f t="shared" si="118"/>
        <v/>
      </c>
      <c r="AF411" s="190" t="str">
        <f t="shared" si="119"/>
        <v/>
      </c>
      <c r="AG411" s="190" t="str">
        <f t="shared" si="108"/>
        <v>D</v>
      </c>
      <c r="AH411" s="190">
        <f>IFERROR(VLOOKUP(Y411,SISP_Deflatores_e_INMs!B$4:F$49,3,FALSE),1)</f>
        <v>1</v>
      </c>
      <c r="AI411" s="190">
        <f>IFERROR(VLOOKUP(Y411,SISP_Deflatores_e_INMs!B$4:G$49,5,FALSE),1)</f>
        <v>1</v>
      </c>
      <c r="AJ411" s="191" t="str">
        <f t="shared" si="120"/>
        <v/>
      </c>
      <c r="AK411" s="237" t="str">
        <f t="shared" si="109"/>
        <v/>
      </c>
      <c r="AL411" s="237" t="str">
        <f t="shared" si="121"/>
        <v/>
      </c>
      <c r="AM411" s="192" t="e">
        <f t="shared" si="110"/>
        <v>#VALUE!</v>
      </c>
      <c r="AN411" s="193" t="e">
        <f t="shared" si="111"/>
        <v>#VALUE!</v>
      </c>
      <c r="AO411" s="193" t="e">
        <f t="shared" si="112"/>
        <v>#VALUE!</v>
      </c>
      <c r="AP411" s="193"/>
      <c r="AQ411" s="204"/>
      <c r="AR411" s="204"/>
      <c r="AS411" s="204"/>
      <c r="AT411" s="205"/>
      <c r="AU411"/>
    </row>
    <row r="412" spans="2:47" ht="15" customHeight="1" x14ac:dyDescent="0.25">
      <c r="B412" s="206"/>
      <c r="C412" s="185"/>
      <c r="D412" s="164"/>
      <c r="E412" s="174"/>
      <c r="F412" s="164"/>
      <c r="G412" s="174"/>
      <c r="H412" s="164"/>
      <c r="I412" s="174"/>
      <c r="J412" s="184"/>
      <c r="K412" s="186"/>
      <c r="L412" s="187" t="str">
        <f t="shared" si="113"/>
        <v/>
      </c>
      <c r="M412" s="187" t="str">
        <f t="shared" si="114"/>
        <v/>
      </c>
      <c r="N412" s="187" t="str">
        <f t="shared" si="106"/>
        <v>D</v>
      </c>
      <c r="O412" s="187" t="str">
        <f t="shared" si="115"/>
        <v>D</v>
      </c>
      <c r="P412" s="187">
        <f t="shared" si="116"/>
        <v>1</v>
      </c>
      <c r="Q412" s="187">
        <f>IFERROR(VLOOKUP(E412,Tabela_Deflator:E$43,5,FALSE),1)</f>
        <v>1</v>
      </c>
      <c r="R412" s="188" t="str">
        <f t="shared" si="117"/>
        <v/>
      </c>
      <c r="S412" s="237" t="str">
        <f t="shared" si="107"/>
        <v/>
      </c>
      <c r="T412" s="237" t="str">
        <f t="shared" si="122"/>
        <v/>
      </c>
      <c r="U412" s="189"/>
      <c r="V412" s="167"/>
      <c r="W412" s="165"/>
      <c r="X412" s="164"/>
      <c r="Y412" s="164"/>
      <c r="Z412" s="164"/>
      <c r="AA412" s="174"/>
      <c r="AB412" s="164"/>
      <c r="AC412" s="174"/>
      <c r="AD412" s="184"/>
      <c r="AE412" s="190" t="str">
        <f t="shared" si="118"/>
        <v/>
      </c>
      <c r="AF412" s="190" t="str">
        <f t="shared" si="119"/>
        <v/>
      </c>
      <c r="AG412" s="190" t="str">
        <f t="shared" si="108"/>
        <v>D</v>
      </c>
      <c r="AH412" s="190">
        <f>IFERROR(VLOOKUP(Y412,SISP_Deflatores_e_INMs!B$4:F$49,3,FALSE),1)</f>
        <v>1</v>
      </c>
      <c r="AI412" s="190">
        <f>IFERROR(VLOOKUP(Y412,SISP_Deflatores_e_INMs!B$4:G$49,5,FALSE),1)</f>
        <v>1</v>
      </c>
      <c r="AJ412" s="191" t="str">
        <f t="shared" si="120"/>
        <v/>
      </c>
      <c r="AK412" s="237" t="str">
        <f t="shared" si="109"/>
        <v/>
      </c>
      <c r="AL412" s="237" t="str">
        <f t="shared" si="121"/>
        <v/>
      </c>
      <c r="AM412" s="192" t="e">
        <f t="shared" si="110"/>
        <v>#VALUE!</v>
      </c>
      <c r="AN412" s="193" t="e">
        <f t="shared" si="111"/>
        <v>#VALUE!</v>
      </c>
      <c r="AO412" s="193" t="e">
        <f t="shared" si="112"/>
        <v>#VALUE!</v>
      </c>
      <c r="AP412" s="193"/>
      <c r="AQ412" s="204"/>
      <c r="AR412" s="204"/>
      <c r="AS412" s="204"/>
      <c r="AT412" s="205"/>
      <c r="AU412"/>
    </row>
    <row r="413" spans="2:47" ht="15" customHeight="1" x14ac:dyDescent="0.25">
      <c r="B413" s="206"/>
      <c r="C413" s="185"/>
      <c r="D413" s="164"/>
      <c r="E413" s="174"/>
      <c r="F413" s="164"/>
      <c r="G413" s="174"/>
      <c r="H413" s="164"/>
      <c r="I413" s="174"/>
      <c r="J413" s="184"/>
      <c r="K413" s="186"/>
      <c r="L413" s="187" t="str">
        <f t="shared" si="113"/>
        <v/>
      </c>
      <c r="M413" s="187" t="str">
        <f t="shared" si="114"/>
        <v/>
      </c>
      <c r="N413" s="187" t="str">
        <f t="shared" si="106"/>
        <v>D</v>
      </c>
      <c r="O413" s="187" t="str">
        <f t="shared" si="115"/>
        <v>D</v>
      </c>
      <c r="P413" s="187">
        <f t="shared" si="116"/>
        <v>1</v>
      </c>
      <c r="Q413" s="187">
        <f>IFERROR(VLOOKUP(E413,Tabela_Deflator:E$43,5,FALSE),1)</f>
        <v>1</v>
      </c>
      <c r="R413" s="188" t="str">
        <f t="shared" si="117"/>
        <v/>
      </c>
      <c r="S413" s="237" t="str">
        <f t="shared" si="107"/>
        <v/>
      </c>
      <c r="T413" s="237" t="str">
        <f t="shared" si="122"/>
        <v/>
      </c>
      <c r="U413" s="189"/>
      <c r="V413" s="167"/>
      <c r="W413" s="165"/>
      <c r="X413" s="164"/>
      <c r="Y413" s="164"/>
      <c r="Z413" s="164"/>
      <c r="AA413" s="174"/>
      <c r="AB413" s="164"/>
      <c r="AC413" s="174"/>
      <c r="AD413" s="184"/>
      <c r="AE413" s="190" t="str">
        <f t="shared" si="118"/>
        <v/>
      </c>
      <c r="AF413" s="190" t="str">
        <f t="shared" si="119"/>
        <v/>
      </c>
      <c r="AG413" s="190" t="str">
        <f t="shared" si="108"/>
        <v>D</v>
      </c>
      <c r="AH413" s="190">
        <f>IFERROR(VLOOKUP(Y413,SISP_Deflatores_e_INMs!B$4:F$49,3,FALSE),1)</f>
        <v>1</v>
      </c>
      <c r="AI413" s="190">
        <f>IFERROR(VLOOKUP(Y413,SISP_Deflatores_e_INMs!B$4:G$49,5,FALSE),1)</f>
        <v>1</v>
      </c>
      <c r="AJ413" s="191" t="str">
        <f t="shared" si="120"/>
        <v/>
      </c>
      <c r="AK413" s="237" t="str">
        <f t="shared" si="109"/>
        <v/>
      </c>
      <c r="AL413" s="237" t="str">
        <f t="shared" si="121"/>
        <v/>
      </c>
      <c r="AM413" s="192" t="e">
        <f t="shared" si="110"/>
        <v>#VALUE!</v>
      </c>
      <c r="AN413" s="193" t="e">
        <f t="shared" si="111"/>
        <v>#VALUE!</v>
      </c>
      <c r="AO413" s="193" t="e">
        <f t="shared" si="112"/>
        <v>#VALUE!</v>
      </c>
      <c r="AP413" s="193"/>
      <c r="AQ413" s="204"/>
      <c r="AR413" s="204"/>
      <c r="AS413" s="204"/>
      <c r="AT413" s="205"/>
      <c r="AU413"/>
    </row>
    <row r="414" spans="2:47" ht="15" customHeight="1" x14ac:dyDescent="0.25">
      <c r="B414" s="206"/>
      <c r="C414" s="185"/>
      <c r="D414" s="164"/>
      <c r="E414" s="174"/>
      <c r="F414" s="164"/>
      <c r="G414" s="174"/>
      <c r="H414" s="164"/>
      <c r="I414" s="174"/>
      <c r="J414" s="184"/>
      <c r="K414" s="186"/>
      <c r="L414" s="187" t="str">
        <f t="shared" si="113"/>
        <v/>
      </c>
      <c r="M414" s="187" t="str">
        <f t="shared" si="114"/>
        <v/>
      </c>
      <c r="N414" s="187" t="str">
        <f t="shared" si="106"/>
        <v>D</v>
      </c>
      <c r="O414" s="187" t="str">
        <f t="shared" si="115"/>
        <v>D</v>
      </c>
      <c r="P414" s="187">
        <f t="shared" si="116"/>
        <v>1</v>
      </c>
      <c r="Q414" s="187">
        <f>IFERROR(VLOOKUP(E414,Tabela_Deflator:E$43,5,FALSE),1)</f>
        <v>1</v>
      </c>
      <c r="R414" s="188" t="str">
        <f t="shared" si="117"/>
        <v/>
      </c>
      <c r="S414" s="237" t="str">
        <f t="shared" si="107"/>
        <v/>
      </c>
      <c r="T414" s="237" t="str">
        <f t="shared" si="122"/>
        <v/>
      </c>
      <c r="U414" s="189"/>
      <c r="V414" s="167"/>
      <c r="W414" s="165"/>
      <c r="X414" s="164"/>
      <c r="Y414" s="164"/>
      <c r="Z414" s="164"/>
      <c r="AA414" s="174"/>
      <c r="AB414" s="164"/>
      <c r="AC414" s="174"/>
      <c r="AD414" s="184"/>
      <c r="AE414" s="190" t="str">
        <f t="shared" si="118"/>
        <v/>
      </c>
      <c r="AF414" s="190" t="str">
        <f t="shared" si="119"/>
        <v/>
      </c>
      <c r="AG414" s="190" t="str">
        <f t="shared" si="108"/>
        <v>D</v>
      </c>
      <c r="AH414" s="190">
        <f>IFERROR(VLOOKUP(Y414,SISP_Deflatores_e_INMs!B$4:F$49,3,FALSE),1)</f>
        <v>1</v>
      </c>
      <c r="AI414" s="190">
        <f>IFERROR(VLOOKUP(Y414,SISP_Deflatores_e_INMs!B$4:G$49,5,FALSE),1)</f>
        <v>1</v>
      </c>
      <c r="AJ414" s="191" t="str">
        <f t="shared" si="120"/>
        <v/>
      </c>
      <c r="AK414" s="237" t="str">
        <f t="shared" si="109"/>
        <v/>
      </c>
      <c r="AL414" s="237" t="str">
        <f t="shared" si="121"/>
        <v/>
      </c>
      <c r="AM414" s="192" t="e">
        <f t="shared" si="110"/>
        <v>#VALUE!</v>
      </c>
      <c r="AN414" s="193" t="e">
        <f t="shared" si="111"/>
        <v>#VALUE!</v>
      </c>
      <c r="AO414" s="193" t="e">
        <f t="shared" si="112"/>
        <v>#VALUE!</v>
      </c>
      <c r="AP414" s="193"/>
      <c r="AQ414" s="204"/>
      <c r="AR414" s="204"/>
      <c r="AS414" s="204"/>
      <c r="AT414" s="205"/>
      <c r="AU414"/>
    </row>
    <row r="415" spans="2:47" ht="15" customHeight="1" x14ac:dyDescent="0.25">
      <c r="B415" s="206"/>
      <c r="C415" s="185"/>
      <c r="D415" s="164"/>
      <c r="E415" s="174"/>
      <c r="F415" s="164"/>
      <c r="G415" s="174"/>
      <c r="H415" s="164"/>
      <c r="I415" s="174"/>
      <c r="J415" s="184"/>
      <c r="K415" s="186"/>
      <c r="L415" s="187" t="str">
        <f t="shared" si="113"/>
        <v/>
      </c>
      <c r="M415" s="187" t="str">
        <f t="shared" si="114"/>
        <v/>
      </c>
      <c r="N415" s="187" t="str">
        <f t="shared" si="106"/>
        <v>D</v>
      </c>
      <c r="O415" s="187" t="str">
        <f t="shared" si="115"/>
        <v>D</v>
      </c>
      <c r="P415" s="187">
        <f t="shared" si="116"/>
        <v>1</v>
      </c>
      <c r="Q415" s="187">
        <f>IFERROR(VLOOKUP(E415,Tabela_Deflator:E$43,5,FALSE),1)</f>
        <v>1</v>
      </c>
      <c r="R415" s="188" t="str">
        <f t="shared" si="117"/>
        <v/>
      </c>
      <c r="S415" s="237" t="str">
        <f t="shared" si="107"/>
        <v/>
      </c>
      <c r="T415" s="237" t="str">
        <f t="shared" si="122"/>
        <v/>
      </c>
      <c r="U415" s="189"/>
      <c r="V415" s="167"/>
      <c r="W415" s="165"/>
      <c r="X415" s="164"/>
      <c r="Y415" s="164"/>
      <c r="Z415" s="164"/>
      <c r="AA415" s="174"/>
      <c r="AB415" s="164"/>
      <c r="AC415" s="174"/>
      <c r="AD415" s="184"/>
      <c r="AE415" s="190" t="str">
        <f t="shared" si="118"/>
        <v/>
      </c>
      <c r="AF415" s="190" t="str">
        <f t="shared" si="119"/>
        <v/>
      </c>
      <c r="AG415" s="190" t="str">
        <f t="shared" si="108"/>
        <v>D</v>
      </c>
      <c r="AH415" s="190">
        <f>IFERROR(VLOOKUP(Y415,SISP_Deflatores_e_INMs!B$4:F$49,3,FALSE),1)</f>
        <v>1</v>
      </c>
      <c r="AI415" s="190">
        <f>IFERROR(VLOOKUP(Y415,SISP_Deflatores_e_INMs!B$4:G$49,5,FALSE),1)</f>
        <v>1</v>
      </c>
      <c r="AJ415" s="191" t="str">
        <f t="shared" si="120"/>
        <v/>
      </c>
      <c r="AK415" s="237" t="str">
        <f t="shared" si="109"/>
        <v/>
      </c>
      <c r="AL415" s="237" t="str">
        <f t="shared" si="121"/>
        <v/>
      </c>
      <c r="AM415" s="192" t="e">
        <f t="shared" si="110"/>
        <v>#VALUE!</v>
      </c>
      <c r="AN415" s="193" t="e">
        <f t="shared" si="111"/>
        <v>#VALUE!</v>
      </c>
      <c r="AO415" s="193" t="e">
        <f t="shared" si="112"/>
        <v>#VALUE!</v>
      </c>
      <c r="AP415" s="193"/>
      <c r="AQ415" s="204"/>
      <c r="AR415" s="204"/>
      <c r="AS415" s="204"/>
      <c r="AT415" s="205"/>
      <c r="AU415"/>
    </row>
    <row r="416" spans="2:47" ht="15" customHeight="1" x14ac:dyDescent="0.25">
      <c r="B416" s="206"/>
      <c r="C416" s="185"/>
      <c r="D416" s="164"/>
      <c r="E416" s="174"/>
      <c r="F416" s="164"/>
      <c r="G416" s="174"/>
      <c r="H416" s="164"/>
      <c r="I416" s="174"/>
      <c r="J416" s="184"/>
      <c r="K416" s="186"/>
      <c r="L416" s="187" t="str">
        <f t="shared" si="113"/>
        <v/>
      </c>
      <c r="M416" s="187" t="str">
        <f t="shared" si="114"/>
        <v/>
      </c>
      <c r="N416" s="187" t="str">
        <f t="shared" si="106"/>
        <v>D</v>
      </c>
      <c r="O416" s="187" t="str">
        <f t="shared" si="115"/>
        <v>D</v>
      </c>
      <c r="P416" s="187">
        <f t="shared" si="116"/>
        <v>1</v>
      </c>
      <c r="Q416" s="187">
        <f>IFERROR(VLOOKUP(E416,Tabela_Deflator:E$43,5,FALSE),1)</f>
        <v>1</v>
      </c>
      <c r="R416" s="188" t="str">
        <f t="shared" si="117"/>
        <v/>
      </c>
      <c r="S416" s="237" t="str">
        <f t="shared" si="107"/>
        <v/>
      </c>
      <c r="T416" s="237" t="str">
        <f t="shared" si="122"/>
        <v/>
      </c>
      <c r="U416" s="189"/>
      <c r="V416" s="167"/>
      <c r="W416" s="165"/>
      <c r="X416" s="164"/>
      <c r="Y416" s="164"/>
      <c r="Z416" s="164"/>
      <c r="AA416" s="174"/>
      <c r="AB416" s="164"/>
      <c r="AC416" s="174"/>
      <c r="AD416" s="184"/>
      <c r="AE416" s="190" t="str">
        <f t="shared" si="118"/>
        <v/>
      </c>
      <c r="AF416" s="190" t="str">
        <f t="shared" si="119"/>
        <v/>
      </c>
      <c r="AG416" s="190" t="str">
        <f t="shared" si="108"/>
        <v>D</v>
      </c>
      <c r="AH416" s="190">
        <f>IFERROR(VLOOKUP(Y416,SISP_Deflatores_e_INMs!B$4:F$49,3,FALSE),1)</f>
        <v>1</v>
      </c>
      <c r="AI416" s="190">
        <f>IFERROR(VLOOKUP(Y416,SISP_Deflatores_e_INMs!B$4:G$49,5,FALSE),1)</f>
        <v>1</v>
      </c>
      <c r="AJ416" s="191" t="str">
        <f t="shared" si="120"/>
        <v/>
      </c>
      <c r="AK416" s="237" t="str">
        <f t="shared" si="109"/>
        <v/>
      </c>
      <c r="AL416" s="237" t="str">
        <f t="shared" si="121"/>
        <v/>
      </c>
      <c r="AM416" s="192" t="e">
        <f t="shared" si="110"/>
        <v>#VALUE!</v>
      </c>
      <c r="AN416" s="193" t="e">
        <f t="shared" si="111"/>
        <v>#VALUE!</v>
      </c>
      <c r="AO416" s="193" t="e">
        <f t="shared" si="112"/>
        <v>#VALUE!</v>
      </c>
      <c r="AP416" s="193"/>
      <c r="AQ416" s="204"/>
      <c r="AR416" s="204"/>
      <c r="AS416" s="204"/>
      <c r="AT416" s="205"/>
      <c r="AU416"/>
    </row>
    <row r="417" spans="2:47" ht="15" customHeight="1" x14ac:dyDescent="0.25">
      <c r="B417" s="206"/>
      <c r="C417" s="185"/>
      <c r="D417" s="164"/>
      <c r="E417" s="174"/>
      <c r="F417" s="164"/>
      <c r="G417" s="174"/>
      <c r="H417" s="164"/>
      <c r="I417" s="174"/>
      <c r="J417" s="184"/>
      <c r="K417" s="186"/>
      <c r="L417" s="187" t="str">
        <f t="shared" si="113"/>
        <v/>
      </c>
      <c r="M417" s="187" t="str">
        <f t="shared" si="114"/>
        <v/>
      </c>
      <c r="N417" s="187" t="str">
        <f t="shared" si="106"/>
        <v>D</v>
      </c>
      <c r="O417" s="187" t="str">
        <f t="shared" si="115"/>
        <v>D</v>
      </c>
      <c r="P417" s="187">
        <f t="shared" si="116"/>
        <v>1</v>
      </c>
      <c r="Q417" s="187">
        <f>IFERROR(VLOOKUP(E417,Tabela_Deflator:E$43,5,FALSE),1)</f>
        <v>1</v>
      </c>
      <c r="R417" s="188" t="str">
        <f t="shared" si="117"/>
        <v/>
      </c>
      <c r="S417" s="237" t="str">
        <f t="shared" si="107"/>
        <v/>
      </c>
      <c r="T417" s="237" t="str">
        <f t="shared" si="122"/>
        <v/>
      </c>
      <c r="U417" s="189"/>
      <c r="V417" s="167"/>
      <c r="W417" s="165"/>
      <c r="X417" s="164"/>
      <c r="Y417" s="164"/>
      <c r="Z417" s="164"/>
      <c r="AA417" s="174"/>
      <c r="AB417" s="164"/>
      <c r="AC417" s="174"/>
      <c r="AD417" s="184"/>
      <c r="AE417" s="190" t="str">
        <f t="shared" si="118"/>
        <v/>
      </c>
      <c r="AF417" s="190" t="str">
        <f t="shared" si="119"/>
        <v/>
      </c>
      <c r="AG417" s="190" t="str">
        <f t="shared" si="108"/>
        <v>D</v>
      </c>
      <c r="AH417" s="190">
        <f>IFERROR(VLOOKUP(Y417,SISP_Deflatores_e_INMs!B$4:F$49,3,FALSE),1)</f>
        <v>1</v>
      </c>
      <c r="AI417" s="190">
        <f>IFERROR(VLOOKUP(Y417,SISP_Deflatores_e_INMs!B$4:G$49,5,FALSE),1)</f>
        <v>1</v>
      </c>
      <c r="AJ417" s="191" t="str">
        <f t="shared" si="120"/>
        <v/>
      </c>
      <c r="AK417" s="237" t="str">
        <f t="shared" si="109"/>
        <v/>
      </c>
      <c r="AL417" s="237" t="str">
        <f t="shared" si="121"/>
        <v/>
      </c>
      <c r="AM417" s="192" t="e">
        <f t="shared" si="110"/>
        <v>#VALUE!</v>
      </c>
      <c r="AN417" s="193" t="e">
        <f t="shared" si="111"/>
        <v>#VALUE!</v>
      </c>
      <c r="AO417" s="193" t="e">
        <f t="shared" si="112"/>
        <v>#VALUE!</v>
      </c>
      <c r="AP417" s="193"/>
      <c r="AQ417" s="204"/>
      <c r="AR417" s="204"/>
      <c r="AS417" s="204"/>
      <c r="AT417" s="205"/>
      <c r="AU417"/>
    </row>
    <row r="418" spans="2:47" ht="15" customHeight="1" x14ac:dyDescent="0.25">
      <c r="B418" s="206"/>
      <c r="C418" s="185"/>
      <c r="D418" s="164"/>
      <c r="E418" s="174"/>
      <c r="F418" s="164"/>
      <c r="G418" s="174"/>
      <c r="H418" s="164"/>
      <c r="I418" s="174"/>
      <c r="J418" s="184"/>
      <c r="K418" s="186"/>
      <c r="L418" s="187" t="str">
        <f t="shared" si="113"/>
        <v/>
      </c>
      <c r="M418" s="187" t="str">
        <f t="shared" si="114"/>
        <v/>
      </c>
      <c r="N418" s="187" t="str">
        <f t="shared" si="106"/>
        <v>D</v>
      </c>
      <c r="O418" s="187" t="str">
        <f t="shared" si="115"/>
        <v>D</v>
      </c>
      <c r="P418" s="187">
        <f t="shared" si="116"/>
        <v>1</v>
      </c>
      <c r="Q418" s="187">
        <f>IFERROR(VLOOKUP(E418,Tabela_Deflator:E$43,5,FALSE),1)</f>
        <v>1</v>
      </c>
      <c r="R418" s="188" t="str">
        <f t="shared" si="117"/>
        <v/>
      </c>
      <c r="S418" s="237" t="str">
        <f t="shared" si="107"/>
        <v/>
      </c>
      <c r="T418" s="237" t="str">
        <f t="shared" si="122"/>
        <v/>
      </c>
      <c r="U418" s="189"/>
      <c r="V418" s="167"/>
      <c r="W418" s="165"/>
      <c r="X418" s="164"/>
      <c r="Y418" s="164"/>
      <c r="Z418" s="164"/>
      <c r="AA418" s="174"/>
      <c r="AB418" s="164"/>
      <c r="AC418" s="174"/>
      <c r="AD418" s="184"/>
      <c r="AE418" s="190" t="str">
        <f t="shared" si="118"/>
        <v/>
      </c>
      <c r="AF418" s="190" t="str">
        <f t="shared" si="119"/>
        <v/>
      </c>
      <c r="AG418" s="190" t="str">
        <f t="shared" si="108"/>
        <v>D</v>
      </c>
      <c r="AH418" s="190">
        <f>IFERROR(VLOOKUP(Y418,SISP_Deflatores_e_INMs!B$4:F$49,3,FALSE),1)</f>
        <v>1</v>
      </c>
      <c r="AI418" s="190">
        <f>IFERROR(VLOOKUP(Y418,SISP_Deflatores_e_INMs!B$4:G$49,5,FALSE),1)</f>
        <v>1</v>
      </c>
      <c r="AJ418" s="191" t="str">
        <f t="shared" si="120"/>
        <v/>
      </c>
      <c r="AK418" s="237" t="str">
        <f t="shared" si="109"/>
        <v/>
      </c>
      <c r="AL418" s="237" t="str">
        <f t="shared" si="121"/>
        <v/>
      </c>
      <c r="AM418" s="192" t="e">
        <f t="shared" si="110"/>
        <v>#VALUE!</v>
      </c>
      <c r="AN418" s="193" t="e">
        <f t="shared" si="111"/>
        <v>#VALUE!</v>
      </c>
      <c r="AO418" s="193" t="e">
        <f t="shared" si="112"/>
        <v>#VALUE!</v>
      </c>
      <c r="AP418" s="193"/>
      <c r="AQ418" s="204"/>
      <c r="AR418" s="204"/>
      <c r="AS418" s="204"/>
      <c r="AT418" s="205"/>
      <c r="AU418"/>
    </row>
    <row r="419" spans="2:47" ht="15" customHeight="1" x14ac:dyDescent="0.25">
      <c r="B419" s="206"/>
      <c r="C419" s="185"/>
      <c r="D419" s="164"/>
      <c r="E419" s="174"/>
      <c r="F419" s="164"/>
      <c r="G419" s="174"/>
      <c r="H419" s="164"/>
      <c r="I419" s="174"/>
      <c r="J419" s="184"/>
      <c r="K419" s="186"/>
      <c r="L419" s="187" t="str">
        <f t="shared" si="113"/>
        <v/>
      </c>
      <c r="M419" s="187" t="str">
        <f t="shared" si="114"/>
        <v/>
      </c>
      <c r="N419" s="187" t="str">
        <f t="shared" si="106"/>
        <v>D</v>
      </c>
      <c r="O419" s="187" t="str">
        <f t="shared" si="115"/>
        <v>D</v>
      </c>
      <c r="P419" s="187">
        <f t="shared" si="116"/>
        <v>1</v>
      </c>
      <c r="Q419" s="187">
        <f>IFERROR(VLOOKUP(E419,Tabela_Deflator:E$43,5,FALSE),1)</f>
        <v>1</v>
      </c>
      <c r="R419" s="188" t="str">
        <f t="shared" si="117"/>
        <v/>
      </c>
      <c r="S419" s="237" t="str">
        <f t="shared" si="107"/>
        <v/>
      </c>
      <c r="T419" s="237" t="str">
        <f t="shared" si="122"/>
        <v/>
      </c>
      <c r="U419" s="189"/>
      <c r="V419" s="167"/>
      <c r="W419" s="165"/>
      <c r="X419" s="164"/>
      <c r="Y419" s="164"/>
      <c r="Z419" s="164"/>
      <c r="AA419" s="174"/>
      <c r="AB419" s="164"/>
      <c r="AC419" s="174"/>
      <c r="AD419" s="184"/>
      <c r="AE419" s="190" t="str">
        <f t="shared" si="118"/>
        <v/>
      </c>
      <c r="AF419" s="190" t="str">
        <f t="shared" si="119"/>
        <v/>
      </c>
      <c r="AG419" s="190" t="str">
        <f t="shared" si="108"/>
        <v>D</v>
      </c>
      <c r="AH419" s="190">
        <f>IFERROR(VLOOKUP(Y419,SISP_Deflatores_e_INMs!B$4:F$49,3,FALSE),1)</f>
        <v>1</v>
      </c>
      <c r="AI419" s="190">
        <f>IFERROR(VLOOKUP(Y419,SISP_Deflatores_e_INMs!B$4:G$49,5,FALSE),1)</f>
        <v>1</v>
      </c>
      <c r="AJ419" s="191" t="str">
        <f t="shared" si="120"/>
        <v/>
      </c>
      <c r="AK419" s="237" t="str">
        <f t="shared" si="109"/>
        <v/>
      </c>
      <c r="AL419" s="237" t="str">
        <f t="shared" si="121"/>
        <v/>
      </c>
      <c r="AM419" s="192" t="e">
        <f t="shared" si="110"/>
        <v>#VALUE!</v>
      </c>
      <c r="AN419" s="193" t="e">
        <f t="shared" si="111"/>
        <v>#VALUE!</v>
      </c>
      <c r="AO419" s="193" t="e">
        <f t="shared" si="112"/>
        <v>#VALUE!</v>
      </c>
      <c r="AP419" s="193"/>
      <c r="AQ419" s="204"/>
      <c r="AR419" s="204"/>
      <c r="AS419" s="204"/>
      <c r="AT419" s="205"/>
      <c r="AU419"/>
    </row>
    <row r="420" spans="2:47" ht="15" customHeight="1" x14ac:dyDescent="0.25">
      <c r="B420" s="206"/>
      <c r="C420" s="185"/>
      <c r="D420" s="164"/>
      <c r="E420" s="174"/>
      <c r="F420" s="164"/>
      <c r="G420" s="174"/>
      <c r="H420" s="164"/>
      <c r="I420" s="174"/>
      <c r="J420" s="184"/>
      <c r="K420" s="186"/>
      <c r="L420" s="187" t="str">
        <f t="shared" si="113"/>
        <v/>
      </c>
      <c r="M420" s="187" t="str">
        <f t="shared" si="114"/>
        <v/>
      </c>
      <c r="N420" s="187" t="str">
        <f t="shared" si="106"/>
        <v>D</v>
      </c>
      <c r="O420" s="187" t="str">
        <f t="shared" si="115"/>
        <v>D</v>
      </c>
      <c r="P420" s="187">
        <f t="shared" si="116"/>
        <v>1</v>
      </c>
      <c r="Q420" s="187">
        <f>IFERROR(VLOOKUP(E420,Tabela_Deflator:E$43,5,FALSE),1)</f>
        <v>1</v>
      </c>
      <c r="R420" s="188" t="str">
        <f t="shared" si="117"/>
        <v/>
      </c>
      <c r="S420" s="237" t="str">
        <f t="shared" si="107"/>
        <v/>
      </c>
      <c r="T420" s="237" t="str">
        <f t="shared" si="122"/>
        <v/>
      </c>
      <c r="U420" s="189"/>
      <c r="V420" s="167"/>
      <c r="W420" s="165"/>
      <c r="X420" s="164"/>
      <c r="Y420" s="164"/>
      <c r="Z420" s="164"/>
      <c r="AA420" s="174"/>
      <c r="AB420" s="164"/>
      <c r="AC420" s="174"/>
      <c r="AD420" s="184"/>
      <c r="AE420" s="190" t="str">
        <f t="shared" si="118"/>
        <v/>
      </c>
      <c r="AF420" s="190" t="str">
        <f t="shared" si="119"/>
        <v/>
      </c>
      <c r="AG420" s="190" t="str">
        <f t="shared" si="108"/>
        <v>D</v>
      </c>
      <c r="AH420" s="190">
        <f>IFERROR(VLOOKUP(Y420,SISP_Deflatores_e_INMs!B$4:F$49,3,FALSE),1)</f>
        <v>1</v>
      </c>
      <c r="AI420" s="190">
        <f>IFERROR(VLOOKUP(Y420,SISP_Deflatores_e_INMs!B$4:G$49,5,FALSE),1)</f>
        <v>1</v>
      </c>
      <c r="AJ420" s="191" t="str">
        <f t="shared" si="120"/>
        <v/>
      </c>
      <c r="AK420" s="237" t="str">
        <f t="shared" si="109"/>
        <v/>
      </c>
      <c r="AL420" s="237" t="str">
        <f t="shared" si="121"/>
        <v/>
      </c>
      <c r="AM420" s="192" t="e">
        <f t="shared" si="110"/>
        <v>#VALUE!</v>
      </c>
      <c r="AN420" s="193" t="e">
        <f t="shared" si="111"/>
        <v>#VALUE!</v>
      </c>
      <c r="AO420" s="193" t="e">
        <f t="shared" si="112"/>
        <v>#VALUE!</v>
      </c>
      <c r="AP420" s="193"/>
      <c r="AQ420" s="204"/>
      <c r="AR420" s="204"/>
      <c r="AS420" s="204"/>
      <c r="AT420" s="205"/>
      <c r="AU420"/>
    </row>
    <row r="421" spans="2:47" ht="15" customHeight="1" x14ac:dyDescent="0.25">
      <c r="B421" s="206"/>
      <c r="C421" s="185"/>
      <c r="D421" s="164"/>
      <c r="E421" s="174"/>
      <c r="F421" s="164"/>
      <c r="G421" s="174"/>
      <c r="H421" s="164"/>
      <c r="I421" s="174"/>
      <c r="J421" s="184"/>
      <c r="K421" s="186"/>
      <c r="L421" s="187" t="str">
        <f t="shared" si="113"/>
        <v/>
      </c>
      <c r="M421" s="187" t="str">
        <f t="shared" si="114"/>
        <v/>
      </c>
      <c r="N421" s="187" t="str">
        <f t="shared" si="106"/>
        <v>D</v>
      </c>
      <c r="O421" s="187" t="str">
        <f t="shared" si="115"/>
        <v>D</v>
      </c>
      <c r="P421" s="187">
        <f t="shared" si="116"/>
        <v>1</v>
      </c>
      <c r="Q421" s="187">
        <f>IFERROR(VLOOKUP(E421,Tabela_Deflator:E$43,5,FALSE),1)</f>
        <v>1</v>
      </c>
      <c r="R421" s="188" t="str">
        <f t="shared" si="117"/>
        <v/>
      </c>
      <c r="S421" s="237" t="str">
        <f t="shared" si="107"/>
        <v/>
      </c>
      <c r="T421" s="237" t="str">
        <f t="shared" si="122"/>
        <v/>
      </c>
      <c r="U421" s="189"/>
      <c r="V421" s="167"/>
      <c r="W421" s="165"/>
      <c r="X421" s="164"/>
      <c r="Y421" s="164"/>
      <c r="Z421" s="164"/>
      <c r="AA421" s="174"/>
      <c r="AB421" s="164"/>
      <c r="AC421" s="174"/>
      <c r="AD421" s="184"/>
      <c r="AE421" s="190" t="str">
        <f t="shared" si="118"/>
        <v/>
      </c>
      <c r="AF421" s="190" t="str">
        <f t="shared" si="119"/>
        <v/>
      </c>
      <c r="AG421" s="190" t="str">
        <f t="shared" si="108"/>
        <v>D</v>
      </c>
      <c r="AH421" s="190">
        <f>IFERROR(VLOOKUP(Y421,SISP_Deflatores_e_INMs!B$4:F$49,3,FALSE),1)</f>
        <v>1</v>
      </c>
      <c r="AI421" s="190">
        <f>IFERROR(VLOOKUP(Y421,SISP_Deflatores_e_INMs!B$4:G$49,5,FALSE),1)</f>
        <v>1</v>
      </c>
      <c r="AJ421" s="191" t="str">
        <f t="shared" si="120"/>
        <v/>
      </c>
      <c r="AK421" s="237" t="str">
        <f t="shared" si="109"/>
        <v/>
      </c>
      <c r="AL421" s="237" t="str">
        <f t="shared" si="121"/>
        <v/>
      </c>
      <c r="AM421" s="192" t="e">
        <f t="shared" si="110"/>
        <v>#VALUE!</v>
      </c>
      <c r="AN421" s="193" t="e">
        <f t="shared" si="111"/>
        <v>#VALUE!</v>
      </c>
      <c r="AO421" s="193" t="e">
        <f t="shared" si="112"/>
        <v>#VALUE!</v>
      </c>
      <c r="AP421" s="193"/>
      <c r="AQ421" s="204"/>
      <c r="AR421" s="204"/>
      <c r="AS421" s="204"/>
      <c r="AT421" s="205"/>
      <c r="AU421"/>
    </row>
    <row r="422" spans="2:47" ht="15" customHeight="1" x14ac:dyDescent="0.25">
      <c r="B422" s="206"/>
      <c r="C422" s="185"/>
      <c r="D422" s="164"/>
      <c r="E422" s="174"/>
      <c r="F422" s="164"/>
      <c r="G422" s="174"/>
      <c r="H422" s="164"/>
      <c r="I422" s="174"/>
      <c r="J422" s="184"/>
      <c r="K422" s="186"/>
      <c r="L422" s="187" t="str">
        <f t="shared" si="113"/>
        <v/>
      </c>
      <c r="M422" s="187" t="str">
        <f t="shared" si="114"/>
        <v/>
      </c>
      <c r="N422" s="187" t="str">
        <f t="shared" si="106"/>
        <v>D</v>
      </c>
      <c r="O422" s="187" t="str">
        <f t="shared" si="115"/>
        <v>D</v>
      </c>
      <c r="P422" s="187">
        <f t="shared" si="116"/>
        <v>1</v>
      </c>
      <c r="Q422" s="187">
        <f>IFERROR(VLOOKUP(E422,Tabela_Deflator:E$43,5,FALSE),1)</f>
        <v>1</v>
      </c>
      <c r="R422" s="188" t="str">
        <f t="shared" si="117"/>
        <v/>
      </c>
      <c r="S422" s="237" t="str">
        <f t="shared" si="107"/>
        <v/>
      </c>
      <c r="T422" s="237" t="str">
        <f t="shared" si="122"/>
        <v/>
      </c>
      <c r="U422" s="189"/>
      <c r="V422" s="167"/>
      <c r="W422" s="165"/>
      <c r="X422" s="164"/>
      <c r="Y422" s="164"/>
      <c r="Z422" s="164"/>
      <c r="AA422" s="174"/>
      <c r="AB422" s="164"/>
      <c r="AC422" s="174"/>
      <c r="AD422" s="184"/>
      <c r="AE422" s="190" t="str">
        <f t="shared" si="118"/>
        <v/>
      </c>
      <c r="AF422" s="190" t="str">
        <f t="shared" si="119"/>
        <v/>
      </c>
      <c r="AG422" s="190" t="str">
        <f t="shared" si="108"/>
        <v>D</v>
      </c>
      <c r="AH422" s="190">
        <f>IFERROR(VLOOKUP(Y422,SISP_Deflatores_e_INMs!B$4:F$49,3,FALSE),1)</f>
        <v>1</v>
      </c>
      <c r="AI422" s="190">
        <f>IFERROR(VLOOKUP(Y422,SISP_Deflatores_e_INMs!B$4:G$49,5,FALSE),1)</f>
        <v>1</v>
      </c>
      <c r="AJ422" s="191" t="str">
        <f t="shared" si="120"/>
        <v/>
      </c>
      <c r="AK422" s="237" t="str">
        <f t="shared" si="109"/>
        <v/>
      </c>
      <c r="AL422" s="237" t="str">
        <f t="shared" si="121"/>
        <v/>
      </c>
      <c r="AM422" s="192" t="e">
        <f t="shared" si="110"/>
        <v>#VALUE!</v>
      </c>
      <c r="AN422" s="193" t="e">
        <f t="shared" si="111"/>
        <v>#VALUE!</v>
      </c>
      <c r="AO422" s="193" t="e">
        <f t="shared" si="112"/>
        <v>#VALUE!</v>
      </c>
      <c r="AP422" s="193"/>
      <c r="AQ422" s="204"/>
      <c r="AR422" s="204"/>
      <c r="AS422" s="204"/>
      <c r="AT422" s="205"/>
      <c r="AU422"/>
    </row>
    <row r="423" spans="2:47" ht="15" customHeight="1" x14ac:dyDescent="0.25">
      <c r="B423" s="206"/>
      <c r="C423" s="185"/>
      <c r="D423" s="164"/>
      <c r="E423" s="174"/>
      <c r="F423" s="164"/>
      <c r="G423" s="174"/>
      <c r="H423" s="164"/>
      <c r="I423" s="174"/>
      <c r="J423" s="184"/>
      <c r="K423" s="186"/>
      <c r="L423" s="187" t="str">
        <f t="shared" si="113"/>
        <v/>
      </c>
      <c r="M423" s="187" t="str">
        <f t="shared" si="114"/>
        <v/>
      </c>
      <c r="N423" s="187" t="str">
        <f t="shared" si="106"/>
        <v>D</v>
      </c>
      <c r="O423" s="187" t="str">
        <f t="shared" si="115"/>
        <v>D</v>
      </c>
      <c r="P423" s="187">
        <f t="shared" si="116"/>
        <v>1</v>
      </c>
      <c r="Q423" s="187">
        <f>IFERROR(VLOOKUP(E423,Tabela_Deflator:E$43,5,FALSE),1)</f>
        <v>1</v>
      </c>
      <c r="R423" s="188" t="str">
        <f t="shared" si="117"/>
        <v/>
      </c>
      <c r="S423" s="237" t="str">
        <f t="shared" si="107"/>
        <v/>
      </c>
      <c r="T423" s="237" t="str">
        <f t="shared" si="122"/>
        <v/>
      </c>
      <c r="U423" s="189"/>
      <c r="V423" s="167"/>
      <c r="W423" s="165"/>
      <c r="X423" s="164"/>
      <c r="Y423" s="164"/>
      <c r="Z423" s="164"/>
      <c r="AA423" s="174"/>
      <c r="AB423" s="164"/>
      <c r="AC423" s="174"/>
      <c r="AD423" s="184"/>
      <c r="AE423" s="190" t="str">
        <f t="shared" si="118"/>
        <v/>
      </c>
      <c r="AF423" s="190" t="str">
        <f t="shared" si="119"/>
        <v/>
      </c>
      <c r="AG423" s="190" t="str">
        <f t="shared" si="108"/>
        <v>D</v>
      </c>
      <c r="AH423" s="190">
        <f>IFERROR(VLOOKUP(Y423,SISP_Deflatores_e_INMs!B$4:F$49,3,FALSE),1)</f>
        <v>1</v>
      </c>
      <c r="AI423" s="190">
        <f>IFERROR(VLOOKUP(Y423,SISP_Deflatores_e_INMs!B$4:G$49,5,FALSE),1)</f>
        <v>1</v>
      </c>
      <c r="AJ423" s="191" t="str">
        <f t="shared" si="120"/>
        <v/>
      </c>
      <c r="AK423" s="237" t="str">
        <f t="shared" si="109"/>
        <v/>
      </c>
      <c r="AL423" s="237" t="str">
        <f t="shared" si="121"/>
        <v/>
      </c>
      <c r="AM423" s="192" t="e">
        <f t="shared" si="110"/>
        <v>#VALUE!</v>
      </c>
      <c r="AN423" s="193" t="e">
        <f t="shared" si="111"/>
        <v>#VALUE!</v>
      </c>
      <c r="AO423" s="193" t="e">
        <f t="shared" si="112"/>
        <v>#VALUE!</v>
      </c>
      <c r="AP423" s="193"/>
      <c r="AQ423" s="204"/>
      <c r="AR423" s="204"/>
      <c r="AS423" s="204"/>
      <c r="AT423" s="205"/>
      <c r="AU423"/>
    </row>
    <row r="424" spans="2:47" ht="15" customHeight="1" x14ac:dyDescent="0.25">
      <c r="B424" s="206"/>
      <c r="C424" s="185"/>
      <c r="D424" s="164"/>
      <c r="E424" s="174"/>
      <c r="F424" s="164"/>
      <c r="G424" s="174"/>
      <c r="H424" s="164"/>
      <c r="I424" s="174"/>
      <c r="J424" s="184"/>
      <c r="K424" s="186"/>
      <c r="L424" s="187" t="str">
        <f t="shared" si="113"/>
        <v/>
      </c>
      <c r="M424" s="187" t="str">
        <f t="shared" si="114"/>
        <v/>
      </c>
      <c r="N424" s="187" t="str">
        <f t="shared" si="106"/>
        <v>D</v>
      </c>
      <c r="O424" s="187" t="str">
        <f t="shared" si="115"/>
        <v>D</v>
      </c>
      <c r="P424" s="187">
        <f t="shared" si="116"/>
        <v>1</v>
      </c>
      <c r="Q424" s="187">
        <f>IFERROR(VLOOKUP(E424,Tabela_Deflator:E$43,5,FALSE),1)</f>
        <v>1</v>
      </c>
      <c r="R424" s="188" t="str">
        <f t="shared" si="117"/>
        <v/>
      </c>
      <c r="S424" s="237" t="str">
        <f t="shared" si="107"/>
        <v/>
      </c>
      <c r="T424" s="237" t="str">
        <f t="shared" si="122"/>
        <v/>
      </c>
      <c r="U424" s="189"/>
      <c r="V424" s="167"/>
      <c r="W424" s="165"/>
      <c r="X424" s="164"/>
      <c r="Y424" s="164"/>
      <c r="Z424" s="164"/>
      <c r="AA424" s="174"/>
      <c r="AB424" s="164"/>
      <c r="AC424" s="174"/>
      <c r="AD424" s="184"/>
      <c r="AE424" s="190" t="str">
        <f t="shared" si="118"/>
        <v/>
      </c>
      <c r="AF424" s="190" t="str">
        <f t="shared" si="119"/>
        <v/>
      </c>
      <c r="AG424" s="190" t="str">
        <f t="shared" si="108"/>
        <v>D</v>
      </c>
      <c r="AH424" s="190">
        <f>IFERROR(VLOOKUP(Y424,SISP_Deflatores_e_INMs!B$4:F$49,3,FALSE),1)</f>
        <v>1</v>
      </c>
      <c r="AI424" s="190">
        <f>IFERROR(VLOOKUP(Y424,SISP_Deflatores_e_INMs!B$4:G$49,5,FALSE),1)</f>
        <v>1</v>
      </c>
      <c r="AJ424" s="191" t="str">
        <f t="shared" si="120"/>
        <v/>
      </c>
      <c r="AK424" s="237" t="str">
        <f t="shared" si="109"/>
        <v/>
      </c>
      <c r="AL424" s="237" t="str">
        <f t="shared" si="121"/>
        <v/>
      </c>
      <c r="AM424" s="192" t="e">
        <f t="shared" si="110"/>
        <v>#VALUE!</v>
      </c>
      <c r="AN424" s="193" t="e">
        <f t="shared" si="111"/>
        <v>#VALUE!</v>
      </c>
      <c r="AO424" s="193" t="e">
        <f t="shared" si="112"/>
        <v>#VALUE!</v>
      </c>
      <c r="AP424" s="193"/>
      <c r="AQ424" s="204"/>
      <c r="AR424" s="204"/>
      <c r="AS424" s="204"/>
      <c r="AT424" s="205"/>
      <c r="AU424"/>
    </row>
    <row r="425" spans="2:47" ht="15" customHeight="1" x14ac:dyDescent="0.25">
      <c r="B425" s="206"/>
      <c r="C425" s="185"/>
      <c r="D425" s="164"/>
      <c r="E425" s="174"/>
      <c r="F425" s="164"/>
      <c r="G425" s="174"/>
      <c r="H425" s="164"/>
      <c r="I425" s="174"/>
      <c r="J425" s="184"/>
      <c r="K425" s="186"/>
      <c r="L425" s="187" t="str">
        <f t="shared" si="113"/>
        <v/>
      </c>
      <c r="M425" s="187" t="str">
        <f t="shared" si="114"/>
        <v/>
      </c>
      <c r="N425" s="187" t="str">
        <f t="shared" si="106"/>
        <v>D</v>
      </c>
      <c r="O425" s="187" t="str">
        <f t="shared" si="115"/>
        <v>D</v>
      </c>
      <c r="P425" s="187">
        <f t="shared" si="116"/>
        <v>1</v>
      </c>
      <c r="Q425" s="187">
        <f>IFERROR(VLOOKUP(E425,Tabela_Deflator:E$43,5,FALSE),1)</f>
        <v>1</v>
      </c>
      <c r="R425" s="188" t="str">
        <f t="shared" si="117"/>
        <v/>
      </c>
      <c r="S425" s="237" t="str">
        <f t="shared" si="107"/>
        <v/>
      </c>
      <c r="T425" s="237" t="str">
        <f t="shared" si="122"/>
        <v/>
      </c>
      <c r="U425" s="189"/>
      <c r="V425" s="167"/>
      <c r="W425" s="165"/>
      <c r="X425" s="164"/>
      <c r="Y425" s="164"/>
      <c r="Z425" s="164"/>
      <c r="AA425" s="174"/>
      <c r="AB425" s="164"/>
      <c r="AC425" s="174"/>
      <c r="AD425" s="184"/>
      <c r="AE425" s="190" t="str">
        <f t="shared" si="118"/>
        <v/>
      </c>
      <c r="AF425" s="190" t="str">
        <f t="shared" si="119"/>
        <v/>
      </c>
      <c r="AG425" s="190" t="str">
        <f t="shared" si="108"/>
        <v>D</v>
      </c>
      <c r="AH425" s="190">
        <f>IFERROR(VLOOKUP(Y425,SISP_Deflatores_e_INMs!B$4:F$49,3,FALSE),1)</f>
        <v>1</v>
      </c>
      <c r="AI425" s="190">
        <f>IFERROR(VLOOKUP(Y425,SISP_Deflatores_e_INMs!B$4:G$49,5,FALSE),1)</f>
        <v>1</v>
      </c>
      <c r="AJ425" s="191" t="str">
        <f t="shared" si="120"/>
        <v/>
      </c>
      <c r="AK425" s="237" t="str">
        <f t="shared" si="109"/>
        <v/>
      </c>
      <c r="AL425" s="237" t="str">
        <f t="shared" si="121"/>
        <v/>
      </c>
      <c r="AM425" s="192" t="e">
        <f t="shared" si="110"/>
        <v>#VALUE!</v>
      </c>
      <c r="AN425" s="193" t="e">
        <f t="shared" si="111"/>
        <v>#VALUE!</v>
      </c>
      <c r="AO425" s="193" t="e">
        <f t="shared" si="112"/>
        <v>#VALUE!</v>
      </c>
      <c r="AP425" s="193"/>
      <c r="AQ425" s="204"/>
      <c r="AR425" s="204"/>
      <c r="AS425" s="204"/>
      <c r="AT425" s="205"/>
      <c r="AU425"/>
    </row>
    <row r="426" spans="2:47" ht="15" customHeight="1" x14ac:dyDescent="0.25">
      <c r="B426" s="206"/>
      <c r="C426" s="185"/>
      <c r="D426" s="164"/>
      <c r="E426" s="174"/>
      <c r="F426" s="164"/>
      <c r="G426" s="174"/>
      <c r="H426" s="164"/>
      <c r="I426" s="174"/>
      <c r="J426" s="184"/>
      <c r="K426" s="186"/>
      <c r="L426" s="187" t="str">
        <f t="shared" si="113"/>
        <v/>
      </c>
      <c r="M426" s="187" t="str">
        <f t="shared" si="114"/>
        <v/>
      </c>
      <c r="N426" s="187" t="str">
        <f t="shared" si="106"/>
        <v>D</v>
      </c>
      <c r="O426" s="187" t="str">
        <f t="shared" si="115"/>
        <v>D</v>
      </c>
      <c r="P426" s="187">
        <f t="shared" si="116"/>
        <v>1</v>
      </c>
      <c r="Q426" s="187">
        <f>IFERROR(VLOOKUP(E426,Tabela_Deflator:E$43,5,FALSE),1)</f>
        <v>1</v>
      </c>
      <c r="R426" s="188" t="str">
        <f t="shared" si="117"/>
        <v/>
      </c>
      <c r="S426" s="237" t="str">
        <f t="shared" si="107"/>
        <v/>
      </c>
      <c r="T426" s="237" t="str">
        <f t="shared" si="122"/>
        <v/>
      </c>
      <c r="U426" s="189"/>
      <c r="V426" s="167"/>
      <c r="W426" s="165"/>
      <c r="X426" s="164"/>
      <c r="Y426" s="164"/>
      <c r="Z426" s="164"/>
      <c r="AA426" s="174"/>
      <c r="AB426" s="164"/>
      <c r="AC426" s="174"/>
      <c r="AD426" s="184"/>
      <c r="AE426" s="190" t="str">
        <f t="shared" si="118"/>
        <v/>
      </c>
      <c r="AF426" s="190" t="str">
        <f t="shared" si="119"/>
        <v/>
      </c>
      <c r="AG426" s="190" t="str">
        <f t="shared" si="108"/>
        <v>D</v>
      </c>
      <c r="AH426" s="190">
        <f>IFERROR(VLOOKUP(Y426,SISP_Deflatores_e_INMs!B$4:F$49,3,FALSE),1)</f>
        <v>1</v>
      </c>
      <c r="AI426" s="190">
        <f>IFERROR(VLOOKUP(Y426,SISP_Deflatores_e_INMs!B$4:G$49,5,FALSE),1)</f>
        <v>1</v>
      </c>
      <c r="AJ426" s="191" t="str">
        <f t="shared" si="120"/>
        <v/>
      </c>
      <c r="AK426" s="237" t="str">
        <f t="shared" si="109"/>
        <v/>
      </c>
      <c r="AL426" s="237" t="str">
        <f t="shared" si="121"/>
        <v/>
      </c>
      <c r="AM426" s="192" t="e">
        <f t="shared" si="110"/>
        <v>#VALUE!</v>
      </c>
      <c r="AN426" s="193" t="e">
        <f t="shared" si="111"/>
        <v>#VALUE!</v>
      </c>
      <c r="AO426" s="193" t="e">
        <f t="shared" si="112"/>
        <v>#VALUE!</v>
      </c>
      <c r="AP426" s="193"/>
      <c r="AQ426" s="204"/>
      <c r="AR426" s="204"/>
      <c r="AS426" s="204"/>
      <c r="AT426" s="205"/>
      <c r="AU426"/>
    </row>
    <row r="427" spans="2:47" ht="15" customHeight="1" x14ac:dyDescent="0.25">
      <c r="B427" s="206"/>
      <c r="C427" s="185"/>
      <c r="D427" s="164"/>
      <c r="E427" s="174"/>
      <c r="F427" s="164"/>
      <c r="G427" s="174"/>
      <c r="H427" s="164"/>
      <c r="I427" s="174"/>
      <c r="J427" s="184"/>
      <c r="K427" s="186"/>
      <c r="L427" s="187" t="str">
        <f t="shared" si="113"/>
        <v/>
      </c>
      <c r="M427" s="187" t="str">
        <f t="shared" si="114"/>
        <v/>
      </c>
      <c r="N427" s="187" t="str">
        <f t="shared" si="106"/>
        <v>D</v>
      </c>
      <c r="O427" s="187" t="str">
        <f t="shared" si="115"/>
        <v>D</v>
      </c>
      <c r="P427" s="187">
        <f t="shared" si="116"/>
        <v>1</v>
      </c>
      <c r="Q427" s="187">
        <f>IFERROR(VLOOKUP(E427,Tabela_Deflator:E$43,5,FALSE),1)</f>
        <v>1</v>
      </c>
      <c r="R427" s="188" t="str">
        <f t="shared" si="117"/>
        <v/>
      </c>
      <c r="S427" s="237" t="str">
        <f t="shared" si="107"/>
        <v/>
      </c>
      <c r="T427" s="237" t="str">
        <f t="shared" si="122"/>
        <v/>
      </c>
      <c r="U427" s="189"/>
      <c r="V427" s="167"/>
      <c r="W427" s="165"/>
      <c r="X427" s="164"/>
      <c r="Y427" s="164"/>
      <c r="Z427" s="164"/>
      <c r="AA427" s="174"/>
      <c r="AB427" s="164"/>
      <c r="AC427" s="174"/>
      <c r="AD427" s="184"/>
      <c r="AE427" s="190" t="str">
        <f t="shared" si="118"/>
        <v/>
      </c>
      <c r="AF427" s="190" t="str">
        <f t="shared" si="119"/>
        <v/>
      </c>
      <c r="AG427" s="190" t="str">
        <f t="shared" si="108"/>
        <v>D</v>
      </c>
      <c r="AH427" s="190">
        <f>IFERROR(VLOOKUP(Y427,SISP_Deflatores_e_INMs!B$4:F$49,3,FALSE),1)</f>
        <v>1</v>
      </c>
      <c r="AI427" s="190">
        <f>IFERROR(VLOOKUP(Y427,SISP_Deflatores_e_INMs!B$4:G$49,5,FALSE),1)</f>
        <v>1</v>
      </c>
      <c r="AJ427" s="191" t="str">
        <f t="shared" si="120"/>
        <v/>
      </c>
      <c r="AK427" s="237" t="str">
        <f t="shared" si="109"/>
        <v/>
      </c>
      <c r="AL427" s="237" t="str">
        <f t="shared" si="121"/>
        <v/>
      </c>
      <c r="AM427" s="192" t="e">
        <f t="shared" si="110"/>
        <v>#VALUE!</v>
      </c>
      <c r="AN427" s="193" t="e">
        <f t="shared" si="111"/>
        <v>#VALUE!</v>
      </c>
      <c r="AO427" s="193" t="e">
        <f t="shared" si="112"/>
        <v>#VALUE!</v>
      </c>
      <c r="AP427" s="193"/>
      <c r="AQ427" s="204"/>
      <c r="AR427" s="204"/>
      <c r="AS427" s="204"/>
      <c r="AT427" s="205"/>
      <c r="AU427"/>
    </row>
    <row r="428" spans="2:47" ht="15" customHeight="1" x14ac:dyDescent="0.25">
      <c r="B428" s="206"/>
      <c r="C428" s="185"/>
      <c r="D428" s="164"/>
      <c r="E428" s="174"/>
      <c r="F428" s="164"/>
      <c r="G428" s="174"/>
      <c r="H428" s="164"/>
      <c r="I428" s="174"/>
      <c r="J428" s="184"/>
      <c r="K428" s="186"/>
      <c r="L428" s="187" t="str">
        <f t="shared" si="113"/>
        <v/>
      </c>
      <c r="M428" s="187" t="str">
        <f t="shared" si="114"/>
        <v/>
      </c>
      <c r="N428" s="187" t="str">
        <f t="shared" si="106"/>
        <v>D</v>
      </c>
      <c r="O428" s="187" t="str">
        <f t="shared" si="115"/>
        <v>D</v>
      </c>
      <c r="P428" s="187">
        <f t="shared" si="116"/>
        <v>1</v>
      </c>
      <c r="Q428" s="187">
        <f>IFERROR(VLOOKUP(E428,Tabela_Deflator:E$43,5,FALSE),1)</f>
        <v>1</v>
      </c>
      <c r="R428" s="188" t="str">
        <f t="shared" si="117"/>
        <v/>
      </c>
      <c r="S428" s="237" t="str">
        <f t="shared" si="107"/>
        <v/>
      </c>
      <c r="T428" s="237" t="str">
        <f t="shared" si="122"/>
        <v/>
      </c>
      <c r="U428" s="189"/>
      <c r="V428" s="167"/>
      <c r="W428" s="165"/>
      <c r="X428" s="164"/>
      <c r="Y428" s="164"/>
      <c r="Z428" s="164"/>
      <c r="AA428" s="174"/>
      <c r="AB428" s="164"/>
      <c r="AC428" s="174"/>
      <c r="AD428" s="184"/>
      <c r="AE428" s="190" t="str">
        <f t="shared" si="118"/>
        <v/>
      </c>
      <c r="AF428" s="190" t="str">
        <f t="shared" si="119"/>
        <v/>
      </c>
      <c r="AG428" s="190" t="str">
        <f t="shared" si="108"/>
        <v>D</v>
      </c>
      <c r="AH428" s="190">
        <f>IFERROR(VLOOKUP(Y428,SISP_Deflatores_e_INMs!B$4:F$49,3,FALSE),1)</f>
        <v>1</v>
      </c>
      <c r="AI428" s="190">
        <f>IFERROR(VLOOKUP(Y428,SISP_Deflatores_e_INMs!B$4:G$49,5,FALSE),1)</f>
        <v>1</v>
      </c>
      <c r="AJ428" s="191" t="str">
        <f t="shared" si="120"/>
        <v/>
      </c>
      <c r="AK428" s="237" t="str">
        <f t="shared" si="109"/>
        <v/>
      </c>
      <c r="AL428" s="237" t="str">
        <f t="shared" si="121"/>
        <v/>
      </c>
      <c r="AM428" s="192" t="e">
        <f t="shared" si="110"/>
        <v>#VALUE!</v>
      </c>
      <c r="AN428" s="193" t="e">
        <f t="shared" si="111"/>
        <v>#VALUE!</v>
      </c>
      <c r="AO428" s="193" t="e">
        <f t="shared" si="112"/>
        <v>#VALUE!</v>
      </c>
      <c r="AP428" s="193"/>
      <c r="AQ428" s="204"/>
      <c r="AR428" s="204"/>
      <c r="AS428" s="204"/>
      <c r="AT428" s="205"/>
      <c r="AU428"/>
    </row>
    <row r="429" spans="2:47" ht="15" customHeight="1" x14ac:dyDescent="0.25">
      <c r="B429" s="206"/>
      <c r="C429" s="185"/>
      <c r="D429" s="164"/>
      <c r="E429" s="174"/>
      <c r="F429" s="164"/>
      <c r="G429" s="174"/>
      <c r="H429" s="164"/>
      <c r="I429" s="174"/>
      <c r="J429" s="184"/>
      <c r="K429" s="186"/>
      <c r="L429" s="187" t="str">
        <f t="shared" si="113"/>
        <v/>
      </c>
      <c r="M429" s="187" t="str">
        <f t="shared" si="114"/>
        <v/>
      </c>
      <c r="N429" s="187" t="str">
        <f t="shared" si="106"/>
        <v>D</v>
      </c>
      <c r="O429" s="187" t="str">
        <f t="shared" si="115"/>
        <v>D</v>
      </c>
      <c r="P429" s="187">
        <f t="shared" si="116"/>
        <v>1</v>
      </c>
      <c r="Q429" s="187">
        <f>IFERROR(VLOOKUP(E429,Tabela_Deflator:E$43,5,FALSE),1)</f>
        <v>1</v>
      </c>
      <c r="R429" s="188" t="str">
        <f t="shared" si="117"/>
        <v/>
      </c>
      <c r="S429" s="237" t="str">
        <f t="shared" si="107"/>
        <v/>
      </c>
      <c r="T429" s="237" t="str">
        <f t="shared" si="122"/>
        <v/>
      </c>
      <c r="U429" s="189"/>
      <c r="V429" s="167"/>
      <c r="W429" s="165"/>
      <c r="X429" s="164"/>
      <c r="Y429" s="164"/>
      <c r="Z429" s="164"/>
      <c r="AA429" s="174"/>
      <c r="AB429" s="164"/>
      <c r="AC429" s="174"/>
      <c r="AD429" s="184"/>
      <c r="AE429" s="190" t="str">
        <f t="shared" si="118"/>
        <v/>
      </c>
      <c r="AF429" s="190" t="str">
        <f t="shared" si="119"/>
        <v/>
      </c>
      <c r="AG429" s="190" t="str">
        <f t="shared" si="108"/>
        <v>D</v>
      </c>
      <c r="AH429" s="190">
        <f>IFERROR(VLOOKUP(Y429,SISP_Deflatores_e_INMs!B$4:F$49,3,FALSE),1)</f>
        <v>1</v>
      </c>
      <c r="AI429" s="190">
        <f>IFERROR(VLOOKUP(Y429,SISP_Deflatores_e_INMs!B$4:G$49,5,FALSE),1)</f>
        <v>1</v>
      </c>
      <c r="AJ429" s="191" t="str">
        <f t="shared" si="120"/>
        <v/>
      </c>
      <c r="AK429" s="237" t="str">
        <f t="shared" si="109"/>
        <v/>
      </c>
      <c r="AL429" s="237" t="str">
        <f t="shared" si="121"/>
        <v/>
      </c>
      <c r="AM429" s="192" t="e">
        <f t="shared" si="110"/>
        <v>#VALUE!</v>
      </c>
      <c r="AN429" s="193" t="e">
        <f t="shared" si="111"/>
        <v>#VALUE!</v>
      </c>
      <c r="AO429" s="193" t="e">
        <f t="shared" si="112"/>
        <v>#VALUE!</v>
      </c>
      <c r="AP429" s="193"/>
      <c r="AQ429" s="204"/>
      <c r="AR429" s="204"/>
      <c r="AS429" s="204"/>
      <c r="AT429" s="205"/>
      <c r="AU429"/>
    </row>
    <row r="430" spans="2:47" ht="15" customHeight="1" x14ac:dyDescent="0.25">
      <c r="B430" s="206"/>
      <c r="C430" s="185"/>
      <c r="D430" s="164"/>
      <c r="E430" s="174"/>
      <c r="F430" s="164"/>
      <c r="G430" s="174"/>
      <c r="H430" s="164"/>
      <c r="I430" s="174"/>
      <c r="J430" s="184"/>
      <c r="K430" s="186"/>
      <c r="L430" s="187" t="str">
        <f t="shared" si="113"/>
        <v/>
      </c>
      <c r="M430" s="187" t="str">
        <f t="shared" si="114"/>
        <v/>
      </c>
      <c r="N430" s="187" t="str">
        <f t="shared" si="106"/>
        <v>D</v>
      </c>
      <c r="O430" s="187" t="str">
        <f t="shared" si="115"/>
        <v>D</v>
      </c>
      <c r="P430" s="187">
        <f t="shared" si="116"/>
        <v>1</v>
      </c>
      <c r="Q430" s="187">
        <f>IFERROR(VLOOKUP(E430,Tabela_Deflator:E$43,5,FALSE),1)</f>
        <v>1</v>
      </c>
      <c r="R430" s="188" t="str">
        <f t="shared" si="117"/>
        <v/>
      </c>
      <c r="S430" s="237" t="str">
        <f t="shared" si="107"/>
        <v/>
      </c>
      <c r="T430" s="237" t="str">
        <f t="shared" si="122"/>
        <v/>
      </c>
      <c r="U430" s="189"/>
      <c r="V430" s="167"/>
      <c r="W430" s="165"/>
      <c r="X430" s="164"/>
      <c r="Y430" s="164"/>
      <c r="Z430" s="164"/>
      <c r="AA430" s="174"/>
      <c r="AB430" s="164"/>
      <c r="AC430" s="174"/>
      <c r="AD430" s="184"/>
      <c r="AE430" s="190" t="str">
        <f t="shared" si="118"/>
        <v/>
      </c>
      <c r="AF430" s="190" t="str">
        <f t="shared" si="119"/>
        <v/>
      </c>
      <c r="AG430" s="190" t="str">
        <f t="shared" si="108"/>
        <v>D</v>
      </c>
      <c r="AH430" s="190">
        <f>IFERROR(VLOOKUP(Y430,SISP_Deflatores_e_INMs!B$4:F$49,3,FALSE),1)</f>
        <v>1</v>
      </c>
      <c r="AI430" s="190">
        <f>IFERROR(VLOOKUP(Y430,SISP_Deflatores_e_INMs!B$4:G$49,5,FALSE),1)</f>
        <v>1</v>
      </c>
      <c r="AJ430" s="191" t="str">
        <f t="shared" si="120"/>
        <v/>
      </c>
      <c r="AK430" s="237" t="str">
        <f t="shared" si="109"/>
        <v/>
      </c>
      <c r="AL430" s="237" t="str">
        <f t="shared" si="121"/>
        <v/>
      </c>
      <c r="AM430" s="192" t="e">
        <f t="shared" si="110"/>
        <v>#VALUE!</v>
      </c>
      <c r="AN430" s="193" t="e">
        <f t="shared" si="111"/>
        <v>#VALUE!</v>
      </c>
      <c r="AO430" s="193" t="e">
        <f t="shared" si="112"/>
        <v>#VALUE!</v>
      </c>
      <c r="AP430" s="193"/>
      <c r="AQ430" s="204"/>
      <c r="AR430" s="204"/>
      <c r="AS430" s="204"/>
      <c r="AT430" s="205"/>
      <c r="AU430"/>
    </row>
    <row r="431" spans="2:47" ht="15" customHeight="1" x14ac:dyDescent="0.25">
      <c r="B431" s="206"/>
      <c r="C431" s="185"/>
      <c r="D431" s="164"/>
      <c r="E431" s="174"/>
      <c r="F431" s="164"/>
      <c r="G431" s="174"/>
      <c r="H431" s="164"/>
      <c r="I431" s="174"/>
      <c r="J431" s="184"/>
      <c r="K431" s="186"/>
      <c r="L431" s="187" t="str">
        <f t="shared" si="113"/>
        <v/>
      </c>
      <c r="M431" s="187" t="str">
        <f t="shared" si="114"/>
        <v/>
      </c>
      <c r="N431" s="187" t="str">
        <f t="shared" si="106"/>
        <v>D</v>
      </c>
      <c r="O431" s="187" t="str">
        <f t="shared" si="115"/>
        <v>D</v>
      </c>
      <c r="P431" s="187">
        <f t="shared" si="116"/>
        <v>1</v>
      </c>
      <c r="Q431" s="187">
        <f>IFERROR(VLOOKUP(E431,Tabela_Deflator:E$43,5,FALSE),1)</f>
        <v>1</v>
      </c>
      <c r="R431" s="188" t="str">
        <f t="shared" si="117"/>
        <v/>
      </c>
      <c r="S431" s="237" t="str">
        <f t="shared" si="107"/>
        <v/>
      </c>
      <c r="T431" s="237" t="str">
        <f t="shared" si="122"/>
        <v/>
      </c>
      <c r="U431" s="189"/>
      <c r="V431" s="167"/>
      <c r="W431" s="165"/>
      <c r="X431" s="164"/>
      <c r="Y431" s="164"/>
      <c r="Z431" s="164"/>
      <c r="AA431" s="174"/>
      <c r="AB431" s="164"/>
      <c r="AC431" s="174"/>
      <c r="AD431" s="184"/>
      <c r="AE431" s="190" t="str">
        <f t="shared" si="118"/>
        <v/>
      </c>
      <c r="AF431" s="190" t="str">
        <f t="shared" si="119"/>
        <v/>
      </c>
      <c r="AG431" s="190" t="str">
        <f t="shared" si="108"/>
        <v>D</v>
      </c>
      <c r="AH431" s="190">
        <f>IFERROR(VLOOKUP(Y431,SISP_Deflatores_e_INMs!B$4:F$49,3,FALSE),1)</f>
        <v>1</v>
      </c>
      <c r="AI431" s="190">
        <f>IFERROR(VLOOKUP(Y431,SISP_Deflatores_e_INMs!B$4:G$49,5,FALSE),1)</f>
        <v>1</v>
      </c>
      <c r="AJ431" s="191" t="str">
        <f t="shared" si="120"/>
        <v/>
      </c>
      <c r="AK431" s="237" t="str">
        <f t="shared" si="109"/>
        <v/>
      </c>
      <c r="AL431" s="237" t="str">
        <f t="shared" si="121"/>
        <v/>
      </c>
      <c r="AM431" s="192" t="e">
        <f t="shared" si="110"/>
        <v>#VALUE!</v>
      </c>
      <c r="AN431" s="193" t="e">
        <f t="shared" si="111"/>
        <v>#VALUE!</v>
      </c>
      <c r="AO431" s="193" t="e">
        <f t="shared" si="112"/>
        <v>#VALUE!</v>
      </c>
      <c r="AP431" s="193"/>
      <c r="AQ431" s="204"/>
      <c r="AR431" s="204"/>
      <c r="AS431" s="204"/>
      <c r="AT431" s="205"/>
      <c r="AU431"/>
    </row>
    <row r="432" spans="2:47" ht="15" customHeight="1" x14ac:dyDescent="0.25">
      <c r="B432" s="206"/>
      <c r="C432" s="185"/>
      <c r="D432" s="164"/>
      <c r="E432" s="174"/>
      <c r="F432" s="164"/>
      <c r="G432" s="174"/>
      <c r="H432" s="164"/>
      <c r="I432" s="174"/>
      <c r="J432" s="184"/>
      <c r="K432" s="186"/>
      <c r="L432" s="187" t="str">
        <f t="shared" si="113"/>
        <v/>
      </c>
      <c r="M432" s="187" t="str">
        <f t="shared" si="114"/>
        <v/>
      </c>
      <c r="N432" s="187" t="str">
        <f t="shared" si="106"/>
        <v>D</v>
      </c>
      <c r="O432" s="187" t="str">
        <f t="shared" si="115"/>
        <v>D</v>
      </c>
      <c r="P432" s="187">
        <f t="shared" si="116"/>
        <v>1</v>
      </c>
      <c r="Q432" s="187">
        <f>IFERROR(VLOOKUP(E432,Tabela_Deflator:E$43,5,FALSE),1)</f>
        <v>1</v>
      </c>
      <c r="R432" s="188" t="str">
        <f t="shared" si="117"/>
        <v/>
      </c>
      <c r="S432" s="237" t="str">
        <f t="shared" si="107"/>
        <v/>
      </c>
      <c r="T432" s="237" t="str">
        <f t="shared" si="122"/>
        <v/>
      </c>
      <c r="U432" s="189"/>
      <c r="V432" s="167"/>
      <c r="W432" s="165"/>
      <c r="X432" s="164"/>
      <c r="Y432" s="164"/>
      <c r="Z432" s="164"/>
      <c r="AA432" s="174"/>
      <c r="AB432" s="164"/>
      <c r="AC432" s="174"/>
      <c r="AD432" s="184"/>
      <c r="AE432" s="190" t="str">
        <f t="shared" si="118"/>
        <v/>
      </c>
      <c r="AF432" s="190" t="str">
        <f t="shared" si="119"/>
        <v/>
      </c>
      <c r="AG432" s="190" t="str">
        <f t="shared" si="108"/>
        <v>D</v>
      </c>
      <c r="AH432" s="190">
        <f>IFERROR(VLOOKUP(Y432,SISP_Deflatores_e_INMs!B$4:F$49,3,FALSE),1)</f>
        <v>1</v>
      </c>
      <c r="AI432" s="190">
        <f>IFERROR(VLOOKUP(Y432,SISP_Deflatores_e_INMs!B$4:G$49,5,FALSE),1)</f>
        <v>1</v>
      </c>
      <c r="AJ432" s="191" t="str">
        <f t="shared" si="120"/>
        <v/>
      </c>
      <c r="AK432" s="237" t="str">
        <f t="shared" si="109"/>
        <v/>
      </c>
      <c r="AL432" s="237" t="str">
        <f t="shared" si="121"/>
        <v/>
      </c>
      <c r="AM432" s="192" t="e">
        <f t="shared" si="110"/>
        <v>#VALUE!</v>
      </c>
      <c r="AN432" s="193" t="e">
        <f t="shared" si="111"/>
        <v>#VALUE!</v>
      </c>
      <c r="AO432" s="193" t="e">
        <f t="shared" si="112"/>
        <v>#VALUE!</v>
      </c>
      <c r="AP432" s="193"/>
      <c r="AQ432" s="204"/>
      <c r="AR432" s="204"/>
      <c r="AS432" s="204"/>
      <c r="AT432" s="205"/>
      <c r="AU432"/>
    </row>
    <row r="433" spans="2:47" ht="15" customHeight="1" x14ac:dyDescent="0.25">
      <c r="B433" s="206"/>
      <c r="C433" s="185"/>
      <c r="D433" s="164"/>
      <c r="E433" s="174"/>
      <c r="F433" s="164"/>
      <c r="G433" s="174"/>
      <c r="H433" s="164"/>
      <c r="I433" s="174"/>
      <c r="J433" s="184"/>
      <c r="K433" s="186"/>
      <c r="L433" s="187" t="str">
        <f t="shared" si="113"/>
        <v/>
      </c>
      <c r="M433" s="187" t="str">
        <f t="shared" si="114"/>
        <v/>
      </c>
      <c r="N433" s="187" t="str">
        <f t="shared" si="106"/>
        <v>D</v>
      </c>
      <c r="O433" s="187" t="str">
        <f t="shared" si="115"/>
        <v>D</v>
      </c>
      <c r="P433" s="187">
        <f t="shared" si="116"/>
        <v>1</v>
      </c>
      <c r="Q433" s="187">
        <f>IFERROR(VLOOKUP(E433,Tabela_Deflator:E$43,5,FALSE),1)</f>
        <v>1</v>
      </c>
      <c r="R433" s="188" t="str">
        <f t="shared" si="117"/>
        <v/>
      </c>
      <c r="S433" s="237" t="str">
        <f t="shared" si="107"/>
        <v/>
      </c>
      <c r="T433" s="237" t="str">
        <f t="shared" si="122"/>
        <v/>
      </c>
      <c r="U433" s="189"/>
      <c r="V433" s="167"/>
      <c r="W433" s="165"/>
      <c r="X433" s="164"/>
      <c r="Y433" s="164"/>
      <c r="Z433" s="164"/>
      <c r="AA433" s="174"/>
      <c r="AB433" s="164"/>
      <c r="AC433" s="174"/>
      <c r="AD433" s="184"/>
      <c r="AE433" s="190" t="str">
        <f t="shared" si="118"/>
        <v/>
      </c>
      <c r="AF433" s="190" t="str">
        <f t="shared" si="119"/>
        <v/>
      </c>
      <c r="AG433" s="190" t="str">
        <f t="shared" si="108"/>
        <v>D</v>
      </c>
      <c r="AH433" s="190">
        <f>IFERROR(VLOOKUP(Y433,SISP_Deflatores_e_INMs!B$4:F$49,3,FALSE),1)</f>
        <v>1</v>
      </c>
      <c r="AI433" s="190">
        <f>IFERROR(VLOOKUP(Y433,SISP_Deflatores_e_INMs!B$4:G$49,5,FALSE),1)</f>
        <v>1</v>
      </c>
      <c r="AJ433" s="191" t="str">
        <f t="shared" si="120"/>
        <v/>
      </c>
      <c r="AK433" s="237" t="str">
        <f t="shared" si="109"/>
        <v/>
      </c>
      <c r="AL433" s="237" t="str">
        <f t="shared" si="121"/>
        <v/>
      </c>
      <c r="AM433" s="192" t="e">
        <f t="shared" si="110"/>
        <v>#VALUE!</v>
      </c>
      <c r="AN433" s="193" t="e">
        <f t="shared" si="111"/>
        <v>#VALUE!</v>
      </c>
      <c r="AO433" s="193" t="e">
        <f t="shared" si="112"/>
        <v>#VALUE!</v>
      </c>
      <c r="AP433" s="193"/>
      <c r="AQ433" s="204"/>
      <c r="AR433" s="204"/>
      <c r="AS433" s="204"/>
      <c r="AT433" s="205"/>
      <c r="AU433"/>
    </row>
    <row r="434" spans="2:47" ht="15" customHeight="1" x14ac:dyDescent="0.25">
      <c r="B434" s="206"/>
      <c r="C434" s="185"/>
      <c r="D434" s="164"/>
      <c r="E434" s="174"/>
      <c r="F434" s="164"/>
      <c r="G434" s="174"/>
      <c r="H434" s="164"/>
      <c r="I434" s="174"/>
      <c r="J434" s="184"/>
      <c r="K434" s="186"/>
      <c r="L434" s="187" t="str">
        <f t="shared" si="113"/>
        <v/>
      </c>
      <c r="M434" s="187" t="str">
        <f t="shared" si="114"/>
        <v/>
      </c>
      <c r="N434" s="187" t="str">
        <f t="shared" si="106"/>
        <v>D</v>
      </c>
      <c r="O434" s="187" t="str">
        <f t="shared" si="115"/>
        <v>D</v>
      </c>
      <c r="P434" s="187">
        <f t="shared" si="116"/>
        <v>1</v>
      </c>
      <c r="Q434" s="187">
        <f>IFERROR(VLOOKUP(E434,Tabela_Deflator:E$43,5,FALSE),1)</f>
        <v>1</v>
      </c>
      <c r="R434" s="188" t="str">
        <f t="shared" si="117"/>
        <v/>
      </c>
      <c r="S434" s="237" t="str">
        <f t="shared" si="107"/>
        <v/>
      </c>
      <c r="T434" s="237" t="str">
        <f t="shared" si="122"/>
        <v/>
      </c>
      <c r="U434" s="189"/>
      <c r="V434" s="167"/>
      <c r="W434" s="165"/>
      <c r="X434" s="164"/>
      <c r="Y434" s="164"/>
      <c r="Z434" s="164"/>
      <c r="AA434" s="174"/>
      <c r="AB434" s="164"/>
      <c r="AC434" s="174"/>
      <c r="AD434" s="184"/>
      <c r="AE434" s="190" t="str">
        <f t="shared" si="118"/>
        <v/>
      </c>
      <c r="AF434" s="190" t="str">
        <f t="shared" si="119"/>
        <v/>
      </c>
      <c r="AG434" s="190" t="str">
        <f t="shared" si="108"/>
        <v>D</v>
      </c>
      <c r="AH434" s="190">
        <f>IFERROR(VLOOKUP(Y434,SISP_Deflatores_e_INMs!B$4:F$49,3,FALSE),1)</f>
        <v>1</v>
      </c>
      <c r="AI434" s="190">
        <f>IFERROR(VLOOKUP(Y434,SISP_Deflatores_e_INMs!B$4:G$49,5,FALSE),1)</f>
        <v>1</v>
      </c>
      <c r="AJ434" s="191" t="str">
        <f t="shared" si="120"/>
        <v/>
      </c>
      <c r="AK434" s="237" t="str">
        <f t="shared" si="109"/>
        <v/>
      </c>
      <c r="AL434" s="237" t="str">
        <f t="shared" si="121"/>
        <v/>
      </c>
      <c r="AM434" s="192" t="e">
        <f t="shared" si="110"/>
        <v>#VALUE!</v>
      </c>
      <c r="AN434" s="193" t="e">
        <f t="shared" si="111"/>
        <v>#VALUE!</v>
      </c>
      <c r="AO434" s="193" t="e">
        <f t="shared" si="112"/>
        <v>#VALUE!</v>
      </c>
      <c r="AP434" s="193"/>
      <c r="AQ434" s="204"/>
      <c r="AR434" s="204"/>
      <c r="AS434" s="204"/>
      <c r="AT434" s="205"/>
      <c r="AU434"/>
    </row>
    <row r="435" spans="2:47" ht="15" customHeight="1" x14ac:dyDescent="0.25">
      <c r="B435" s="206"/>
      <c r="C435" s="185"/>
      <c r="D435" s="164"/>
      <c r="E435" s="174"/>
      <c r="F435" s="164"/>
      <c r="G435" s="174"/>
      <c r="H435" s="164"/>
      <c r="I435" s="174"/>
      <c r="J435" s="184"/>
      <c r="K435" s="186"/>
      <c r="L435" s="187" t="str">
        <f t="shared" si="113"/>
        <v/>
      </c>
      <c r="M435" s="187" t="str">
        <f t="shared" si="114"/>
        <v/>
      </c>
      <c r="N435" s="187" t="str">
        <f t="shared" si="106"/>
        <v>D</v>
      </c>
      <c r="O435" s="187" t="str">
        <f t="shared" si="115"/>
        <v>D</v>
      </c>
      <c r="P435" s="187">
        <f t="shared" si="116"/>
        <v>1</v>
      </c>
      <c r="Q435" s="187">
        <f>IFERROR(VLOOKUP(E435,Tabela_Deflator:E$43,5,FALSE),1)</f>
        <v>1</v>
      </c>
      <c r="R435" s="188" t="str">
        <f t="shared" si="117"/>
        <v/>
      </c>
      <c r="S435" s="237" t="str">
        <f t="shared" si="107"/>
        <v/>
      </c>
      <c r="T435" s="237" t="str">
        <f t="shared" si="122"/>
        <v/>
      </c>
      <c r="U435" s="189"/>
      <c r="V435" s="167"/>
      <c r="W435" s="165"/>
      <c r="X435" s="164"/>
      <c r="Y435" s="164"/>
      <c r="Z435" s="164"/>
      <c r="AA435" s="174"/>
      <c r="AB435" s="164"/>
      <c r="AC435" s="174"/>
      <c r="AD435" s="184"/>
      <c r="AE435" s="190" t="str">
        <f t="shared" si="118"/>
        <v/>
      </c>
      <c r="AF435" s="190" t="str">
        <f t="shared" si="119"/>
        <v/>
      </c>
      <c r="AG435" s="190" t="str">
        <f t="shared" si="108"/>
        <v>D</v>
      </c>
      <c r="AH435" s="190">
        <f>IFERROR(VLOOKUP(Y435,SISP_Deflatores_e_INMs!B$4:F$49,3,FALSE),1)</f>
        <v>1</v>
      </c>
      <c r="AI435" s="190">
        <f>IFERROR(VLOOKUP(Y435,SISP_Deflatores_e_INMs!B$4:G$49,5,FALSE),1)</f>
        <v>1</v>
      </c>
      <c r="AJ435" s="191" t="str">
        <f t="shared" si="120"/>
        <v/>
      </c>
      <c r="AK435" s="237" t="str">
        <f t="shared" si="109"/>
        <v/>
      </c>
      <c r="AL435" s="237" t="str">
        <f t="shared" si="121"/>
        <v/>
      </c>
      <c r="AM435" s="192" t="e">
        <f t="shared" si="110"/>
        <v>#VALUE!</v>
      </c>
      <c r="AN435" s="193" t="e">
        <f t="shared" si="111"/>
        <v>#VALUE!</v>
      </c>
      <c r="AO435" s="193" t="e">
        <f t="shared" si="112"/>
        <v>#VALUE!</v>
      </c>
      <c r="AP435" s="193"/>
      <c r="AQ435" s="204"/>
      <c r="AR435" s="204"/>
      <c r="AS435" s="204"/>
      <c r="AT435" s="205"/>
      <c r="AU435"/>
    </row>
    <row r="436" spans="2:47" ht="15" customHeight="1" x14ac:dyDescent="0.25">
      <c r="B436" s="206"/>
      <c r="C436" s="185"/>
      <c r="D436" s="164"/>
      <c r="E436" s="174"/>
      <c r="F436" s="164"/>
      <c r="G436" s="174"/>
      <c r="H436" s="164"/>
      <c r="I436" s="174"/>
      <c r="J436" s="184"/>
      <c r="K436" s="186"/>
      <c r="L436" s="187" t="str">
        <f t="shared" si="113"/>
        <v/>
      </c>
      <c r="M436" s="187" t="str">
        <f t="shared" si="114"/>
        <v/>
      </c>
      <c r="N436" s="187" t="str">
        <f t="shared" si="106"/>
        <v>D</v>
      </c>
      <c r="O436" s="187" t="str">
        <f t="shared" si="115"/>
        <v>D</v>
      </c>
      <c r="P436" s="187">
        <f t="shared" si="116"/>
        <v>1</v>
      </c>
      <c r="Q436" s="187">
        <f>IFERROR(VLOOKUP(E436,Tabela_Deflator:E$43,5,FALSE),1)</f>
        <v>1</v>
      </c>
      <c r="R436" s="188" t="str">
        <f t="shared" si="117"/>
        <v/>
      </c>
      <c r="S436" s="237" t="str">
        <f t="shared" si="107"/>
        <v/>
      </c>
      <c r="T436" s="237" t="str">
        <f t="shared" si="122"/>
        <v/>
      </c>
      <c r="U436" s="189"/>
      <c r="V436" s="167"/>
      <c r="W436" s="165"/>
      <c r="X436" s="164"/>
      <c r="Y436" s="164"/>
      <c r="Z436" s="164"/>
      <c r="AA436" s="174"/>
      <c r="AB436" s="164"/>
      <c r="AC436" s="174"/>
      <c r="AD436" s="184"/>
      <c r="AE436" s="190" t="str">
        <f t="shared" si="118"/>
        <v/>
      </c>
      <c r="AF436" s="190" t="str">
        <f t="shared" si="119"/>
        <v/>
      </c>
      <c r="AG436" s="190" t="str">
        <f t="shared" si="108"/>
        <v>D</v>
      </c>
      <c r="AH436" s="190">
        <f>IFERROR(VLOOKUP(Y436,SISP_Deflatores_e_INMs!B$4:F$49,3,FALSE),1)</f>
        <v>1</v>
      </c>
      <c r="AI436" s="190">
        <f>IFERROR(VLOOKUP(Y436,SISP_Deflatores_e_INMs!B$4:G$49,5,FALSE),1)</f>
        <v>1</v>
      </c>
      <c r="AJ436" s="191" t="str">
        <f t="shared" si="120"/>
        <v/>
      </c>
      <c r="AK436" s="237" t="str">
        <f t="shared" si="109"/>
        <v/>
      </c>
      <c r="AL436" s="237" t="str">
        <f t="shared" si="121"/>
        <v/>
      </c>
      <c r="AM436" s="192" t="e">
        <f t="shared" si="110"/>
        <v>#VALUE!</v>
      </c>
      <c r="AN436" s="193" t="e">
        <f t="shared" si="111"/>
        <v>#VALUE!</v>
      </c>
      <c r="AO436" s="193" t="e">
        <f t="shared" si="112"/>
        <v>#VALUE!</v>
      </c>
      <c r="AP436" s="193"/>
      <c r="AQ436" s="204"/>
      <c r="AR436" s="204"/>
      <c r="AS436" s="204"/>
      <c r="AT436" s="205"/>
      <c r="AU436"/>
    </row>
    <row r="437" spans="2:47" ht="15" customHeight="1" x14ac:dyDescent="0.25">
      <c r="B437" s="206"/>
      <c r="C437" s="185"/>
      <c r="D437" s="164"/>
      <c r="E437" s="174"/>
      <c r="F437" s="164"/>
      <c r="G437" s="174"/>
      <c r="H437" s="164"/>
      <c r="I437" s="174"/>
      <c r="J437" s="184"/>
      <c r="K437" s="186"/>
      <c r="L437" s="187" t="str">
        <f t="shared" si="113"/>
        <v/>
      </c>
      <c r="M437" s="187" t="str">
        <f t="shared" si="114"/>
        <v/>
      </c>
      <c r="N437" s="187" t="str">
        <f t="shared" si="106"/>
        <v>D</v>
      </c>
      <c r="O437" s="187" t="str">
        <f t="shared" si="115"/>
        <v>D</v>
      </c>
      <c r="P437" s="187">
        <f t="shared" si="116"/>
        <v>1</v>
      </c>
      <c r="Q437" s="187">
        <f>IFERROR(VLOOKUP(E437,Tabela_Deflator:E$43,5,FALSE),1)</f>
        <v>1</v>
      </c>
      <c r="R437" s="188" t="str">
        <f t="shared" si="117"/>
        <v/>
      </c>
      <c r="S437" s="237" t="str">
        <f t="shared" si="107"/>
        <v/>
      </c>
      <c r="T437" s="237" t="str">
        <f t="shared" si="122"/>
        <v/>
      </c>
      <c r="U437" s="189"/>
      <c r="V437" s="167"/>
      <c r="W437" s="165"/>
      <c r="X437" s="164"/>
      <c r="Y437" s="164"/>
      <c r="Z437" s="164"/>
      <c r="AA437" s="174"/>
      <c r="AB437" s="164"/>
      <c r="AC437" s="174"/>
      <c r="AD437" s="184"/>
      <c r="AE437" s="190" t="str">
        <f t="shared" si="118"/>
        <v/>
      </c>
      <c r="AF437" s="190" t="str">
        <f t="shared" si="119"/>
        <v/>
      </c>
      <c r="AG437" s="190" t="str">
        <f t="shared" si="108"/>
        <v>D</v>
      </c>
      <c r="AH437" s="190">
        <f>IFERROR(VLOOKUP(Y437,SISP_Deflatores_e_INMs!B$4:F$49,3,FALSE),1)</f>
        <v>1</v>
      </c>
      <c r="AI437" s="190">
        <f>IFERROR(VLOOKUP(Y437,SISP_Deflatores_e_INMs!B$4:G$49,5,FALSE),1)</f>
        <v>1</v>
      </c>
      <c r="AJ437" s="191" t="str">
        <f t="shared" si="120"/>
        <v/>
      </c>
      <c r="AK437" s="237" t="str">
        <f t="shared" si="109"/>
        <v/>
      </c>
      <c r="AL437" s="237" t="str">
        <f t="shared" si="121"/>
        <v/>
      </c>
      <c r="AM437" s="192" t="e">
        <f t="shared" si="110"/>
        <v>#VALUE!</v>
      </c>
      <c r="AN437" s="193" t="e">
        <f t="shared" si="111"/>
        <v>#VALUE!</v>
      </c>
      <c r="AO437" s="193" t="e">
        <f t="shared" si="112"/>
        <v>#VALUE!</v>
      </c>
      <c r="AP437" s="193"/>
      <c r="AQ437" s="204"/>
      <c r="AR437" s="204"/>
      <c r="AS437" s="204"/>
      <c r="AT437" s="205"/>
      <c r="AU437"/>
    </row>
    <row r="438" spans="2:47" ht="15" customHeight="1" x14ac:dyDescent="0.25">
      <c r="B438" s="206"/>
      <c r="C438" s="185"/>
      <c r="D438" s="164"/>
      <c r="E438" s="174"/>
      <c r="F438" s="164"/>
      <c r="G438" s="174"/>
      <c r="H438" s="164"/>
      <c r="I438" s="174"/>
      <c r="J438" s="184"/>
      <c r="K438" s="186"/>
      <c r="L438" s="187" t="str">
        <f t="shared" si="113"/>
        <v/>
      </c>
      <c r="M438" s="187" t="str">
        <f t="shared" si="114"/>
        <v/>
      </c>
      <c r="N438" s="187" t="str">
        <f t="shared" si="106"/>
        <v>D</v>
      </c>
      <c r="O438" s="187" t="str">
        <f t="shared" si="115"/>
        <v>D</v>
      </c>
      <c r="P438" s="187">
        <f t="shared" si="116"/>
        <v>1</v>
      </c>
      <c r="Q438" s="187">
        <f>IFERROR(VLOOKUP(E438,Tabela_Deflator:E$43,5,FALSE),1)</f>
        <v>1</v>
      </c>
      <c r="R438" s="188" t="str">
        <f t="shared" si="117"/>
        <v/>
      </c>
      <c r="S438" s="237" t="str">
        <f t="shared" si="107"/>
        <v/>
      </c>
      <c r="T438" s="237" t="str">
        <f t="shared" si="122"/>
        <v/>
      </c>
      <c r="U438" s="189"/>
      <c r="V438" s="167"/>
      <c r="W438" s="165"/>
      <c r="X438" s="164"/>
      <c r="Y438" s="164"/>
      <c r="Z438" s="164"/>
      <c r="AA438" s="174"/>
      <c r="AB438" s="164"/>
      <c r="AC438" s="174"/>
      <c r="AD438" s="184"/>
      <c r="AE438" s="190" t="str">
        <f t="shared" si="118"/>
        <v/>
      </c>
      <c r="AF438" s="190" t="str">
        <f t="shared" si="119"/>
        <v/>
      </c>
      <c r="AG438" s="190" t="str">
        <f t="shared" si="108"/>
        <v>D</v>
      </c>
      <c r="AH438" s="190">
        <f>IFERROR(VLOOKUP(Y438,SISP_Deflatores_e_INMs!B$4:F$49,3,FALSE),1)</f>
        <v>1</v>
      </c>
      <c r="AI438" s="190">
        <f>IFERROR(VLOOKUP(Y438,SISP_Deflatores_e_INMs!B$4:G$49,5,FALSE),1)</f>
        <v>1</v>
      </c>
      <c r="AJ438" s="191" t="str">
        <f t="shared" si="120"/>
        <v/>
      </c>
      <c r="AK438" s="237" t="str">
        <f t="shared" si="109"/>
        <v/>
      </c>
      <c r="AL438" s="237" t="str">
        <f t="shared" si="121"/>
        <v/>
      </c>
      <c r="AM438" s="192" t="e">
        <f t="shared" si="110"/>
        <v>#VALUE!</v>
      </c>
      <c r="AN438" s="193" t="e">
        <f t="shared" si="111"/>
        <v>#VALUE!</v>
      </c>
      <c r="AO438" s="193" t="e">
        <f t="shared" si="112"/>
        <v>#VALUE!</v>
      </c>
      <c r="AP438" s="193"/>
      <c r="AQ438" s="204"/>
      <c r="AR438" s="204"/>
      <c r="AS438" s="204"/>
      <c r="AT438" s="205"/>
      <c r="AU438"/>
    </row>
    <row r="439" spans="2:47" ht="15" customHeight="1" x14ac:dyDescent="0.25">
      <c r="B439" s="206"/>
      <c r="C439" s="185"/>
      <c r="D439" s="164"/>
      <c r="E439" s="174"/>
      <c r="F439" s="164"/>
      <c r="G439" s="174"/>
      <c r="H439" s="164"/>
      <c r="I439" s="174"/>
      <c r="J439" s="184"/>
      <c r="K439" s="186"/>
      <c r="L439" s="187" t="str">
        <f t="shared" si="113"/>
        <v/>
      </c>
      <c r="M439" s="187" t="str">
        <f t="shared" si="114"/>
        <v/>
      </c>
      <c r="N439" s="187" t="str">
        <f t="shared" si="106"/>
        <v>D</v>
      </c>
      <c r="O439" s="187" t="str">
        <f t="shared" si="115"/>
        <v>D</v>
      </c>
      <c r="P439" s="187">
        <f t="shared" si="116"/>
        <v>1</v>
      </c>
      <c r="Q439" s="187">
        <f>IFERROR(VLOOKUP(E439,Tabela_Deflator:E$43,5,FALSE),1)</f>
        <v>1</v>
      </c>
      <c r="R439" s="188" t="str">
        <f t="shared" si="117"/>
        <v/>
      </c>
      <c r="S439" s="237" t="str">
        <f t="shared" si="107"/>
        <v/>
      </c>
      <c r="T439" s="237" t="str">
        <f t="shared" si="122"/>
        <v/>
      </c>
      <c r="U439" s="189"/>
      <c r="V439" s="167"/>
      <c r="W439" s="165"/>
      <c r="X439" s="164"/>
      <c r="Y439" s="164"/>
      <c r="Z439" s="164"/>
      <c r="AA439" s="174"/>
      <c r="AB439" s="164"/>
      <c r="AC439" s="174"/>
      <c r="AD439" s="184"/>
      <c r="AE439" s="190" t="str">
        <f t="shared" si="118"/>
        <v/>
      </c>
      <c r="AF439" s="190" t="str">
        <f t="shared" si="119"/>
        <v/>
      </c>
      <c r="AG439" s="190" t="str">
        <f t="shared" si="108"/>
        <v>D</v>
      </c>
      <c r="AH439" s="190">
        <f>IFERROR(VLOOKUP(Y439,SISP_Deflatores_e_INMs!B$4:F$49,3,FALSE),1)</f>
        <v>1</v>
      </c>
      <c r="AI439" s="190">
        <f>IFERROR(VLOOKUP(Y439,SISP_Deflatores_e_INMs!B$4:G$49,5,FALSE),1)</f>
        <v>1</v>
      </c>
      <c r="AJ439" s="191" t="str">
        <f t="shared" si="120"/>
        <v/>
      </c>
      <c r="AK439" s="237" t="str">
        <f t="shared" si="109"/>
        <v/>
      </c>
      <c r="AL439" s="237" t="str">
        <f t="shared" si="121"/>
        <v/>
      </c>
      <c r="AM439" s="192" t="e">
        <f t="shared" si="110"/>
        <v>#VALUE!</v>
      </c>
      <c r="AN439" s="193" t="e">
        <f t="shared" si="111"/>
        <v>#VALUE!</v>
      </c>
      <c r="AO439" s="193" t="e">
        <f t="shared" si="112"/>
        <v>#VALUE!</v>
      </c>
      <c r="AP439" s="193"/>
      <c r="AQ439" s="204"/>
      <c r="AR439" s="204"/>
      <c r="AS439" s="204"/>
      <c r="AT439" s="205"/>
      <c r="AU439"/>
    </row>
    <row r="440" spans="2:47" ht="15" customHeight="1" x14ac:dyDescent="0.25">
      <c r="B440" s="206"/>
      <c r="C440" s="185"/>
      <c r="D440" s="164"/>
      <c r="E440" s="174"/>
      <c r="F440" s="164"/>
      <c r="G440" s="174"/>
      <c r="H440" s="164"/>
      <c r="I440" s="174"/>
      <c r="J440" s="184"/>
      <c r="K440" s="186"/>
      <c r="L440" s="187" t="str">
        <f t="shared" si="113"/>
        <v/>
      </c>
      <c r="M440" s="187" t="str">
        <f t="shared" si="114"/>
        <v/>
      </c>
      <c r="N440" s="187" t="str">
        <f t="shared" si="106"/>
        <v>D</v>
      </c>
      <c r="O440" s="187" t="str">
        <f t="shared" si="115"/>
        <v>D</v>
      </c>
      <c r="P440" s="187">
        <f t="shared" si="116"/>
        <v>1</v>
      </c>
      <c r="Q440" s="187">
        <f>IFERROR(VLOOKUP(E440,Tabela_Deflator:E$43,5,FALSE),1)</f>
        <v>1</v>
      </c>
      <c r="R440" s="188" t="str">
        <f t="shared" si="117"/>
        <v/>
      </c>
      <c r="S440" s="237" t="str">
        <f t="shared" si="107"/>
        <v/>
      </c>
      <c r="T440" s="237" t="str">
        <f t="shared" si="122"/>
        <v/>
      </c>
      <c r="U440" s="189"/>
      <c r="V440" s="167"/>
      <c r="W440" s="165"/>
      <c r="X440" s="164"/>
      <c r="Y440" s="164"/>
      <c r="Z440" s="164"/>
      <c r="AA440" s="174"/>
      <c r="AB440" s="164"/>
      <c r="AC440" s="174"/>
      <c r="AD440" s="184"/>
      <c r="AE440" s="190" t="str">
        <f t="shared" si="118"/>
        <v/>
      </c>
      <c r="AF440" s="190" t="str">
        <f t="shared" si="119"/>
        <v/>
      </c>
      <c r="AG440" s="190" t="str">
        <f t="shared" si="108"/>
        <v>D</v>
      </c>
      <c r="AH440" s="190">
        <f>IFERROR(VLOOKUP(Y440,SISP_Deflatores_e_INMs!B$4:F$49,3,FALSE),1)</f>
        <v>1</v>
      </c>
      <c r="AI440" s="190">
        <f>IFERROR(VLOOKUP(Y440,SISP_Deflatores_e_INMs!B$4:G$49,5,FALSE),1)</f>
        <v>1</v>
      </c>
      <c r="AJ440" s="191" t="str">
        <f t="shared" si="120"/>
        <v/>
      </c>
      <c r="AK440" s="237" t="str">
        <f t="shared" si="109"/>
        <v/>
      </c>
      <c r="AL440" s="237" t="str">
        <f t="shared" si="121"/>
        <v/>
      </c>
      <c r="AM440" s="192" t="e">
        <f t="shared" si="110"/>
        <v>#VALUE!</v>
      </c>
      <c r="AN440" s="193" t="e">
        <f t="shared" si="111"/>
        <v>#VALUE!</v>
      </c>
      <c r="AO440" s="193" t="e">
        <f t="shared" si="112"/>
        <v>#VALUE!</v>
      </c>
      <c r="AP440" s="193"/>
      <c r="AQ440" s="204"/>
      <c r="AR440" s="204"/>
      <c r="AS440" s="204"/>
      <c r="AT440" s="205"/>
      <c r="AU440"/>
    </row>
    <row r="441" spans="2:47" ht="15" customHeight="1" x14ac:dyDescent="0.25">
      <c r="B441" s="206"/>
      <c r="C441" s="185"/>
      <c r="D441" s="164"/>
      <c r="E441" s="174"/>
      <c r="F441" s="164"/>
      <c r="G441" s="174"/>
      <c r="H441" s="164"/>
      <c r="I441" s="174"/>
      <c r="J441" s="184"/>
      <c r="K441" s="186"/>
      <c r="L441" s="187" t="str">
        <f t="shared" si="113"/>
        <v/>
      </c>
      <c r="M441" s="187" t="str">
        <f t="shared" si="114"/>
        <v/>
      </c>
      <c r="N441" s="187" t="str">
        <f t="shared" si="106"/>
        <v>D</v>
      </c>
      <c r="O441" s="187" t="str">
        <f t="shared" si="115"/>
        <v>D</v>
      </c>
      <c r="P441" s="187">
        <f t="shared" si="116"/>
        <v>1</v>
      </c>
      <c r="Q441" s="187">
        <f>IFERROR(VLOOKUP(E441,Tabela_Deflator:E$43,5,FALSE),1)</f>
        <v>1</v>
      </c>
      <c r="R441" s="188" t="str">
        <f t="shared" si="117"/>
        <v/>
      </c>
      <c r="S441" s="237" t="str">
        <f t="shared" si="107"/>
        <v/>
      </c>
      <c r="T441" s="237" t="str">
        <f t="shared" si="122"/>
        <v/>
      </c>
      <c r="U441" s="189"/>
      <c r="V441" s="167"/>
      <c r="W441" s="165"/>
      <c r="X441" s="164"/>
      <c r="Y441" s="164"/>
      <c r="Z441" s="164"/>
      <c r="AA441" s="174"/>
      <c r="AB441" s="164"/>
      <c r="AC441" s="174"/>
      <c r="AD441" s="184"/>
      <c r="AE441" s="190" t="str">
        <f t="shared" si="118"/>
        <v/>
      </c>
      <c r="AF441" s="190" t="str">
        <f t="shared" si="119"/>
        <v/>
      </c>
      <c r="AG441" s="190" t="str">
        <f t="shared" si="108"/>
        <v>D</v>
      </c>
      <c r="AH441" s="190">
        <f>IFERROR(VLOOKUP(Y441,SISP_Deflatores_e_INMs!B$4:F$49,3,FALSE),1)</f>
        <v>1</v>
      </c>
      <c r="AI441" s="190">
        <f>IFERROR(VLOOKUP(Y441,SISP_Deflatores_e_INMs!B$4:G$49,5,FALSE),1)</f>
        <v>1</v>
      </c>
      <c r="AJ441" s="191" t="str">
        <f t="shared" si="120"/>
        <v/>
      </c>
      <c r="AK441" s="237" t="str">
        <f t="shared" si="109"/>
        <v/>
      </c>
      <c r="AL441" s="237" t="str">
        <f t="shared" si="121"/>
        <v/>
      </c>
      <c r="AM441" s="192" t="e">
        <f t="shared" si="110"/>
        <v>#VALUE!</v>
      </c>
      <c r="AN441" s="193" t="e">
        <f t="shared" si="111"/>
        <v>#VALUE!</v>
      </c>
      <c r="AO441" s="193" t="e">
        <f t="shared" si="112"/>
        <v>#VALUE!</v>
      </c>
      <c r="AP441" s="193"/>
      <c r="AQ441" s="204"/>
      <c r="AR441" s="204"/>
      <c r="AS441" s="204"/>
      <c r="AT441" s="205"/>
      <c r="AU441"/>
    </row>
    <row r="442" spans="2:47" ht="15" customHeight="1" x14ac:dyDescent="0.25">
      <c r="B442" s="206"/>
      <c r="C442" s="185"/>
      <c r="D442" s="164"/>
      <c r="E442" s="174"/>
      <c r="F442" s="164"/>
      <c r="G442" s="174"/>
      <c r="H442" s="164"/>
      <c r="I442" s="174"/>
      <c r="J442" s="184"/>
      <c r="K442" s="186"/>
      <c r="L442" s="187" t="str">
        <f t="shared" si="113"/>
        <v/>
      </c>
      <c r="M442" s="187" t="str">
        <f t="shared" si="114"/>
        <v/>
      </c>
      <c r="N442" s="187" t="str">
        <f t="shared" si="106"/>
        <v>D</v>
      </c>
      <c r="O442" s="187" t="str">
        <f t="shared" si="115"/>
        <v>D</v>
      </c>
      <c r="P442" s="187">
        <f t="shared" si="116"/>
        <v>1</v>
      </c>
      <c r="Q442" s="187">
        <f>IFERROR(VLOOKUP(E442,Tabela_Deflator:E$43,5,FALSE),1)</f>
        <v>1</v>
      </c>
      <c r="R442" s="188" t="str">
        <f t="shared" si="117"/>
        <v/>
      </c>
      <c r="S442" s="237" t="str">
        <f t="shared" si="107"/>
        <v/>
      </c>
      <c r="T442" s="237" t="str">
        <f t="shared" si="122"/>
        <v/>
      </c>
      <c r="U442" s="189"/>
      <c r="V442" s="167"/>
      <c r="W442" s="165"/>
      <c r="X442" s="164"/>
      <c r="Y442" s="164"/>
      <c r="Z442" s="164"/>
      <c r="AA442" s="174"/>
      <c r="AB442" s="164"/>
      <c r="AC442" s="174"/>
      <c r="AD442" s="184"/>
      <c r="AE442" s="190" t="str">
        <f t="shared" si="118"/>
        <v/>
      </c>
      <c r="AF442" s="190" t="str">
        <f t="shared" si="119"/>
        <v/>
      </c>
      <c r="AG442" s="190" t="str">
        <f t="shared" si="108"/>
        <v>D</v>
      </c>
      <c r="AH442" s="190">
        <f>IFERROR(VLOOKUP(Y442,SISP_Deflatores_e_INMs!B$4:F$49,3,FALSE),1)</f>
        <v>1</v>
      </c>
      <c r="AI442" s="190">
        <f>IFERROR(VLOOKUP(Y442,SISP_Deflatores_e_INMs!B$4:G$49,5,FALSE),1)</f>
        <v>1</v>
      </c>
      <c r="AJ442" s="191" t="str">
        <f t="shared" si="120"/>
        <v/>
      </c>
      <c r="AK442" s="237" t="str">
        <f t="shared" si="109"/>
        <v/>
      </c>
      <c r="AL442" s="237" t="str">
        <f t="shared" si="121"/>
        <v/>
      </c>
      <c r="AM442" s="192" t="e">
        <f t="shared" si="110"/>
        <v>#VALUE!</v>
      </c>
      <c r="AN442" s="193" t="e">
        <f t="shared" si="111"/>
        <v>#VALUE!</v>
      </c>
      <c r="AO442" s="193" t="e">
        <f t="shared" si="112"/>
        <v>#VALUE!</v>
      </c>
      <c r="AP442" s="193"/>
      <c r="AQ442" s="204"/>
      <c r="AR442" s="204"/>
      <c r="AS442" s="204"/>
      <c r="AT442" s="205"/>
      <c r="AU442"/>
    </row>
    <row r="443" spans="2:47" ht="15" customHeight="1" x14ac:dyDescent="0.25">
      <c r="B443" s="206"/>
      <c r="C443" s="185"/>
      <c r="D443" s="164"/>
      <c r="E443" s="174"/>
      <c r="F443" s="164"/>
      <c r="G443" s="174"/>
      <c r="H443" s="164"/>
      <c r="I443" s="174"/>
      <c r="J443" s="184"/>
      <c r="K443" s="186"/>
      <c r="L443" s="187" t="str">
        <f t="shared" si="113"/>
        <v/>
      </c>
      <c r="M443" s="187" t="str">
        <f t="shared" si="114"/>
        <v/>
      </c>
      <c r="N443" s="187" t="str">
        <f t="shared" si="106"/>
        <v>D</v>
      </c>
      <c r="O443" s="187" t="str">
        <f t="shared" si="115"/>
        <v>D</v>
      </c>
      <c r="P443" s="187">
        <f t="shared" si="116"/>
        <v>1</v>
      </c>
      <c r="Q443" s="187">
        <f>IFERROR(VLOOKUP(E443,Tabela_Deflator:E$43,5,FALSE),1)</f>
        <v>1</v>
      </c>
      <c r="R443" s="188" t="str">
        <f t="shared" si="117"/>
        <v/>
      </c>
      <c r="S443" s="237" t="str">
        <f t="shared" si="107"/>
        <v/>
      </c>
      <c r="T443" s="237" t="str">
        <f t="shared" si="122"/>
        <v/>
      </c>
      <c r="U443" s="189"/>
      <c r="V443" s="167"/>
      <c r="W443" s="165"/>
      <c r="X443" s="164"/>
      <c r="Y443" s="164"/>
      <c r="Z443" s="164"/>
      <c r="AA443" s="174"/>
      <c r="AB443" s="164"/>
      <c r="AC443" s="174"/>
      <c r="AD443" s="184"/>
      <c r="AE443" s="190" t="str">
        <f t="shared" si="118"/>
        <v/>
      </c>
      <c r="AF443" s="190" t="str">
        <f t="shared" si="119"/>
        <v/>
      </c>
      <c r="AG443" s="190" t="str">
        <f t="shared" si="108"/>
        <v>D</v>
      </c>
      <c r="AH443" s="190">
        <f>IFERROR(VLOOKUP(Y443,SISP_Deflatores_e_INMs!B$4:F$49,3,FALSE),1)</f>
        <v>1</v>
      </c>
      <c r="AI443" s="190">
        <f>IFERROR(VLOOKUP(Y443,SISP_Deflatores_e_INMs!B$4:G$49,5,FALSE),1)</f>
        <v>1</v>
      </c>
      <c r="AJ443" s="191" t="str">
        <f t="shared" si="120"/>
        <v/>
      </c>
      <c r="AK443" s="237" t="str">
        <f t="shared" si="109"/>
        <v/>
      </c>
      <c r="AL443" s="237" t="str">
        <f t="shared" si="121"/>
        <v/>
      </c>
      <c r="AM443" s="192" t="e">
        <f t="shared" si="110"/>
        <v>#VALUE!</v>
      </c>
      <c r="AN443" s="193" t="e">
        <f t="shared" si="111"/>
        <v>#VALUE!</v>
      </c>
      <c r="AO443" s="193" t="e">
        <f t="shared" si="112"/>
        <v>#VALUE!</v>
      </c>
      <c r="AP443" s="193"/>
      <c r="AQ443" s="204"/>
      <c r="AR443" s="204"/>
      <c r="AS443" s="204"/>
      <c r="AT443" s="205"/>
      <c r="AU443"/>
    </row>
    <row r="444" spans="2:47" ht="15" customHeight="1" x14ac:dyDescent="0.25">
      <c r="B444" s="206"/>
      <c r="C444" s="185"/>
      <c r="D444" s="164"/>
      <c r="E444" s="174"/>
      <c r="F444" s="164"/>
      <c r="G444" s="174"/>
      <c r="H444" s="164"/>
      <c r="I444" s="174"/>
      <c r="J444" s="184"/>
      <c r="K444" s="186"/>
      <c r="L444" s="187" t="str">
        <f t="shared" si="113"/>
        <v/>
      </c>
      <c r="M444" s="187" t="str">
        <f t="shared" si="114"/>
        <v/>
      </c>
      <c r="N444" s="187" t="str">
        <f t="shared" si="106"/>
        <v>D</v>
      </c>
      <c r="O444" s="187" t="str">
        <f t="shared" si="115"/>
        <v>D</v>
      </c>
      <c r="P444" s="187">
        <f t="shared" si="116"/>
        <v>1</v>
      </c>
      <c r="Q444" s="187">
        <f>IFERROR(VLOOKUP(E444,Tabela_Deflator:E$43,5,FALSE),1)</f>
        <v>1</v>
      </c>
      <c r="R444" s="188" t="str">
        <f t="shared" si="117"/>
        <v/>
      </c>
      <c r="S444" s="237" t="str">
        <f t="shared" si="107"/>
        <v/>
      </c>
      <c r="T444" s="237" t="str">
        <f t="shared" si="122"/>
        <v/>
      </c>
      <c r="U444" s="189"/>
      <c r="V444" s="167"/>
      <c r="W444" s="165"/>
      <c r="X444" s="164"/>
      <c r="Y444" s="164"/>
      <c r="Z444" s="164"/>
      <c r="AA444" s="174"/>
      <c r="AB444" s="164"/>
      <c r="AC444" s="174"/>
      <c r="AD444" s="184"/>
      <c r="AE444" s="190" t="str">
        <f t="shared" si="118"/>
        <v/>
      </c>
      <c r="AF444" s="190" t="str">
        <f t="shared" si="119"/>
        <v/>
      </c>
      <c r="AG444" s="190" t="str">
        <f t="shared" si="108"/>
        <v>D</v>
      </c>
      <c r="AH444" s="190">
        <f>IFERROR(VLOOKUP(Y444,SISP_Deflatores_e_INMs!B$4:F$49,3,FALSE),1)</f>
        <v>1</v>
      </c>
      <c r="AI444" s="190">
        <f>IFERROR(VLOOKUP(Y444,SISP_Deflatores_e_INMs!B$4:G$49,5,FALSE),1)</f>
        <v>1</v>
      </c>
      <c r="AJ444" s="191" t="str">
        <f t="shared" si="120"/>
        <v/>
      </c>
      <c r="AK444" s="237" t="str">
        <f t="shared" si="109"/>
        <v/>
      </c>
      <c r="AL444" s="237" t="str">
        <f t="shared" si="121"/>
        <v/>
      </c>
      <c r="AM444" s="192" t="e">
        <f t="shared" si="110"/>
        <v>#VALUE!</v>
      </c>
      <c r="AN444" s="193" t="e">
        <f t="shared" si="111"/>
        <v>#VALUE!</v>
      </c>
      <c r="AO444" s="193" t="e">
        <f t="shared" si="112"/>
        <v>#VALUE!</v>
      </c>
      <c r="AP444" s="193"/>
      <c r="AQ444" s="204"/>
      <c r="AR444" s="204"/>
      <c r="AS444" s="204"/>
      <c r="AT444" s="205"/>
      <c r="AU444"/>
    </row>
    <row r="445" spans="2:47" ht="15" customHeight="1" x14ac:dyDescent="0.25">
      <c r="B445" s="206"/>
      <c r="C445" s="185"/>
      <c r="D445" s="164"/>
      <c r="E445" s="174"/>
      <c r="F445" s="164"/>
      <c r="G445" s="174"/>
      <c r="H445" s="164"/>
      <c r="I445" s="174"/>
      <c r="J445" s="184"/>
      <c r="K445" s="186"/>
      <c r="L445" s="187" t="str">
        <f t="shared" si="113"/>
        <v/>
      </c>
      <c r="M445" s="187" t="str">
        <f t="shared" si="114"/>
        <v/>
      </c>
      <c r="N445" s="187" t="str">
        <f t="shared" si="106"/>
        <v>D</v>
      </c>
      <c r="O445" s="187" t="str">
        <f t="shared" si="115"/>
        <v>D</v>
      </c>
      <c r="P445" s="187">
        <f t="shared" si="116"/>
        <v>1</v>
      </c>
      <c r="Q445" s="187">
        <f>IFERROR(VLOOKUP(E445,Tabela_Deflator:E$43,5,FALSE),1)</f>
        <v>1</v>
      </c>
      <c r="R445" s="188" t="str">
        <f t="shared" si="117"/>
        <v/>
      </c>
      <c r="S445" s="237" t="str">
        <f t="shared" si="107"/>
        <v/>
      </c>
      <c r="T445" s="237" t="str">
        <f t="shared" si="122"/>
        <v/>
      </c>
      <c r="U445" s="189"/>
      <c r="V445" s="167"/>
      <c r="W445" s="165"/>
      <c r="X445" s="164"/>
      <c r="Y445" s="164"/>
      <c r="Z445" s="164"/>
      <c r="AA445" s="174"/>
      <c r="AB445" s="164"/>
      <c r="AC445" s="174"/>
      <c r="AD445" s="184"/>
      <c r="AE445" s="190" t="str">
        <f t="shared" si="118"/>
        <v/>
      </c>
      <c r="AF445" s="190" t="str">
        <f t="shared" si="119"/>
        <v/>
      </c>
      <c r="AG445" s="190" t="str">
        <f t="shared" si="108"/>
        <v>D</v>
      </c>
      <c r="AH445" s="190">
        <f>IFERROR(VLOOKUP(Y445,SISP_Deflatores_e_INMs!B$4:F$49,3,FALSE),1)</f>
        <v>1</v>
      </c>
      <c r="AI445" s="190">
        <f>IFERROR(VLOOKUP(Y445,SISP_Deflatores_e_INMs!B$4:G$49,5,FALSE),1)</f>
        <v>1</v>
      </c>
      <c r="AJ445" s="191" t="str">
        <f t="shared" si="120"/>
        <v/>
      </c>
      <c r="AK445" s="237" t="str">
        <f t="shared" si="109"/>
        <v/>
      </c>
      <c r="AL445" s="237" t="str">
        <f t="shared" si="121"/>
        <v/>
      </c>
      <c r="AM445" s="192" t="e">
        <f t="shared" si="110"/>
        <v>#VALUE!</v>
      </c>
      <c r="AN445" s="193" t="e">
        <f t="shared" si="111"/>
        <v>#VALUE!</v>
      </c>
      <c r="AO445" s="193" t="e">
        <f t="shared" si="112"/>
        <v>#VALUE!</v>
      </c>
      <c r="AP445" s="193"/>
      <c r="AQ445" s="204"/>
      <c r="AR445" s="204"/>
      <c r="AS445" s="204"/>
      <c r="AT445" s="205"/>
      <c r="AU445"/>
    </row>
    <row r="446" spans="2:47" ht="15" customHeight="1" x14ac:dyDescent="0.25">
      <c r="B446" s="206"/>
      <c r="C446" s="185"/>
      <c r="D446" s="164"/>
      <c r="E446" s="174"/>
      <c r="F446" s="164"/>
      <c r="G446" s="174"/>
      <c r="H446" s="164"/>
      <c r="I446" s="174"/>
      <c r="J446" s="184"/>
      <c r="K446" s="186"/>
      <c r="L446" s="187" t="str">
        <f t="shared" si="113"/>
        <v/>
      </c>
      <c r="M446" s="187" t="str">
        <f t="shared" si="114"/>
        <v/>
      </c>
      <c r="N446" s="187" t="str">
        <f t="shared" si="106"/>
        <v>D</v>
      </c>
      <c r="O446" s="187" t="str">
        <f t="shared" si="115"/>
        <v>D</v>
      </c>
      <c r="P446" s="187">
        <f t="shared" si="116"/>
        <v>1</v>
      </c>
      <c r="Q446" s="187">
        <f>IFERROR(VLOOKUP(E446,Tabela_Deflator:E$43,5,FALSE),1)</f>
        <v>1</v>
      </c>
      <c r="R446" s="188" t="str">
        <f t="shared" si="117"/>
        <v/>
      </c>
      <c r="S446" s="237" t="str">
        <f t="shared" si="107"/>
        <v/>
      </c>
      <c r="T446" s="237" t="str">
        <f t="shared" si="122"/>
        <v/>
      </c>
      <c r="U446" s="189"/>
      <c r="V446" s="167"/>
      <c r="W446" s="165"/>
      <c r="X446" s="164"/>
      <c r="Y446" s="164"/>
      <c r="Z446" s="164"/>
      <c r="AA446" s="174"/>
      <c r="AB446" s="164"/>
      <c r="AC446" s="174"/>
      <c r="AD446" s="184"/>
      <c r="AE446" s="190" t="str">
        <f t="shared" si="118"/>
        <v/>
      </c>
      <c r="AF446" s="190" t="str">
        <f t="shared" si="119"/>
        <v/>
      </c>
      <c r="AG446" s="190" t="str">
        <f t="shared" si="108"/>
        <v>D</v>
      </c>
      <c r="AH446" s="190">
        <f>IFERROR(VLOOKUP(Y446,SISP_Deflatores_e_INMs!B$4:F$49,3,FALSE),1)</f>
        <v>1</v>
      </c>
      <c r="AI446" s="190">
        <f>IFERROR(VLOOKUP(Y446,SISP_Deflatores_e_INMs!B$4:G$49,5,FALSE),1)</f>
        <v>1</v>
      </c>
      <c r="AJ446" s="191" t="str">
        <f t="shared" si="120"/>
        <v/>
      </c>
      <c r="AK446" s="237" t="str">
        <f t="shared" si="109"/>
        <v/>
      </c>
      <c r="AL446" s="237" t="str">
        <f t="shared" si="121"/>
        <v/>
      </c>
      <c r="AM446" s="192" t="e">
        <f t="shared" si="110"/>
        <v>#VALUE!</v>
      </c>
      <c r="AN446" s="193" t="e">
        <f t="shared" si="111"/>
        <v>#VALUE!</v>
      </c>
      <c r="AO446" s="193" t="e">
        <f t="shared" si="112"/>
        <v>#VALUE!</v>
      </c>
      <c r="AP446" s="193"/>
      <c r="AQ446" s="204"/>
      <c r="AR446" s="204"/>
      <c r="AS446" s="204"/>
      <c r="AT446" s="205"/>
      <c r="AU446"/>
    </row>
    <row r="447" spans="2:47" ht="15" customHeight="1" x14ac:dyDescent="0.25">
      <c r="B447" s="206"/>
      <c r="C447" s="185"/>
      <c r="D447" s="164"/>
      <c r="E447" s="174"/>
      <c r="F447" s="164"/>
      <c r="G447" s="174"/>
      <c r="H447" s="164"/>
      <c r="I447" s="174"/>
      <c r="J447" s="184"/>
      <c r="K447" s="186"/>
      <c r="L447" s="187" t="str">
        <f t="shared" si="113"/>
        <v/>
      </c>
      <c r="M447" s="187" t="str">
        <f t="shared" si="114"/>
        <v/>
      </c>
      <c r="N447" s="187" t="str">
        <f t="shared" si="106"/>
        <v>D</v>
      </c>
      <c r="O447" s="187" t="str">
        <f t="shared" si="115"/>
        <v>D</v>
      </c>
      <c r="P447" s="187">
        <f t="shared" si="116"/>
        <v>1</v>
      </c>
      <c r="Q447" s="187">
        <f>IFERROR(VLOOKUP(E447,Tabela_Deflator:E$43,5,FALSE),1)</f>
        <v>1</v>
      </c>
      <c r="R447" s="188" t="str">
        <f t="shared" si="117"/>
        <v/>
      </c>
      <c r="S447" s="237" t="str">
        <f t="shared" si="107"/>
        <v/>
      </c>
      <c r="T447" s="237" t="str">
        <f t="shared" si="122"/>
        <v/>
      </c>
      <c r="U447" s="189"/>
      <c r="V447" s="167"/>
      <c r="W447" s="165"/>
      <c r="X447" s="164"/>
      <c r="Y447" s="164"/>
      <c r="Z447" s="164"/>
      <c r="AA447" s="174"/>
      <c r="AB447" s="164"/>
      <c r="AC447" s="174"/>
      <c r="AD447" s="184"/>
      <c r="AE447" s="190" t="str">
        <f t="shared" si="118"/>
        <v/>
      </c>
      <c r="AF447" s="190" t="str">
        <f t="shared" si="119"/>
        <v/>
      </c>
      <c r="AG447" s="190" t="str">
        <f t="shared" si="108"/>
        <v>D</v>
      </c>
      <c r="AH447" s="190">
        <f>IFERROR(VLOOKUP(Y447,SISP_Deflatores_e_INMs!B$4:F$49,3,FALSE),1)</f>
        <v>1</v>
      </c>
      <c r="AI447" s="190">
        <f>IFERROR(VLOOKUP(Y447,SISP_Deflatores_e_INMs!B$4:G$49,5,FALSE),1)</f>
        <v>1</v>
      </c>
      <c r="AJ447" s="191" t="str">
        <f t="shared" si="120"/>
        <v/>
      </c>
      <c r="AK447" s="237" t="str">
        <f t="shared" si="109"/>
        <v/>
      </c>
      <c r="AL447" s="237" t="str">
        <f t="shared" si="121"/>
        <v/>
      </c>
      <c r="AM447" s="192" t="e">
        <f t="shared" si="110"/>
        <v>#VALUE!</v>
      </c>
      <c r="AN447" s="193" t="e">
        <f t="shared" si="111"/>
        <v>#VALUE!</v>
      </c>
      <c r="AO447" s="193" t="e">
        <f t="shared" si="112"/>
        <v>#VALUE!</v>
      </c>
      <c r="AP447" s="193"/>
      <c r="AQ447" s="204"/>
      <c r="AR447" s="204"/>
      <c r="AS447" s="204"/>
      <c r="AT447" s="205"/>
      <c r="AU447"/>
    </row>
    <row r="448" spans="2:47" ht="15" customHeight="1" x14ac:dyDescent="0.25">
      <c r="B448" s="206"/>
      <c r="C448" s="185"/>
      <c r="D448" s="164"/>
      <c r="E448" s="174"/>
      <c r="F448" s="164"/>
      <c r="G448" s="174"/>
      <c r="H448" s="164"/>
      <c r="I448" s="174"/>
      <c r="J448" s="184"/>
      <c r="K448" s="186"/>
      <c r="L448" s="187" t="str">
        <f t="shared" si="113"/>
        <v/>
      </c>
      <c r="M448" s="187" t="str">
        <f t="shared" si="114"/>
        <v/>
      </c>
      <c r="N448" s="187" t="str">
        <f t="shared" si="106"/>
        <v>D</v>
      </c>
      <c r="O448" s="187" t="str">
        <f t="shared" si="115"/>
        <v>D</v>
      </c>
      <c r="P448" s="187">
        <f t="shared" si="116"/>
        <v>1</v>
      </c>
      <c r="Q448" s="187">
        <f>IFERROR(VLOOKUP(E448,Tabela_Deflator:E$43,5,FALSE),1)</f>
        <v>1</v>
      </c>
      <c r="R448" s="188" t="str">
        <f t="shared" si="117"/>
        <v/>
      </c>
      <c r="S448" s="237" t="str">
        <f t="shared" si="107"/>
        <v/>
      </c>
      <c r="T448" s="237" t="str">
        <f t="shared" si="122"/>
        <v/>
      </c>
      <c r="U448" s="189"/>
      <c r="V448" s="167"/>
      <c r="W448" s="165"/>
      <c r="X448" s="164"/>
      <c r="Y448" s="164"/>
      <c r="Z448" s="164"/>
      <c r="AA448" s="174"/>
      <c r="AB448" s="164"/>
      <c r="AC448" s="174"/>
      <c r="AD448" s="184"/>
      <c r="AE448" s="190" t="str">
        <f t="shared" si="118"/>
        <v/>
      </c>
      <c r="AF448" s="190" t="str">
        <f t="shared" si="119"/>
        <v/>
      </c>
      <c r="AG448" s="190" t="str">
        <f t="shared" si="108"/>
        <v>D</v>
      </c>
      <c r="AH448" s="190">
        <f>IFERROR(VLOOKUP(Y448,SISP_Deflatores_e_INMs!B$4:F$49,3,FALSE),1)</f>
        <v>1</v>
      </c>
      <c r="AI448" s="190">
        <f>IFERROR(VLOOKUP(Y448,SISP_Deflatores_e_INMs!B$4:G$49,5,FALSE),1)</f>
        <v>1</v>
      </c>
      <c r="AJ448" s="191" t="str">
        <f t="shared" si="120"/>
        <v/>
      </c>
      <c r="AK448" s="237" t="str">
        <f t="shared" si="109"/>
        <v/>
      </c>
      <c r="AL448" s="237" t="str">
        <f t="shared" si="121"/>
        <v/>
      </c>
      <c r="AM448" s="192" t="e">
        <f t="shared" si="110"/>
        <v>#VALUE!</v>
      </c>
      <c r="AN448" s="193" t="e">
        <f t="shared" si="111"/>
        <v>#VALUE!</v>
      </c>
      <c r="AO448" s="193" t="e">
        <f t="shared" si="112"/>
        <v>#VALUE!</v>
      </c>
      <c r="AP448" s="193"/>
      <c r="AQ448" s="204"/>
      <c r="AR448" s="204"/>
      <c r="AS448" s="204"/>
      <c r="AT448" s="205"/>
      <c r="AU448"/>
    </row>
    <row r="449" spans="2:47" ht="15" customHeight="1" x14ac:dyDescent="0.25">
      <c r="B449" s="206"/>
      <c r="C449" s="185"/>
      <c r="D449" s="164"/>
      <c r="E449" s="174"/>
      <c r="F449" s="164"/>
      <c r="G449" s="174"/>
      <c r="H449" s="164"/>
      <c r="I449" s="174"/>
      <c r="J449" s="184"/>
      <c r="K449" s="186"/>
      <c r="L449" s="187" t="str">
        <f t="shared" si="113"/>
        <v/>
      </c>
      <c r="M449" s="187" t="str">
        <f t="shared" si="114"/>
        <v/>
      </c>
      <c r="N449" s="187" t="str">
        <f t="shared" si="106"/>
        <v>D</v>
      </c>
      <c r="O449" s="187" t="str">
        <f t="shared" si="115"/>
        <v>D</v>
      </c>
      <c r="P449" s="187">
        <f t="shared" si="116"/>
        <v>1</v>
      </c>
      <c r="Q449" s="187">
        <f>IFERROR(VLOOKUP(E449,Tabela_Deflator:E$43,5,FALSE),1)</f>
        <v>1</v>
      </c>
      <c r="R449" s="188" t="str">
        <f t="shared" si="117"/>
        <v/>
      </c>
      <c r="S449" s="237" t="str">
        <f t="shared" si="107"/>
        <v/>
      </c>
      <c r="T449" s="237" t="str">
        <f t="shared" si="122"/>
        <v/>
      </c>
      <c r="U449" s="189"/>
      <c r="V449" s="167"/>
      <c r="W449" s="165"/>
      <c r="X449" s="164"/>
      <c r="Y449" s="164"/>
      <c r="Z449" s="164"/>
      <c r="AA449" s="174"/>
      <c r="AB449" s="164"/>
      <c r="AC449" s="174"/>
      <c r="AD449" s="184"/>
      <c r="AE449" s="190" t="str">
        <f t="shared" si="118"/>
        <v/>
      </c>
      <c r="AF449" s="190" t="str">
        <f t="shared" si="119"/>
        <v/>
      </c>
      <c r="AG449" s="190" t="str">
        <f t="shared" si="108"/>
        <v>D</v>
      </c>
      <c r="AH449" s="190">
        <f>IFERROR(VLOOKUP(Y449,SISP_Deflatores_e_INMs!B$4:F$49,3,FALSE),1)</f>
        <v>1</v>
      </c>
      <c r="AI449" s="190">
        <f>IFERROR(VLOOKUP(Y449,SISP_Deflatores_e_INMs!B$4:G$49,5,FALSE),1)</f>
        <v>1</v>
      </c>
      <c r="AJ449" s="191" t="str">
        <f t="shared" si="120"/>
        <v/>
      </c>
      <c r="AK449" s="237" t="str">
        <f t="shared" si="109"/>
        <v/>
      </c>
      <c r="AL449" s="237" t="str">
        <f t="shared" si="121"/>
        <v/>
      </c>
      <c r="AM449" s="192" t="e">
        <f t="shared" si="110"/>
        <v>#VALUE!</v>
      </c>
      <c r="AN449" s="193" t="e">
        <f t="shared" si="111"/>
        <v>#VALUE!</v>
      </c>
      <c r="AO449" s="193" t="e">
        <f t="shared" si="112"/>
        <v>#VALUE!</v>
      </c>
      <c r="AP449" s="193"/>
      <c r="AQ449" s="204"/>
      <c r="AR449" s="204"/>
      <c r="AS449" s="204"/>
      <c r="AT449" s="205"/>
      <c r="AU449"/>
    </row>
    <row r="450" spans="2:47" ht="15" customHeight="1" x14ac:dyDescent="0.25">
      <c r="B450" s="206"/>
      <c r="C450" s="185"/>
      <c r="D450" s="164"/>
      <c r="E450" s="174"/>
      <c r="F450" s="164"/>
      <c r="G450" s="174"/>
      <c r="H450" s="164"/>
      <c r="I450" s="174"/>
      <c r="J450" s="184"/>
      <c r="K450" s="186"/>
      <c r="L450" s="187" t="str">
        <f t="shared" si="113"/>
        <v/>
      </c>
      <c r="M450" s="187" t="str">
        <f t="shared" si="114"/>
        <v/>
      </c>
      <c r="N450" s="187" t="str">
        <f t="shared" si="106"/>
        <v>D</v>
      </c>
      <c r="O450" s="187" t="str">
        <f t="shared" si="115"/>
        <v>D</v>
      </c>
      <c r="P450" s="187">
        <f t="shared" si="116"/>
        <v>1</v>
      </c>
      <c r="Q450" s="187">
        <f>IFERROR(VLOOKUP(E450,Tabela_Deflator:E$43,5,FALSE),1)</f>
        <v>1</v>
      </c>
      <c r="R450" s="188" t="str">
        <f t="shared" si="117"/>
        <v/>
      </c>
      <c r="S450" s="237" t="str">
        <f t="shared" si="107"/>
        <v/>
      </c>
      <c r="T450" s="237" t="str">
        <f t="shared" si="122"/>
        <v/>
      </c>
      <c r="U450" s="189"/>
      <c r="V450" s="167"/>
      <c r="W450" s="165"/>
      <c r="X450" s="164"/>
      <c r="Y450" s="164"/>
      <c r="Z450" s="164"/>
      <c r="AA450" s="174"/>
      <c r="AB450" s="164"/>
      <c r="AC450" s="174"/>
      <c r="AD450" s="184"/>
      <c r="AE450" s="190" t="str">
        <f t="shared" si="118"/>
        <v/>
      </c>
      <c r="AF450" s="190" t="str">
        <f t="shared" si="119"/>
        <v/>
      </c>
      <c r="AG450" s="190" t="str">
        <f t="shared" si="108"/>
        <v>D</v>
      </c>
      <c r="AH450" s="190">
        <f>IFERROR(VLOOKUP(Y450,SISP_Deflatores_e_INMs!B$4:F$49,3,FALSE),1)</f>
        <v>1</v>
      </c>
      <c r="AI450" s="190">
        <f>IFERROR(VLOOKUP(Y450,SISP_Deflatores_e_INMs!B$4:G$49,5,FALSE),1)</f>
        <v>1</v>
      </c>
      <c r="AJ450" s="191" t="str">
        <f t="shared" si="120"/>
        <v/>
      </c>
      <c r="AK450" s="237" t="str">
        <f t="shared" si="109"/>
        <v/>
      </c>
      <c r="AL450" s="237" t="str">
        <f t="shared" si="121"/>
        <v/>
      </c>
      <c r="AM450" s="192" t="e">
        <f t="shared" si="110"/>
        <v>#VALUE!</v>
      </c>
      <c r="AN450" s="193" t="e">
        <f t="shared" si="111"/>
        <v>#VALUE!</v>
      </c>
      <c r="AO450" s="193" t="e">
        <f t="shared" si="112"/>
        <v>#VALUE!</v>
      </c>
      <c r="AP450" s="193"/>
      <c r="AQ450" s="204"/>
      <c r="AR450" s="204"/>
      <c r="AS450" s="204"/>
      <c r="AT450" s="205"/>
      <c r="AU450"/>
    </row>
    <row r="451" spans="2:47" ht="15" customHeight="1" x14ac:dyDescent="0.25">
      <c r="B451" s="206"/>
      <c r="C451" s="185"/>
      <c r="D451" s="164"/>
      <c r="E451" s="174"/>
      <c r="F451" s="164"/>
      <c r="G451" s="174"/>
      <c r="H451" s="164"/>
      <c r="I451" s="174"/>
      <c r="J451" s="184"/>
      <c r="K451" s="186"/>
      <c r="L451" s="187" t="str">
        <f t="shared" si="113"/>
        <v/>
      </c>
      <c r="M451" s="187" t="str">
        <f t="shared" si="114"/>
        <v/>
      </c>
      <c r="N451" s="187" t="str">
        <f t="shared" si="106"/>
        <v>D</v>
      </c>
      <c r="O451" s="187" t="str">
        <f t="shared" si="115"/>
        <v>D</v>
      </c>
      <c r="P451" s="187">
        <f t="shared" si="116"/>
        <v>1</v>
      </c>
      <c r="Q451" s="187">
        <f>IFERROR(VLOOKUP(E451,Tabela_Deflator:E$43,5,FALSE),1)</f>
        <v>1</v>
      </c>
      <c r="R451" s="188" t="str">
        <f t="shared" si="117"/>
        <v/>
      </c>
      <c r="S451" s="237" t="str">
        <f t="shared" si="107"/>
        <v/>
      </c>
      <c r="T451" s="237" t="str">
        <f t="shared" si="122"/>
        <v/>
      </c>
      <c r="U451" s="189"/>
      <c r="V451" s="167"/>
      <c r="W451" s="165"/>
      <c r="X451" s="164"/>
      <c r="Y451" s="164"/>
      <c r="Z451" s="164"/>
      <c r="AA451" s="174"/>
      <c r="AB451" s="164"/>
      <c r="AC451" s="174"/>
      <c r="AD451" s="184"/>
      <c r="AE451" s="190" t="str">
        <f t="shared" si="118"/>
        <v/>
      </c>
      <c r="AF451" s="190" t="str">
        <f t="shared" si="119"/>
        <v/>
      </c>
      <c r="AG451" s="190" t="str">
        <f t="shared" si="108"/>
        <v>D</v>
      </c>
      <c r="AH451" s="190">
        <f>IFERROR(VLOOKUP(Y451,SISP_Deflatores_e_INMs!B$4:F$49,3,FALSE),1)</f>
        <v>1</v>
      </c>
      <c r="AI451" s="190">
        <f>IFERROR(VLOOKUP(Y451,SISP_Deflatores_e_INMs!B$4:G$49,5,FALSE),1)</f>
        <v>1</v>
      </c>
      <c r="AJ451" s="191" t="str">
        <f t="shared" si="120"/>
        <v/>
      </c>
      <c r="AK451" s="237" t="str">
        <f t="shared" si="109"/>
        <v/>
      </c>
      <c r="AL451" s="237" t="str">
        <f t="shared" si="121"/>
        <v/>
      </c>
      <c r="AM451" s="192" t="e">
        <f t="shared" si="110"/>
        <v>#VALUE!</v>
      </c>
      <c r="AN451" s="193" t="e">
        <f t="shared" si="111"/>
        <v>#VALUE!</v>
      </c>
      <c r="AO451" s="193" t="e">
        <f t="shared" si="112"/>
        <v>#VALUE!</v>
      </c>
      <c r="AP451" s="193"/>
      <c r="AQ451" s="204"/>
      <c r="AR451" s="204"/>
      <c r="AS451" s="204"/>
      <c r="AT451" s="205"/>
      <c r="AU451"/>
    </row>
    <row r="452" spans="2:47" ht="15" customHeight="1" x14ac:dyDescent="0.25">
      <c r="B452" s="206"/>
      <c r="C452" s="185"/>
      <c r="D452" s="164"/>
      <c r="E452" s="174"/>
      <c r="F452" s="164"/>
      <c r="G452" s="174"/>
      <c r="H452" s="164"/>
      <c r="I452" s="174"/>
      <c r="J452" s="184"/>
      <c r="K452" s="186"/>
      <c r="L452" s="187" t="str">
        <f t="shared" si="113"/>
        <v/>
      </c>
      <c r="M452" s="187" t="str">
        <f t="shared" si="114"/>
        <v/>
      </c>
      <c r="N452" s="187" t="str">
        <f t="shared" ref="N452:N515" si="123">IF(Tipo_de_contagem="Contagem Detalhada","D",IF(Tipo_de_contagem="Contagem Estimada","E","S"))</f>
        <v>D</v>
      </c>
      <c r="O452" s="187" t="str">
        <f t="shared" si="115"/>
        <v>D</v>
      </c>
      <c r="P452" s="187">
        <f t="shared" si="116"/>
        <v>1</v>
      </c>
      <c r="Q452" s="187">
        <f>IFERROR(VLOOKUP(E452,Tabela_Deflator:E$43,5,FALSE),1)</f>
        <v>1</v>
      </c>
      <c r="R452" s="188" t="str">
        <f t="shared" si="117"/>
        <v/>
      </c>
      <c r="S452" s="237" t="str">
        <f t="shared" ref="S452:S515" si="124">IF(D452="N/A","",IF(D452="","",IFERROR(IF(D452="INM",P452*J452,VLOOKUP(O452,Tabela_Pontuação,2,FALSE)),0)))</f>
        <v/>
      </c>
      <c r="T452" s="237" t="str">
        <f t="shared" si="122"/>
        <v/>
      </c>
      <c r="U452" s="189"/>
      <c r="V452" s="167"/>
      <c r="W452" s="165"/>
      <c r="X452" s="164"/>
      <c r="Y452" s="164"/>
      <c r="Z452" s="164"/>
      <c r="AA452" s="174"/>
      <c r="AB452" s="164"/>
      <c r="AC452" s="174"/>
      <c r="AD452" s="184"/>
      <c r="AE452" s="190" t="str">
        <f t="shared" si="118"/>
        <v/>
      </c>
      <c r="AF452" s="190" t="str">
        <f t="shared" si="119"/>
        <v/>
      </c>
      <c r="AG452" s="190" t="str">
        <f t="shared" ref="AG452:AG515" si="125">IF(N452="S",X452,CONCATENATE(X452,AE452,N452))</f>
        <v>D</v>
      </c>
      <c r="AH452" s="190">
        <f>IFERROR(VLOOKUP(Y452,SISP_Deflatores_e_INMs!B$4:F$49,3,FALSE),1)</f>
        <v>1</v>
      </c>
      <c r="AI452" s="190">
        <f>IFERROR(VLOOKUP(Y452,SISP_Deflatores_e_INMs!B$4:G$49,5,FALSE),1)</f>
        <v>1</v>
      </c>
      <c r="AJ452" s="191" t="str">
        <f t="shared" si="120"/>
        <v/>
      </c>
      <c r="AK452" s="237" t="str">
        <f t="shared" ref="AK452:AK515" si="126">IFERROR(IF(X452="INM",AH452*AD452,VLOOKUP(AG452,Tabela_Pontuação,2,FALSE)),"")</f>
        <v/>
      </c>
      <c r="AL452" s="237" t="str">
        <f t="shared" si="121"/>
        <v/>
      </c>
      <c r="AM452" s="192" t="e">
        <f t="shared" ref="AM452:AM515" si="127">IF(S452&lt;=0,0,AK452-S452)</f>
        <v>#VALUE!</v>
      </c>
      <c r="AN452" s="193" t="e">
        <f t="shared" ref="AN452:AN515" si="128">AM452/S452</f>
        <v>#VALUE!</v>
      </c>
      <c r="AO452" s="193" t="e">
        <f t="shared" ref="AO452:AO515" si="129">IF(T452&lt;=0,0,AL452-T452)</f>
        <v>#VALUE!</v>
      </c>
      <c r="AP452" s="193"/>
      <c r="AQ452" s="204"/>
      <c r="AR452" s="204"/>
      <c r="AS452" s="204"/>
      <c r="AT452" s="205"/>
      <c r="AU452"/>
    </row>
    <row r="453" spans="2:47" ht="15" customHeight="1" x14ac:dyDescent="0.25">
      <c r="B453" s="206"/>
      <c r="C453" s="185"/>
      <c r="D453" s="164"/>
      <c r="E453" s="174"/>
      <c r="F453" s="164"/>
      <c r="G453" s="174"/>
      <c r="H453" s="164"/>
      <c r="I453" s="174"/>
      <c r="J453" s="184"/>
      <c r="K453" s="186"/>
      <c r="L453" s="187" t="str">
        <f t="shared" ref="L453:L516" si="130">IF(OR(ISBLANK(F453),ISBLANK(H453)),IF(OR(D453="ALI",D453="AIE"),"L",IF(ISBLANK(D453),"","A")),IF(D453="EE",IF(H453&gt;=3,IF(F453&gt;=5,"H","A"),IF(H453&gt;=2,IF(F453&gt;=16,"H",IF(F453&lt;=4,"L","A")),IF(F453&lt;=15,"L","A"))),IF(OR(D453="SE",D453="CE"),IF(H453&gt;=4,IF(F453&gt;=6,"H","A"),IF(H453&gt;=2,IF(F453&gt;=20,"H",IF(F453&lt;=5,"L","A")),IF(F453&lt;=19,"L","A"))),IF(OR(D453="ALI",D453="AIE"),IF(H453&gt;=6,IF(F453&gt;=20,"H","A"),IF(H453&gt;=2,IF(F453&gt;=51,"H",IF(F453&lt;=19,"L","A")),IF(F453&lt;=50,"L","A")))))))</f>
        <v/>
      </c>
      <c r="M453" s="187" t="str">
        <f t="shared" ref="M453:M516" si="131">CONCATENATE(D453,L453)</f>
        <v/>
      </c>
      <c r="N453" s="187" t="str">
        <f t="shared" si="123"/>
        <v>D</v>
      </c>
      <c r="O453" s="187" t="str">
        <f t="shared" ref="O453:O516" si="132">IF(N453="S",D453,CONCATENATE(D453,L453,N453))</f>
        <v>D</v>
      </c>
      <c r="P453" s="187">
        <f t="shared" ref="P453:P516" si="133">IFERROR(VLOOKUP(E453,Tabela_Deflator,3,FALSE),1)</f>
        <v>1</v>
      </c>
      <c r="Q453" s="187">
        <f>IFERROR(VLOOKUP(E453,Tabela_Deflator:E$43,5,FALSE),1)</f>
        <v>1</v>
      </c>
      <c r="R453" s="188" t="str">
        <f t="shared" ref="R453:R516" si="134">IF(OR(D453="INM",D453="N/A"),"",IF(L453="L","Baixa",IF(L453="A","Média",IF(L453="","","Alta"))))</f>
        <v/>
      </c>
      <c r="S453" s="237" t="str">
        <f t="shared" si="124"/>
        <v/>
      </c>
      <c r="T453" s="237" t="str">
        <f t="shared" si="122"/>
        <v/>
      </c>
      <c r="U453" s="189"/>
      <c r="V453" s="167"/>
      <c r="W453" s="165"/>
      <c r="X453" s="164"/>
      <c r="Y453" s="164"/>
      <c r="Z453" s="164"/>
      <c r="AA453" s="174"/>
      <c r="AB453" s="164"/>
      <c r="AC453" s="174"/>
      <c r="AD453" s="184"/>
      <c r="AE453" s="190" t="str">
        <f t="shared" ref="AE453:AE516" si="135">IF(OR(ISBLANK(Z453),ISBLANK(AB453)),IF(OR(X453="ALI",X453="AIE"),"L",IF(ISBLANK(X453),"","A")),IF(X453="EE",IF(AB453&gt;=3,IF(Z453&gt;=5,"H","A"),IF(AB453&gt;=2,IF(Z453&gt;=16,"H",IF(Z453&lt;=4,"L","A")),IF(Z453&lt;=15,"L","A"))),IF(OR(X453="SE",X453="CE"),IF(AB453&gt;=4,IF(Z453&gt;=6,"H","A"),IF(AB453&gt;=2,IF(Z453&gt;=20,"H",IF(Z453&lt;=5,"L","A")),IF(Z453&lt;=19,"L","A"))),IF(OR(X453="ALI",X453="AIE"),IF(AB453&gt;=6,IF(Z453&gt;=20,"H","A"),IF(AB453&gt;=2,IF(Z453&gt;=51,"H",IF(Z453&lt;=19,"L","A")),IF(Z453&lt;=50,"L","A")))))))</f>
        <v/>
      </c>
      <c r="AF453" s="190" t="str">
        <f t="shared" ref="AF453:AF516" si="136">CONCATENATE(X453,AE453)</f>
        <v/>
      </c>
      <c r="AG453" s="190" t="str">
        <f t="shared" si="125"/>
        <v>D</v>
      </c>
      <c r="AH453" s="190">
        <f>IFERROR(VLOOKUP(Y453,SISP_Deflatores_e_INMs!B$4:F$49,3,FALSE),1)</f>
        <v>1</v>
      </c>
      <c r="AI453" s="190">
        <f>IFERROR(VLOOKUP(Y453,SISP_Deflatores_e_INMs!B$4:G$49,5,FALSE),1)</f>
        <v>1</v>
      </c>
      <c r="AJ453" s="191" t="str">
        <f t="shared" ref="AJ453:AJ516" si="137">IF(OR(X453="INM",X453="N/A"),"",IF(AE453="L","Baixa",IF(AE453="A","Média",IF(AE453="","","Alta"))))</f>
        <v/>
      </c>
      <c r="AK453" s="237" t="str">
        <f t="shared" si="126"/>
        <v/>
      </c>
      <c r="AL453" s="237" t="str">
        <f t="shared" ref="AL453:AL516" si="138">IFERROR(IF(OR(ISBLANK(V453),V453="NOK"),"",IF(X453="INM",(1*AH453)*AD453,AK453*AH453)),"")</f>
        <v/>
      </c>
      <c r="AM453" s="192" t="e">
        <f t="shared" si="127"/>
        <v>#VALUE!</v>
      </c>
      <c r="AN453" s="193" t="e">
        <f t="shared" si="128"/>
        <v>#VALUE!</v>
      </c>
      <c r="AO453" s="193" t="e">
        <f t="shared" si="129"/>
        <v>#VALUE!</v>
      </c>
      <c r="AP453" s="193"/>
      <c r="AQ453" s="204"/>
      <c r="AR453" s="204"/>
      <c r="AS453" s="204"/>
      <c r="AT453" s="205"/>
      <c r="AU453"/>
    </row>
    <row r="454" spans="2:47" ht="15" customHeight="1" x14ac:dyDescent="0.25">
      <c r="B454" s="206"/>
      <c r="C454" s="185"/>
      <c r="D454" s="164"/>
      <c r="E454" s="174"/>
      <c r="F454" s="164"/>
      <c r="G454" s="174"/>
      <c r="H454" s="164"/>
      <c r="I454" s="174"/>
      <c r="J454" s="184"/>
      <c r="K454" s="186"/>
      <c r="L454" s="187" t="str">
        <f t="shared" si="130"/>
        <v/>
      </c>
      <c r="M454" s="187" t="str">
        <f t="shared" si="131"/>
        <v/>
      </c>
      <c r="N454" s="187" t="str">
        <f t="shared" si="123"/>
        <v>D</v>
      </c>
      <c r="O454" s="187" t="str">
        <f t="shared" si="132"/>
        <v>D</v>
      </c>
      <c r="P454" s="187">
        <f t="shared" si="133"/>
        <v>1</v>
      </c>
      <c r="Q454" s="187">
        <f>IFERROR(VLOOKUP(E454,Tabela_Deflator:E$43,5,FALSE),1)</f>
        <v>1</v>
      </c>
      <c r="R454" s="188" t="str">
        <f t="shared" si="134"/>
        <v/>
      </c>
      <c r="S454" s="237" t="str">
        <f t="shared" si="124"/>
        <v/>
      </c>
      <c r="T454" s="237" t="str">
        <f t="shared" ref="T454:T517" si="139" xml:space="preserve"> IF(D454="N/A","",IF(D454="","",IF(D454="INM",(1*P454)*J454,S454*P454)))</f>
        <v/>
      </c>
      <c r="U454" s="189"/>
      <c r="V454" s="167"/>
      <c r="W454" s="165"/>
      <c r="X454" s="164"/>
      <c r="Y454" s="164"/>
      <c r="Z454" s="164"/>
      <c r="AA454" s="174"/>
      <c r="AB454" s="164"/>
      <c r="AC454" s="174"/>
      <c r="AD454" s="184"/>
      <c r="AE454" s="190" t="str">
        <f t="shared" si="135"/>
        <v/>
      </c>
      <c r="AF454" s="190" t="str">
        <f t="shared" si="136"/>
        <v/>
      </c>
      <c r="AG454" s="190" t="str">
        <f t="shared" si="125"/>
        <v>D</v>
      </c>
      <c r="AH454" s="190">
        <f>IFERROR(VLOOKUP(Y454,SISP_Deflatores_e_INMs!B$4:F$49,3,FALSE),1)</f>
        <v>1</v>
      </c>
      <c r="AI454" s="190">
        <f>IFERROR(VLOOKUP(Y454,SISP_Deflatores_e_INMs!B$4:G$49,5,FALSE),1)</f>
        <v>1</v>
      </c>
      <c r="AJ454" s="191" t="str">
        <f t="shared" si="137"/>
        <v/>
      </c>
      <c r="AK454" s="237" t="str">
        <f t="shared" si="126"/>
        <v/>
      </c>
      <c r="AL454" s="237" t="str">
        <f t="shared" si="138"/>
        <v/>
      </c>
      <c r="AM454" s="192" t="e">
        <f t="shared" si="127"/>
        <v>#VALUE!</v>
      </c>
      <c r="AN454" s="193" t="e">
        <f t="shared" si="128"/>
        <v>#VALUE!</v>
      </c>
      <c r="AO454" s="193" t="e">
        <f t="shared" si="129"/>
        <v>#VALUE!</v>
      </c>
      <c r="AP454" s="193"/>
      <c r="AQ454" s="204"/>
      <c r="AR454" s="204"/>
      <c r="AS454" s="204"/>
      <c r="AT454" s="205"/>
      <c r="AU454"/>
    </row>
    <row r="455" spans="2:47" ht="15" customHeight="1" x14ac:dyDescent="0.25">
      <c r="B455" s="206"/>
      <c r="C455" s="185"/>
      <c r="D455" s="164"/>
      <c r="E455" s="174"/>
      <c r="F455" s="164"/>
      <c r="G455" s="174"/>
      <c r="H455" s="164"/>
      <c r="I455" s="174"/>
      <c r="J455" s="184"/>
      <c r="K455" s="186"/>
      <c r="L455" s="187" t="str">
        <f t="shared" si="130"/>
        <v/>
      </c>
      <c r="M455" s="187" t="str">
        <f t="shared" si="131"/>
        <v/>
      </c>
      <c r="N455" s="187" t="str">
        <f t="shared" si="123"/>
        <v>D</v>
      </c>
      <c r="O455" s="187" t="str">
        <f t="shared" si="132"/>
        <v>D</v>
      </c>
      <c r="P455" s="187">
        <f t="shared" si="133"/>
        <v>1</v>
      </c>
      <c r="Q455" s="187">
        <f>IFERROR(VLOOKUP(E455,Tabela_Deflator:E$43,5,FALSE),1)</f>
        <v>1</v>
      </c>
      <c r="R455" s="188" t="str">
        <f t="shared" si="134"/>
        <v/>
      </c>
      <c r="S455" s="237" t="str">
        <f t="shared" si="124"/>
        <v/>
      </c>
      <c r="T455" s="237" t="str">
        <f t="shared" si="139"/>
        <v/>
      </c>
      <c r="U455" s="189"/>
      <c r="V455" s="167"/>
      <c r="W455" s="165"/>
      <c r="X455" s="164"/>
      <c r="Y455" s="164"/>
      <c r="Z455" s="164"/>
      <c r="AA455" s="174"/>
      <c r="AB455" s="164"/>
      <c r="AC455" s="174"/>
      <c r="AD455" s="184"/>
      <c r="AE455" s="190" t="str">
        <f t="shared" si="135"/>
        <v/>
      </c>
      <c r="AF455" s="190" t="str">
        <f t="shared" si="136"/>
        <v/>
      </c>
      <c r="AG455" s="190" t="str">
        <f t="shared" si="125"/>
        <v>D</v>
      </c>
      <c r="AH455" s="190">
        <f>IFERROR(VLOOKUP(Y455,SISP_Deflatores_e_INMs!B$4:F$49,3,FALSE),1)</f>
        <v>1</v>
      </c>
      <c r="AI455" s="190">
        <f>IFERROR(VLOOKUP(Y455,SISP_Deflatores_e_INMs!B$4:G$49,5,FALSE),1)</f>
        <v>1</v>
      </c>
      <c r="AJ455" s="191" t="str">
        <f t="shared" si="137"/>
        <v/>
      </c>
      <c r="AK455" s="237" t="str">
        <f t="shared" si="126"/>
        <v/>
      </c>
      <c r="AL455" s="237" t="str">
        <f t="shared" si="138"/>
        <v/>
      </c>
      <c r="AM455" s="192" t="e">
        <f t="shared" si="127"/>
        <v>#VALUE!</v>
      </c>
      <c r="AN455" s="193" t="e">
        <f t="shared" si="128"/>
        <v>#VALUE!</v>
      </c>
      <c r="AO455" s="193" t="e">
        <f t="shared" si="129"/>
        <v>#VALUE!</v>
      </c>
      <c r="AP455" s="193"/>
      <c r="AQ455" s="204"/>
      <c r="AR455" s="204"/>
      <c r="AS455" s="204"/>
      <c r="AT455" s="205"/>
      <c r="AU455"/>
    </row>
    <row r="456" spans="2:47" ht="15" customHeight="1" x14ac:dyDescent="0.25">
      <c r="B456" s="206"/>
      <c r="C456" s="185"/>
      <c r="D456" s="164"/>
      <c r="E456" s="174"/>
      <c r="F456" s="164"/>
      <c r="G456" s="174"/>
      <c r="H456" s="164"/>
      <c r="I456" s="174"/>
      <c r="J456" s="184"/>
      <c r="K456" s="186"/>
      <c r="L456" s="187" t="str">
        <f t="shared" si="130"/>
        <v/>
      </c>
      <c r="M456" s="187" t="str">
        <f t="shared" si="131"/>
        <v/>
      </c>
      <c r="N456" s="187" t="str">
        <f t="shared" si="123"/>
        <v>D</v>
      </c>
      <c r="O456" s="187" t="str">
        <f t="shared" si="132"/>
        <v>D</v>
      </c>
      <c r="P456" s="187">
        <f t="shared" si="133"/>
        <v>1</v>
      </c>
      <c r="Q456" s="187">
        <f>IFERROR(VLOOKUP(E456,Tabela_Deflator:E$43,5,FALSE),1)</f>
        <v>1</v>
      </c>
      <c r="R456" s="188" t="str">
        <f t="shared" si="134"/>
        <v/>
      </c>
      <c r="S456" s="237" t="str">
        <f t="shared" si="124"/>
        <v/>
      </c>
      <c r="T456" s="237" t="str">
        <f t="shared" si="139"/>
        <v/>
      </c>
      <c r="U456" s="189"/>
      <c r="V456" s="167"/>
      <c r="W456" s="165"/>
      <c r="X456" s="164"/>
      <c r="Y456" s="164"/>
      <c r="Z456" s="164"/>
      <c r="AA456" s="174"/>
      <c r="AB456" s="164"/>
      <c r="AC456" s="174"/>
      <c r="AD456" s="184"/>
      <c r="AE456" s="190" t="str">
        <f t="shared" si="135"/>
        <v/>
      </c>
      <c r="AF456" s="190" t="str">
        <f t="shared" si="136"/>
        <v/>
      </c>
      <c r="AG456" s="190" t="str">
        <f t="shared" si="125"/>
        <v>D</v>
      </c>
      <c r="AH456" s="190">
        <f>IFERROR(VLOOKUP(Y456,SISP_Deflatores_e_INMs!B$4:F$49,3,FALSE),1)</f>
        <v>1</v>
      </c>
      <c r="AI456" s="190">
        <f>IFERROR(VLOOKUP(Y456,SISP_Deflatores_e_INMs!B$4:G$49,5,FALSE),1)</f>
        <v>1</v>
      </c>
      <c r="AJ456" s="191" t="str">
        <f t="shared" si="137"/>
        <v/>
      </c>
      <c r="AK456" s="237" t="str">
        <f t="shared" si="126"/>
        <v/>
      </c>
      <c r="AL456" s="237" t="str">
        <f t="shared" si="138"/>
        <v/>
      </c>
      <c r="AM456" s="192" t="e">
        <f t="shared" si="127"/>
        <v>#VALUE!</v>
      </c>
      <c r="AN456" s="193" t="e">
        <f t="shared" si="128"/>
        <v>#VALUE!</v>
      </c>
      <c r="AO456" s="193" t="e">
        <f t="shared" si="129"/>
        <v>#VALUE!</v>
      </c>
      <c r="AP456" s="193"/>
      <c r="AQ456" s="204"/>
      <c r="AR456" s="204"/>
      <c r="AS456" s="204"/>
      <c r="AT456" s="205"/>
      <c r="AU456"/>
    </row>
    <row r="457" spans="2:47" ht="15" customHeight="1" x14ac:dyDescent="0.25">
      <c r="B457" s="206"/>
      <c r="C457" s="185"/>
      <c r="D457" s="164"/>
      <c r="E457" s="174"/>
      <c r="F457" s="164"/>
      <c r="G457" s="174"/>
      <c r="H457" s="164"/>
      <c r="I457" s="174"/>
      <c r="J457" s="184"/>
      <c r="K457" s="186"/>
      <c r="L457" s="187" t="str">
        <f t="shared" si="130"/>
        <v/>
      </c>
      <c r="M457" s="187" t="str">
        <f t="shared" si="131"/>
        <v/>
      </c>
      <c r="N457" s="187" t="str">
        <f t="shared" si="123"/>
        <v>D</v>
      </c>
      <c r="O457" s="187" t="str">
        <f t="shared" si="132"/>
        <v>D</v>
      </c>
      <c r="P457" s="187">
        <f t="shared" si="133"/>
        <v>1</v>
      </c>
      <c r="Q457" s="187">
        <f>IFERROR(VLOOKUP(E457,Tabela_Deflator:E$43,5,FALSE),1)</f>
        <v>1</v>
      </c>
      <c r="R457" s="188" t="str">
        <f t="shared" si="134"/>
        <v/>
      </c>
      <c r="S457" s="237" t="str">
        <f t="shared" si="124"/>
        <v/>
      </c>
      <c r="T457" s="237" t="str">
        <f t="shared" si="139"/>
        <v/>
      </c>
      <c r="U457" s="189"/>
      <c r="V457" s="167"/>
      <c r="W457" s="165"/>
      <c r="X457" s="164"/>
      <c r="Y457" s="164"/>
      <c r="Z457" s="164"/>
      <c r="AA457" s="174"/>
      <c r="AB457" s="164"/>
      <c r="AC457" s="174"/>
      <c r="AD457" s="184"/>
      <c r="AE457" s="190" t="str">
        <f t="shared" si="135"/>
        <v/>
      </c>
      <c r="AF457" s="190" t="str">
        <f t="shared" si="136"/>
        <v/>
      </c>
      <c r="AG457" s="190" t="str">
        <f t="shared" si="125"/>
        <v>D</v>
      </c>
      <c r="AH457" s="190">
        <f>IFERROR(VLOOKUP(Y457,SISP_Deflatores_e_INMs!B$4:F$49,3,FALSE),1)</f>
        <v>1</v>
      </c>
      <c r="AI457" s="190">
        <f>IFERROR(VLOOKUP(Y457,SISP_Deflatores_e_INMs!B$4:G$49,5,FALSE),1)</f>
        <v>1</v>
      </c>
      <c r="AJ457" s="191" t="str">
        <f t="shared" si="137"/>
        <v/>
      </c>
      <c r="AK457" s="237" t="str">
        <f t="shared" si="126"/>
        <v/>
      </c>
      <c r="AL457" s="237" t="str">
        <f t="shared" si="138"/>
        <v/>
      </c>
      <c r="AM457" s="192" t="e">
        <f t="shared" si="127"/>
        <v>#VALUE!</v>
      </c>
      <c r="AN457" s="193" t="e">
        <f t="shared" si="128"/>
        <v>#VALUE!</v>
      </c>
      <c r="AO457" s="193" t="e">
        <f t="shared" si="129"/>
        <v>#VALUE!</v>
      </c>
      <c r="AP457" s="193"/>
      <c r="AQ457" s="204"/>
      <c r="AR457" s="204"/>
      <c r="AS457" s="204"/>
      <c r="AT457" s="205"/>
      <c r="AU457"/>
    </row>
    <row r="458" spans="2:47" ht="15" customHeight="1" x14ac:dyDescent="0.25">
      <c r="B458" s="206"/>
      <c r="C458" s="185"/>
      <c r="D458" s="164"/>
      <c r="E458" s="174"/>
      <c r="F458" s="164"/>
      <c r="G458" s="174"/>
      <c r="H458" s="164"/>
      <c r="I458" s="174"/>
      <c r="J458" s="184"/>
      <c r="K458" s="186"/>
      <c r="L458" s="187" t="str">
        <f t="shared" si="130"/>
        <v/>
      </c>
      <c r="M458" s="187" t="str">
        <f t="shared" si="131"/>
        <v/>
      </c>
      <c r="N458" s="187" t="str">
        <f t="shared" si="123"/>
        <v>D</v>
      </c>
      <c r="O458" s="187" t="str">
        <f t="shared" si="132"/>
        <v>D</v>
      </c>
      <c r="P458" s="187">
        <f t="shared" si="133"/>
        <v>1</v>
      </c>
      <c r="Q458" s="187">
        <f>IFERROR(VLOOKUP(E458,Tabela_Deflator:E$43,5,FALSE),1)</f>
        <v>1</v>
      </c>
      <c r="R458" s="188" t="str">
        <f t="shared" si="134"/>
        <v/>
      </c>
      <c r="S458" s="237" t="str">
        <f t="shared" si="124"/>
        <v/>
      </c>
      <c r="T458" s="237" t="str">
        <f t="shared" si="139"/>
        <v/>
      </c>
      <c r="U458" s="189"/>
      <c r="V458" s="167"/>
      <c r="W458" s="165"/>
      <c r="X458" s="164"/>
      <c r="Y458" s="164"/>
      <c r="Z458" s="164"/>
      <c r="AA458" s="174"/>
      <c r="AB458" s="164"/>
      <c r="AC458" s="174"/>
      <c r="AD458" s="184"/>
      <c r="AE458" s="190" t="str">
        <f t="shared" si="135"/>
        <v/>
      </c>
      <c r="AF458" s="190" t="str">
        <f t="shared" si="136"/>
        <v/>
      </c>
      <c r="AG458" s="190" t="str">
        <f t="shared" si="125"/>
        <v>D</v>
      </c>
      <c r="AH458" s="190">
        <f>IFERROR(VLOOKUP(Y458,SISP_Deflatores_e_INMs!B$4:F$49,3,FALSE),1)</f>
        <v>1</v>
      </c>
      <c r="AI458" s="190">
        <f>IFERROR(VLOOKUP(Y458,SISP_Deflatores_e_INMs!B$4:G$49,5,FALSE),1)</f>
        <v>1</v>
      </c>
      <c r="AJ458" s="191" t="str">
        <f t="shared" si="137"/>
        <v/>
      </c>
      <c r="AK458" s="237" t="str">
        <f t="shared" si="126"/>
        <v/>
      </c>
      <c r="AL458" s="237" t="str">
        <f t="shared" si="138"/>
        <v/>
      </c>
      <c r="AM458" s="192" t="e">
        <f t="shared" si="127"/>
        <v>#VALUE!</v>
      </c>
      <c r="AN458" s="193" t="e">
        <f t="shared" si="128"/>
        <v>#VALUE!</v>
      </c>
      <c r="AO458" s="193" t="e">
        <f t="shared" si="129"/>
        <v>#VALUE!</v>
      </c>
      <c r="AP458" s="193"/>
      <c r="AQ458" s="204"/>
      <c r="AR458" s="204"/>
      <c r="AS458" s="204"/>
      <c r="AT458" s="205"/>
      <c r="AU458"/>
    </row>
    <row r="459" spans="2:47" ht="15" customHeight="1" x14ac:dyDescent="0.25">
      <c r="B459" s="206"/>
      <c r="C459" s="185"/>
      <c r="D459" s="164"/>
      <c r="E459" s="174"/>
      <c r="F459" s="164"/>
      <c r="G459" s="174"/>
      <c r="H459" s="164"/>
      <c r="I459" s="174"/>
      <c r="J459" s="184"/>
      <c r="K459" s="186"/>
      <c r="L459" s="187" t="str">
        <f t="shared" si="130"/>
        <v/>
      </c>
      <c r="M459" s="187" t="str">
        <f t="shared" si="131"/>
        <v/>
      </c>
      <c r="N459" s="187" t="str">
        <f t="shared" si="123"/>
        <v>D</v>
      </c>
      <c r="O459" s="187" t="str">
        <f t="shared" si="132"/>
        <v>D</v>
      </c>
      <c r="P459" s="187">
        <f t="shared" si="133"/>
        <v>1</v>
      </c>
      <c r="Q459" s="187">
        <f>IFERROR(VLOOKUP(E459,Tabela_Deflator:E$43,5,FALSE),1)</f>
        <v>1</v>
      </c>
      <c r="R459" s="188" t="str">
        <f t="shared" si="134"/>
        <v/>
      </c>
      <c r="S459" s="237" t="str">
        <f t="shared" si="124"/>
        <v/>
      </c>
      <c r="T459" s="237" t="str">
        <f t="shared" si="139"/>
        <v/>
      </c>
      <c r="U459" s="189"/>
      <c r="V459" s="167"/>
      <c r="W459" s="165"/>
      <c r="X459" s="164"/>
      <c r="Y459" s="164"/>
      <c r="Z459" s="164"/>
      <c r="AA459" s="174"/>
      <c r="AB459" s="164"/>
      <c r="AC459" s="174"/>
      <c r="AD459" s="184"/>
      <c r="AE459" s="190" t="str">
        <f t="shared" si="135"/>
        <v/>
      </c>
      <c r="AF459" s="190" t="str">
        <f t="shared" si="136"/>
        <v/>
      </c>
      <c r="AG459" s="190" t="str">
        <f t="shared" si="125"/>
        <v>D</v>
      </c>
      <c r="AH459" s="190">
        <f>IFERROR(VLOOKUP(Y459,SISP_Deflatores_e_INMs!B$4:F$49,3,FALSE),1)</f>
        <v>1</v>
      </c>
      <c r="AI459" s="190">
        <f>IFERROR(VLOOKUP(Y459,SISP_Deflatores_e_INMs!B$4:G$49,5,FALSE),1)</f>
        <v>1</v>
      </c>
      <c r="AJ459" s="191" t="str">
        <f t="shared" si="137"/>
        <v/>
      </c>
      <c r="AK459" s="237" t="str">
        <f t="shared" si="126"/>
        <v/>
      </c>
      <c r="AL459" s="237" t="str">
        <f t="shared" si="138"/>
        <v/>
      </c>
      <c r="AM459" s="192" t="e">
        <f t="shared" si="127"/>
        <v>#VALUE!</v>
      </c>
      <c r="AN459" s="193" t="e">
        <f t="shared" si="128"/>
        <v>#VALUE!</v>
      </c>
      <c r="AO459" s="193" t="e">
        <f t="shared" si="129"/>
        <v>#VALUE!</v>
      </c>
      <c r="AP459" s="193"/>
      <c r="AQ459" s="204"/>
      <c r="AR459" s="204"/>
      <c r="AS459" s="204"/>
      <c r="AT459" s="205"/>
      <c r="AU459"/>
    </row>
    <row r="460" spans="2:47" ht="15" customHeight="1" x14ac:dyDescent="0.25">
      <c r="B460" s="206"/>
      <c r="C460" s="185"/>
      <c r="D460" s="164"/>
      <c r="E460" s="174"/>
      <c r="F460" s="164"/>
      <c r="G460" s="174"/>
      <c r="H460" s="164"/>
      <c r="I460" s="174"/>
      <c r="J460" s="184"/>
      <c r="K460" s="186"/>
      <c r="L460" s="187" t="str">
        <f t="shared" si="130"/>
        <v/>
      </c>
      <c r="M460" s="187" t="str">
        <f t="shared" si="131"/>
        <v/>
      </c>
      <c r="N460" s="187" t="str">
        <f t="shared" si="123"/>
        <v>D</v>
      </c>
      <c r="O460" s="187" t="str">
        <f t="shared" si="132"/>
        <v>D</v>
      </c>
      <c r="P460" s="187">
        <f t="shared" si="133"/>
        <v>1</v>
      </c>
      <c r="Q460" s="187">
        <f>IFERROR(VLOOKUP(E460,Tabela_Deflator:E$43,5,FALSE),1)</f>
        <v>1</v>
      </c>
      <c r="R460" s="188" t="str">
        <f t="shared" si="134"/>
        <v/>
      </c>
      <c r="S460" s="237" t="str">
        <f t="shared" si="124"/>
        <v/>
      </c>
      <c r="T460" s="237" t="str">
        <f t="shared" si="139"/>
        <v/>
      </c>
      <c r="U460" s="189"/>
      <c r="V460" s="167"/>
      <c r="W460" s="165"/>
      <c r="X460" s="164"/>
      <c r="Y460" s="164"/>
      <c r="Z460" s="164"/>
      <c r="AA460" s="174"/>
      <c r="AB460" s="164"/>
      <c r="AC460" s="174"/>
      <c r="AD460" s="184"/>
      <c r="AE460" s="190" t="str">
        <f t="shared" si="135"/>
        <v/>
      </c>
      <c r="AF460" s="190" t="str">
        <f t="shared" si="136"/>
        <v/>
      </c>
      <c r="AG460" s="190" t="str">
        <f t="shared" si="125"/>
        <v>D</v>
      </c>
      <c r="AH460" s="190">
        <f>IFERROR(VLOOKUP(Y460,SISP_Deflatores_e_INMs!B$4:F$49,3,FALSE),1)</f>
        <v>1</v>
      </c>
      <c r="AI460" s="190">
        <f>IFERROR(VLOOKUP(Y460,SISP_Deflatores_e_INMs!B$4:G$49,5,FALSE),1)</f>
        <v>1</v>
      </c>
      <c r="AJ460" s="191" t="str">
        <f t="shared" si="137"/>
        <v/>
      </c>
      <c r="AK460" s="237" t="str">
        <f t="shared" si="126"/>
        <v/>
      </c>
      <c r="AL460" s="237" t="str">
        <f t="shared" si="138"/>
        <v/>
      </c>
      <c r="AM460" s="192" t="e">
        <f t="shared" si="127"/>
        <v>#VALUE!</v>
      </c>
      <c r="AN460" s="193" t="e">
        <f t="shared" si="128"/>
        <v>#VALUE!</v>
      </c>
      <c r="AO460" s="193" t="e">
        <f t="shared" si="129"/>
        <v>#VALUE!</v>
      </c>
      <c r="AP460" s="193"/>
      <c r="AQ460" s="204"/>
      <c r="AR460" s="204"/>
      <c r="AS460" s="204"/>
      <c r="AT460" s="205"/>
      <c r="AU460"/>
    </row>
    <row r="461" spans="2:47" ht="15" customHeight="1" x14ac:dyDescent="0.25">
      <c r="B461" s="206"/>
      <c r="C461" s="185"/>
      <c r="D461" s="164"/>
      <c r="E461" s="174"/>
      <c r="F461" s="164"/>
      <c r="G461" s="174"/>
      <c r="H461" s="164"/>
      <c r="I461" s="174"/>
      <c r="J461" s="184"/>
      <c r="K461" s="186"/>
      <c r="L461" s="187" t="str">
        <f t="shared" si="130"/>
        <v/>
      </c>
      <c r="M461" s="187" t="str">
        <f t="shared" si="131"/>
        <v/>
      </c>
      <c r="N461" s="187" t="str">
        <f t="shared" si="123"/>
        <v>D</v>
      </c>
      <c r="O461" s="187" t="str">
        <f t="shared" si="132"/>
        <v>D</v>
      </c>
      <c r="P461" s="187">
        <f t="shared" si="133"/>
        <v>1</v>
      </c>
      <c r="Q461" s="187">
        <f>IFERROR(VLOOKUP(E461,Tabela_Deflator:E$43,5,FALSE),1)</f>
        <v>1</v>
      </c>
      <c r="R461" s="188" t="str">
        <f t="shared" si="134"/>
        <v/>
      </c>
      <c r="S461" s="237" t="str">
        <f t="shared" si="124"/>
        <v/>
      </c>
      <c r="T461" s="237" t="str">
        <f t="shared" si="139"/>
        <v/>
      </c>
      <c r="U461" s="189"/>
      <c r="V461" s="167"/>
      <c r="W461" s="165"/>
      <c r="X461" s="164"/>
      <c r="Y461" s="164"/>
      <c r="Z461" s="164"/>
      <c r="AA461" s="174"/>
      <c r="AB461" s="164"/>
      <c r="AC461" s="174"/>
      <c r="AD461" s="184"/>
      <c r="AE461" s="190" t="str">
        <f t="shared" si="135"/>
        <v/>
      </c>
      <c r="AF461" s="190" t="str">
        <f t="shared" si="136"/>
        <v/>
      </c>
      <c r="AG461" s="190" t="str">
        <f t="shared" si="125"/>
        <v>D</v>
      </c>
      <c r="AH461" s="190">
        <f>IFERROR(VLOOKUP(Y461,SISP_Deflatores_e_INMs!B$4:F$49,3,FALSE),1)</f>
        <v>1</v>
      </c>
      <c r="AI461" s="190">
        <f>IFERROR(VLOOKUP(Y461,SISP_Deflatores_e_INMs!B$4:G$49,5,FALSE),1)</f>
        <v>1</v>
      </c>
      <c r="AJ461" s="191" t="str">
        <f t="shared" si="137"/>
        <v/>
      </c>
      <c r="AK461" s="237" t="str">
        <f t="shared" si="126"/>
        <v/>
      </c>
      <c r="AL461" s="237" t="str">
        <f t="shared" si="138"/>
        <v/>
      </c>
      <c r="AM461" s="192" t="e">
        <f t="shared" si="127"/>
        <v>#VALUE!</v>
      </c>
      <c r="AN461" s="193" t="e">
        <f t="shared" si="128"/>
        <v>#VALUE!</v>
      </c>
      <c r="AO461" s="193" t="e">
        <f t="shared" si="129"/>
        <v>#VALUE!</v>
      </c>
      <c r="AP461" s="193"/>
      <c r="AQ461" s="204"/>
      <c r="AR461" s="204"/>
      <c r="AS461" s="204"/>
      <c r="AT461" s="205"/>
      <c r="AU461"/>
    </row>
    <row r="462" spans="2:47" ht="15" customHeight="1" x14ac:dyDescent="0.25">
      <c r="B462" s="206"/>
      <c r="C462" s="185"/>
      <c r="D462" s="164"/>
      <c r="E462" s="174"/>
      <c r="F462" s="164"/>
      <c r="G462" s="174"/>
      <c r="H462" s="164"/>
      <c r="I462" s="174"/>
      <c r="J462" s="184"/>
      <c r="K462" s="186"/>
      <c r="L462" s="187" t="str">
        <f t="shared" si="130"/>
        <v/>
      </c>
      <c r="M462" s="187" t="str">
        <f t="shared" si="131"/>
        <v/>
      </c>
      <c r="N462" s="187" t="str">
        <f t="shared" si="123"/>
        <v>D</v>
      </c>
      <c r="O462" s="187" t="str">
        <f t="shared" si="132"/>
        <v>D</v>
      </c>
      <c r="P462" s="187">
        <f t="shared" si="133"/>
        <v>1</v>
      </c>
      <c r="Q462" s="187">
        <f>IFERROR(VLOOKUP(E462,Tabela_Deflator:E$43,5,FALSE),1)</f>
        <v>1</v>
      </c>
      <c r="R462" s="188" t="str">
        <f t="shared" si="134"/>
        <v/>
      </c>
      <c r="S462" s="237" t="str">
        <f t="shared" si="124"/>
        <v/>
      </c>
      <c r="T462" s="237" t="str">
        <f t="shared" si="139"/>
        <v/>
      </c>
      <c r="U462" s="189"/>
      <c r="V462" s="167"/>
      <c r="W462" s="165"/>
      <c r="X462" s="164"/>
      <c r="Y462" s="164"/>
      <c r="Z462" s="164"/>
      <c r="AA462" s="174"/>
      <c r="AB462" s="164"/>
      <c r="AC462" s="174"/>
      <c r="AD462" s="184"/>
      <c r="AE462" s="190" t="str">
        <f t="shared" si="135"/>
        <v/>
      </c>
      <c r="AF462" s="190" t="str">
        <f t="shared" si="136"/>
        <v/>
      </c>
      <c r="AG462" s="190" t="str">
        <f t="shared" si="125"/>
        <v>D</v>
      </c>
      <c r="AH462" s="190">
        <f>IFERROR(VLOOKUP(Y462,SISP_Deflatores_e_INMs!B$4:F$49,3,FALSE),1)</f>
        <v>1</v>
      </c>
      <c r="AI462" s="190">
        <f>IFERROR(VLOOKUP(Y462,SISP_Deflatores_e_INMs!B$4:G$49,5,FALSE),1)</f>
        <v>1</v>
      </c>
      <c r="AJ462" s="191" t="str">
        <f t="shared" si="137"/>
        <v/>
      </c>
      <c r="AK462" s="237" t="str">
        <f t="shared" si="126"/>
        <v/>
      </c>
      <c r="AL462" s="237" t="str">
        <f t="shared" si="138"/>
        <v/>
      </c>
      <c r="AM462" s="192" t="e">
        <f t="shared" si="127"/>
        <v>#VALUE!</v>
      </c>
      <c r="AN462" s="193" t="e">
        <f t="shared" si="128"/>
        <v>#VALUE!</v>
      </c>
      <c r="AO462" s="193" t="e">
        <f t="shared" si="129"/>
        <v>#VALUE!</v>
      </c>
      <c r="AP462" s="193"/>
      <c r="AQ462" s="204"/>
      <c r="AR462" s="204"/>
      <c r="AS462" s="204"/>
      <c r="AT462" s="205"/>
      <c r="AU462"/>
    </row>
    <row r="463" spans="2:47" ht="15" customHeight="1" x14ac:dyDescent="0.25">
      <c r="B463" s="206"/>
      <c r="C463" s="185"/>
      <c r="D463" s="164"/>
      <c r="E463" s="174"/>
      <c r="F463" s="164"/>
      <c r="G463" s="174"/>
      <c r="H463" s="164"/>
      <c r="I463" s="174"/>
      <c r="J463" s="184"/>
      <c r="K463" s="186"/>
      <c r="L463" s="187" t="str">
        <f t="shared" si="130"/>
        <v/>
      </c>
      <c r="M463" s="187" t="str">
        <f t="shared" si="131"/>
        <v/>
      </c>
      <c r="N463" s="187" t="str">
        <f t="shared" si="123"/>
        <v>D</v>
      </c>
      <c r="O463" s="187" t="str">
        <f t="shared" si="132"/>
        <v>D</v>
      </c>
      <c r="P463" s="187">
        <f t="shared" si="133"/>
        <v>1</v>
      </c>
      <c r="Q463" s="187">
        <f>IFERROR(VLOOKUP(E463,Tabela_Deflator:E$43,5,FALSE),1)</f>
        <v>1</v>
      </c>
      <c r="R463" s="188" t="str">
        <f t="shared" si="134"/>
        <v/>
      </c>
      <c r="S463" s="237" t="str">
        <f t="shared" si="124"/>
        <v/>
      </c>
      <c r="T463" s="237" t="str">
        <f t="shared" si="139"/>
        <v/>
      </c>
      <c r="U463" s="189"/>
      <c r="V463" s="167"/>
      <c r="W463" s="165"/>
      <c r="X463" s="164"/>
      <c r="Y463" s="164"/>
      <c r="Z463" s="164"/>
      <c r="AA463" s="174"/>
      <c r="AB463" s="164"/>
      <c r="AC463" s="174"/>
      <c r="AD463" s="184"/>
      <c r="AE463" s="190" t="str">
        <f t="shared" si="135"/>
        <v/>
      </c>
      <c r="AF463" s="190" t="str">
        <f t="shared" si="136"/>
        <v/>
      </c>
      <c r="AG463" s="190" t="str">
        <f t="shared" si="125"/>
        <v>D</v>
      </c>
      <c r="AH463" s="190">
        <f>IFERROR(VLOOKUP(Y463,SISP_Deflatores_e_INMs!B$4:F$49,3,FALSE),1)</f>
        <v>1</v>
      </c>
      <c r="AI463" s="190">
        <f>IFERROR(VLOOKUP(Y463,SISP_Deflatores_e_INMs!B$4:G$49,5,FALSE),1)</f>
        <v>1</v>
      </c>
      <c r="AJ463" s="191" t="str">
        <f t="shared" si="137"/>
        <v/>
      </c>
      <c r="AK463" s="237" t="str">
        <f t="shared" si="126"/>
        <v/>
      </c>
      <c r="AL463" s="237" t="str">
        <f t="shared" si="138"/>
        <v/>
      </c>
      <c r="AM463" s="192" t="e">
        <f t="shared" si="127"/>
        <v>#VALUE!</v>
      </c>
      <c r="AN463" s="193" t="e">
        <f t="shared" si="128"/>
        <v>#VALUE!</v>
      </c>
      <c r="AO463" s="193" t="e">
        <f t="shared" si="129"/>
        <v>#VALUE!</v>
      </c>
      <c r="AP463" s="193"/>
      <c r="AQ463" s="204"/>
      <c r="AR463" s="204"/>
      <c r="AS463" s="204"/>
      <c r="AT463" s="205"/>
      <c r="AU463"/>
    </row>
    <row r="464" spans="2:47" ht="15" customHeight="1" x14ac:dyDescent="0.25">
      <c r="B464" s="206"/>
      <c r="C464" s="185"/>
      <c r="D464" s="164"/>
      <c r="E464" s="174"/>
      <c r="F464" s="164"/>
      <c r="G464" s="174"/>
      <c r="H464" s="164"/>
      <c r="I464" s="174"/>
      <c r="J464" s="184"/>
      <c r="K464" s="186"/>
      <c r="L464" s="187" t="str">
        <f t="shared" si="130"/>
        <v/>
      </c>
      <c r="M464" s="187" t="str">
        <f t="shared" si="131"/>
        <v/>
      </c>
      <c r="N464" s="187" t="str">
        <f t="shared" si="123"/>
        <v>D</v>
      </c>
      <c r="O464" s="187" t="str">
        <f t="shared" si="132"/>
        <v>D</v>
      </c>
      <c r="P464" s="187">
        <f t="shared" si="133"/>
        <v>1</v>
      </c>
      <c r="Q464" s="187">
        <f>IFERROR(VLOOKUP(E464,Tabela_Deflator:E$43,5,FALSE),1)</f>
        <v>1</v>
      </c>
      <c r="R464" s="188" t="str">
        <f t="shared" si="134"/>
        <v/>
      </c>
      <c r="S464" s="237" t="str">
        <f t="shared" si="124"/>
        <v/>
      </c>
      <c r="T464" s="237" t="str">
        <f t="shared" si="139"/>
        <v/>
      </c>
      <c r="U464" s="189"/>
      <c r="V464" s="167"/>
      <c r="W464" s="165"/>
      <c r="X464" s="164"/>
      <c r="Y464" s="164"/>
      <c r="Z464" s="164"/>
      <c r="AA464" s="174"/>
      <c r="AB464" s="164"/>
      <c r="AC464" s="174"/>
      <c r="AD464" s="184"/>
      <c r="AE464" s="190" t="str">
        <f t="shared" si="135"/>
        <v/>
      </c>
      <c r="AF464" s="190" t="str">
        <f t="shared" si="136"/>
        <v/>
      </c>
      <c r="AG464" s="190" t="str">
        <f t="shared" si="125"/>
        <v>D</v>
      </c>
      <c r="AH464" s="190">
        <f>IFERROR(VLOOKUP(Y464,SISP_Deflatores_e_INMs!B$4:F$49,3,FALSE),1)</f>
        <v>1</v>
      </c>
      <c r="AI464" s="190">
        <f>IFERROR(VLOOKUP(Y464,SISP_Deflatores_e_INMs!B$4:G$49,5,FALSE),1)</f>
        <v>1</v>
      </c>
      <c r="AJ464" s="191" t="str">
        <f t="shared" si="137"/>
        <v/>
      </c>
      <c r="AK464" s="237" t="str">
        <f t="shared" si="126"/>
        <v/>
      </c>
      <c r="AL464" s="237" t="str">
        <f t="shared" si="138"/>
        <v/>
      </c>
      <c r="AM464" s="192" t="e">
        <f t="shared" si="127"/>
        <v>#VALUE!</v>
      </c>
      <c r="AN464" s="193" t="e">
        <f t="shared" si="128"/>
        <v>#VALUE!</v>
      </c>
      <c r="AO464" s="193" t="e">
        <f t="shared" si="129"/>
        <v>#VALUE!</v>
      </c>
      <c r="AP464" s="193"/>
      <c r="AQ464" s="204"/>
      <c r="AR464" s="204"/>
      <c r="AS464" s="204"/>
      <c r="AT464" s="205"/>
      <c r="AU464"/>
    </row>
    <row r="465" spans="2:47" ht="15" customHeight="1" x14ac:dyDescent="0.25">
      <c r="B465" s="206"/>
      <c r="C465" s="185"/>
      <c r="D465" s="164"/>
      <c r="E465" s="174"/>
      <c r="F465" s="164"/>
      <c r="G465" s="174"/>
      <c r="H465" s="164"/>
      <c r="I465" s="174"/>
      <c r="J465" s="184"/>
      <c r="K465" s="186"/>
      <c r="L465" s="187" t="str">
        <f t="shared" si="130"/>
        <v/>
      </c>
      <c r="M465" s="187" t="str">
        <f t="shared" si="131"/>
        <v/>
      </c>
      <c r="N465" s="187" t="str">
        <f t="shared" si="123"/>
        <v>D</v>
      </c>
      <c r="O465" s="187" t="str">
        <f t="shared" si="132"/>
        <v>D</v>
      </c>
      <c r="P465" s="187">
        <f t="shared" si="133"/>
        <v>1</v>
      </c>
      <c r="Q465" s="187">
        <f>IFERROR(VLOOKUP(E465,Tabela_Deflator:E$43,5,FALSE),1)</f>
        <v>1</v>
      </c>
      <c r="R465" s="188" t="str">
        <f t="shared" si="134"/>
        <v/>
      </c>
      <c r="S465" s="237" t="str">
        <f t="shared" si="124"/>
        <v/>
      </c>
      <c r="T465" s="237" t="str">
        <f t="shared" si="139"/>
        <v/>
      </c>
      <c r="U465" s="189"/>
      <c r="V465" s="167"/>
      <c r="W465" s="165"/>
      <c r="X465" s="164"/>
      <c r="Y465" s="164"/>
      <c r="Z465" s="164"/>
      <c r="AA465" s="174"/>
      <c r="AB465" s="164"/>
      <c r="AC465" s="174"/>
      <c r="AD465" s="184"/>
      <c r="AE465" s="190" t="str">
        <f t="shared" si="135"/>
        <v/>
      </c>
      <c r="AF465" s="190" t="str">
        <f t="shared" si="136"/>
        <v/>
      </c>
      <c r="AG465" s="190" t="str">
        <f t="shared" si="125"/>
        <v>D</v>
      </c>
      <c r="AH465" s="190">
        <f>IFERROR(VLOOKUP(Y465,SISP_Deflatores_e_INMs!B$4:F$49,3,FALSE),1)</f>
        <v>1</v>
      </c>
      <c r="AI465" s="190">
        <f>IFERROR(VLOOKUP(Y465,SISP_Deflatores_e_INMs!B$4:G$49,5,FALSE),1)</f>
        <v>1</v>
      </c>
      <c r="AJ465" s="191" t="str">
        <f t="shared" si="137"/>
        <v/>
      </c>
      <c r="AK465" s="237" t="str">
        <f t="shared" si="126"/>
        <v/>
      </c>
      <c r="AL465" s="237" t="str">
        <f t="shared" si="138"/>
        <v/>
      </c>
      <c r="AM465" s="192" t="e">
        <f t="shared" si="127"/>
        <v>#VALUE!</v>
      </c>
      <c r="AN465" s="193" t="e">
        <f t="shared" si="128"/>
        <v>#VALUE!</v>
      </c>
      <c r="AO465" s="193" t="e">
        <f t="shared" si="129"/>
        <v>#VALUE!</v>
      </c>
      <c r="AP465" s="193"/>
      <c r="AQ465" s="204"/>
      <c r="AR465" s="204"/>
      <c r="AS465" s="204"/>
      <c r="AT465" s="205"/>
      <c r="AU465"/>
    </row>
    <row r="466" spans="2:47" ht="15" customHeight="1" x14ac:dyDescent="0.25">
      <c r="B466" s="206"/>
      <c r="C466" s="185"/>
      <c r="D466" s="164"/>
      <c r="E466" s="174"/>
      <c r="F466" s="164"/>
      <c r="G466" s="174"/>
      <c r="H466" s="164"/>
      <c r="I466" s="174"/>
      <c r="J466" s="184"/>
      <c r="K466" s="186"/>
      <c r="L466" s="187" t="str">
        <f t="shared" si="130"/>
        <v/>
      </c>
      <c r="M466" s="187" t="str">
        <f t="shared" si="131"/>
        <v/>
      </c>
      <c r="N466" s="187" t="str">
        <f t="shared" si="123"/>
        <v>D</v>
      </c>
      <c r="O466" s="187" t="str">
        <f t="shared" si="132"/>
        <v>D</v>
      </c>
      <c r="P466" s="187">
        <f t="shared" si="133"/>
        <v>1</v>
      </c>
      <c r="Q466" s="187">
        <f>IFERROR(VLOOKUP(E466,Tabela_Deflator:E$43,5,FALSE),1)</f>
        <v>1</v>
      </c>
      <c r="R466" s="188" t="str">
        <f t="shared" si="134"/>
        <v/>
      </c>
      <c r="S466" s="237" t="str">
        <f t="shared" si="124"/>
        <v/>
      </c>
      <c r="T466" s="237" t="str">
        <f t="shared" si="139"/>
        <v/>
      </c>
      <c r="U466" s="189"/>
      <c r="V466" s="167"/>
      <c r="W466" s="165"/>
      <c r="X466" s="164"/>
      <c r="Y466" s="164"/>
      <c r="Z466" s="164"/>
      <c r="AA466" s="174"/>
      <c r="AB466" s="164"/>
      <c r="AC466" s="174"/>
      <c r="AD466" s="184"/>
      <c r="AE466" s="190" t="str">
        <f t="shared" si="135"/>
        <v/>
      </c>
      <c r="AF466" s="190" t="str">
        <f t="shared" si="136"/>
        <v/>
      </c>
      <c r="AG466" s="190" t="str">
        <f t="shared" si="125"/>
        <v>D</v>
      </c>
      <c r="AH466" s="190">
        <f>IFERROR(VLOOKUP(Y466,SISP_Deflatores_e_INMs!B$4:F$49,3,FALSE),1)</f>
        <v>1</v>
      </c>
      <c r="AI466" s="190">
        <f>IFERROR(VLOOKUP(Y466,SISP_Deflatores_e_INMs!B$4:G$49,5,FALSE),1)</f>
        <v>1</v>
      </c>
      <c r="AJ466" s="191" t="str">
        <f t="shared" si="137"/>
        <v/>
      </c>
      <c r="AK466" s="237" t="str">
        <f t="shared" si="126"/>
        <v/>
      </c>
      <c r="AL466" s="237" t="str">
        <f t="shared" si="138"/>
        <v/>
      </c>
      <c r="AM466" s="192" t="e">
        <f t="shared" si="127"/>
        <v>#VALUE!</v>
      </c>
      <c r="AN466" s="193" t="e">
        <f t="shared" si="128"/>
        <v>#VALUE!</v>
      </c>
      <c r="AO466" s="193" t="e">
        <f t="shared" si="129"/>
        <v>#VALUE!</v>
      </c>
      <c r="AP466" s="193"/>
      <c r="AQ466" s="204"/>
      <c r="AR466" s="204"/>
      <c r="AS466" s="204"/>
      <c r="AT466" s="205"/>
      <c r="AU466"/>
    </row>
    <row r="467" spans="2:47" ht="15" customHeight="1" x14ac:dyDescent="0.25">
      <c r="B467" s="206"/>
      <c r="C467" s="185"/>
      <c r="D467" s="164"/>
      <c r="E467" s="174"/>
      <c r="F467" s="164"/>
      <c r="G467" s="174"/>
      <c r="H467" s="164"/>
      <c r="I467" s="174"/>
      <c r="J467" s="184"/>
      <c r="K467" s="186"/>
      <c r="L467" s="187" t="str">
        <f t="shared" si="130"/>
        <v/>
      </c>
      <c r="M467" s="187" t="str">
        <f t="shared" si="131"/>
        <v/>
      </c>
      <c r="N467" s="187" t="str">
        <f t="shared" si="123"/>
        <v>D</v>
      </c>
      <c r="O467" s="187" t="str">
        <f t="shared" si="132"/>
        <v>D</v>
      </c>
      <c r="P467" s="187">
        <f t="shared" si="133"/>
        <v>1</v>
      </c>
      <c r="Q467" s="187">
        <f>IFERROR(VLOOKUP(E467,Tabela_Deflator:E$43,5,FALSE),1)</f>
        <v>1</v>
      </c>
      <c r="R467" s="188" t="str">
        <f t="shared" si="134"/>
        <v/>
      </c>
      <c r="S467" s="237" t="str">
        <f t="shared" si="124"/>
        <v/>
      </c>
      <c r="T467" s="237" t="str">
        <f t="shared" si="139"/>
        <v/>
      </c>
      <c r="U467" s="189"/>
      <c r="V467" s="167"/>
      <c r="W467" s="165"/>
      <c r="X467" s="164"/>
      <c r="Y467" s="164"/>
      <c r="Z467" s="164"/>
      <c r="AA467" s="174"/>
      <c r="AB467" s="164"/>
      <c r="AC467" s="174"/>
      <c r="AD467" s="184"/>
      <c r="AE467" s="190" t="str">
        <f t="shared" si="135"/>
        <v/>
      </c>
      <c r="AF467" s="190" t="str">
        <f t="shared" si="136"/>
        <v/>
      </c>
      <c r="AG467" s="190" t="str">
        <f t="shared" si="125"/>
        <v>D</v>
      </c>
      <c r="AH467" s="190">
        <f>IFERROR(VLOOKUP(Y467,SISP_Deflatores_e_INMs!B$4:F$49,3,FALSE),1)</f>
        <v>1</v>
      </c>
      <c r="AI467" s="190">
        <f>IFERROR(VLOOKUP(Y467,SISP_Deflatores_e_INMs!B$4:G$49,5,FALSE),1)</f>
        <v>1</v>
      </c>
      <c r="AJ467" s="191" t="str">
        <f t="shared" si="137"/>
        <v/>
      </c>
      <c r="AK467" s="237" t="str">
        <f t="shared" si="126"/>
        <v/>
      </c>
      <c r="AL467" s="237" t="str">
        <f t="shared" si="138"/>
        <v/>
      </c>
      <c r="AM467" s="192" t="e">
        <f t="shared" si="127"/>
        <v>#VALUE!</v>
      </c>
      <c r="AN467" s="193" t="e">
        <f t="shared" si="128"/>
        <v>#VALUE!</v>
      </c>
      <c r="AO467" s="193" t="e">
        <f t="shared" si="129"/>
        <v>#VALUE!</v>
      </c>
      <c r="AP467" s="193"/>
      <c r="AQ467" s="204"/>
      <c r="AR467" s="204"/>
      <c r="AS467" s="204"/>
      <c r="AT467" s="205"/>
      <c r="AU467"/>
    </row>
    <row r="468" spans="2:47" ht="15" customHeight="1" x14ac:dyDescent="0.25">
      <c r="B468" s="206"/>
      <c r="C468" s="185"/>
      <c r="D468" s="164"/>
      <c r="E468" s="174"/>
      <c r="F468" s="164"/>
      <c r="G468" s="174"/>
      <c r="H468" s="164"/>
      <c r="I468" s="174"/>
      <c r="J468" s="184"/>
      <c r="K468" s="186"/>
      <c r="L468" s="187" t="str">
        <f t="shared" si="130"/>
        <v/>
      </c>
      <c r="M468" s="187" t="str">
        <f t="shared" si="131"/>
        <v/>
      </c>
      <c r="N468" s="187" t="str">
        <f t="shared" si="123"/>
        <v>D</v>
      </c>
      <c r="O468" s="187" t="str">
        <f t="shared" si="132"/>
        <v>D</v>
      </c>
      <c r="P468" s="187">
        <f t="shared" si="133"/>
        <v>1</v>
      </c>
      <c r="Q468" s="187">
        <f>IFERROR(VLOOKUP(E468,Tabela_Deflator:E$43,5,FALSE),1)</f>
        <v>1</v>
      </c>
      <c r="R468" s="188" t="str">
        <f t="shared" si="134"/>
        <v/>
      </c>
      <c r="S468" s="237" t="str">
        <f t="shared" si="124"/>
        <v/>
      </c>
      <c r="T468" s="237" t="str">
        <f t="shared" si="139"/>
        <v/>
      </c>
      <c r="U468" s="189"/>
      <c r="V468" s="167"/>
      <c r="W468" s="165"/>
      <c r="X468" s="164"/>
      <c r="Y468" s="164"/>
      <c r="Z468" s="164"/>
      <c r="AA468" s="174"/>
      <c r="AB468" s="164"/>
      <c r="AC468" s="174"/>
      <c r="AD468" s="184"/>
      <c r="AE468" s="190" t="str">
        <f t="shared" si="135"/>
        <v/>
      </c>
      <c r="AF468" s="190" t="str">
        <f t="shared" si="136"/>
        <v/>
      </c>
      <c r="AG468" s="190" t="str">
        <f t="shared" si="125"/>
        <v>D</v>
      </c>
      <c r="AH468" s="190">
        <f>IFERROR(VLOOKUP(Y468,SISP_Deflatores_e_INMs!B$4:F$49,3,FALSE),1)</f>
        <v>1</v>
      </c>
      <c r="AI468" s="190">
        <f>IFERROR(VLOOKUP(Y468,SISP_Deflatores_e_INMs!B$4:G$49,5,FALSE),1)</f>
        <v>1</v>
      </c>
      <c r="AJ468" s="191" t="str">
        <f t="shared" si="137"/>
        <v/>
      </c>
      <c r="AK468" s="237" t="str">
        <f t="shared" si="126"/>
        <v/>
      </c>
      <c r="AL468" s="237" t="str">
        <f t="shared" si="138"/>
        <v/>
      </c>
      <c r="AM468" s="192" t="e">
        <f t="shared" si="127"/>
        <v>#VALUE!</v>
      </c>
      <c r="AN468" s="193" t="e">
        <f t="shared" si="128"/>
        <v>#VALUE!</v>
      </c>
      <c r="AO468" s="193" t="e">
        <f t="shared" si="129"/>
        <v>#VALUE!</v>
      </c>
      <c r="AP468" s="193"/>
      <c r="AQ468" s="204"/>
      <c r="AR468" s="204"/>
      <c r="AS468" s="204"/>
      <c r="AT468" s="205"/>
      <c r="AU468"/>
    </row>
    <row r="469" spans="2:47" ht="15" customHeight="1" x14ac:dyDescent="0.25">
      <c r="B469" s="206"/>
      <c r="C469" s="185"/>
      <c r="D469" s="164"/>
      <c r="E469" s="174"/>
      <c r="F469" s="164"/>
      <c r="G469" s="174"/>
      <c r="H469" s="164"/>
      <c r="I469" s="174"/>
      <c r="J469" s="184"/>
      <c r="K469" s="186"/>
      <c r="L469" s="187" t="str">
        <f t="shared" si="130"/>
        <v/>
      </c>
      <c r="M469" s="187" t="str">
        <f t="shared" si="131"/>
        <v/>
      </c>
      <c r="N469" s="187" t="str">
        <f t="shared" si="123"/>
        <v>D</v>
      </c>
      <c r="O469" s="187" t="str">
        <f t="shared" si="132"/>
        <v>D</v>
      </c>
      <c r="P469" s="187">
        <f t="shared" si="133"/>
        <v>1</v>
      </c>
      <c r="Q469" s="187">
        <f>IFERROR(VLOOKUP(E469,Tabela_Deflator:E$43,5,FALSE),1)</f>
        <v>1</v>
      </c>
      <c r="R469" s="188" t="str">
        <f t="shared" si="134"/>
        <v/>
      </c>
      <c r="S469" s="237" t="str">
        <f t="shared" si="124"/>
        <v/>
      </c>
      <c r="T469" s="237" t="str">
        <f t="shared" si="139"/>
        <v/>
      </c>
      <c r="U469" s="189"/>
      <c r="V469" s="167"/>
      <c r="W469" s="165"/>
      <c r="X469" s="164"/>
      <c r="Y469" s="164"/>
      <c r="Z469" s="164"/>
      <c r="AA469" s="174"/>
      <c r="AB469" s="164"/>
      <c r="AC469" s="174"/>
      <c r="AD469" s="184"/>
      <c r="AE469" s="190" t="str">
        <f t="shared" si="135"/>
        <v/>
      </c>
      <c r="AF469" s="190" t="str">
        <f t="shared" si="136"/>
        <v/>
      </c>
      <c r="AG469" s="190" t="str">
        <f t="shared" si="125"/>
        <v>D</v>
      </c>
      <c r="AH469" s="190">
        <f>IFERROR(VLOOKUP(Y469,SISP_Deflatores_e_INMs!B$4:F$49,3,FALSE),1)</f>
        <v>1</v>
      </c>
      <c r="AI469" s="190">
        <f>IFERROR(VLOOKUP(Y469,SISP_Deflatores_e_INMs!B$4:G$49,5,FALSE),1)</f>
        <v>1</v>
      </c>
      <c r="AJ469" s="191" t="str">
        <f t="shared" si="137"/>
        <v/>
      </c>
      <c r="AK469" s="237" t="str">
        <f t="shared" si="126"/>
        <v/>
      </c>
      <c r="AL469" s="237" t="str">
        <f t="shared" si="138"/>
        <v/>
      </c>
      <c r="AM469" s="192" t="e">
        <f t="shared" si="127"/>
        <v>#VALUE!</v>
      </c>
      <c r="AN469" s="193" t="e">
        <f t="shared" si="128"/>
        <v>#VALUE!</v>
      </c>
      <c r="AO469" s="193" t="e">
        <f t="shared" si="129"/>
        <v>#VALUE!</v>
      </c>
      <c r="AP469" s="193"/>
      <c r="AQ469" s="204"/>
      <c r="AR469" s="204"/>
      <c r="AS469" s="204"/>
      <c r="AT469" s="205"/>
      <c r="AU469"/>
    </row>
    <row r="470" spans="2:47" ht="15" customHeight="1" x14ac:dyDescent="0.25">
      <c r="B470" s="206"/>
      <c r="C470" s="185"/>
      <c r="D470" s="164"/>
      <c r="E470" s="174"/>
      <c r="F470" s="164"/>
      <c r="G470" s="174"/>
      <c r="H470" s="164"/>
      <c r="I470" s="174"/>
      <c r="J470" s="184"/>
      <c r="K470" s="186"/>
      <c r="L470" s="187" t="str">
        <f t="shared" si="130"/>
        <v/>
      </c>
      <c r="M470" s="187" t="str">
        <f t="shared" si="131"/>
        <v/>
      </c>
      <c r="N470" s="187" t="str">
        <f t="shared" si="123"/>
        <v>D</v>
      </c>
      <c r="O470" s="187" t="str">
        <f t="shared" si="132"/>
        <v>D</v>
      </c>
      <c r="P470" s="187">
        <f t="shared" si="133"/>
        <v>1</v>
      </c>
      <c r="Q470" s="187">
        <f>IFERROR(VLOOKUP(E470,Tabela_Deflator:E$43,5,FALSE),1)</f>
        <v>1</v>
      </c>
      <c r="R470" s="188" t="str">
        <f t="shared" si="134"/>
        <v/>
      </c>
      <c r="S470" s="237" t="str">
        <f t="shared" si="124"/>
        <v/>
      </c>
      <c r="T470" s="237" t="str">
        <f t="shared" si="139"/>
        <v/>
      </c>
      <c r="U470" s="189"/>
      <c r="V470" s="167"/>
      <c r="W470" s="165"/>
      <c r="X470" s="164"/>
      <c r="Y470" s="164"/>
      <c r="Z470" s="164"/>
      <c r="AA470" s="174"/>
      <c r="AB470" s="164"/>
      <c r="AC470" s="174"/>
      <c r="AD470" s="184"/>
      <c r="AE470" s="190" t="str">
        <f t="shared" si="135"/>
        <v/>
      </c>
      <c r="AF470" s="190" t="str">
        <f t="shared" si="136"/>
        <v/>
      </c>
      <c r="AG470" s="190" t="str">
        <f t="shared" si="125"/>
        <v>D</v>
      </c>
      <c r="AH470" s="190">
        <f>IFERROR(VLOOKUP(Y470,SISP_Deflatores_e_INMs!B$4:F$49,3,FALSE),1)</f>
        <v>1</v>
      </c>
      <c r="AI470" s="190">
        <f>IFERROR(VLOOKUP(Y470,SISP_Deflatores_e_INMs!B$4:G$49,5,FALSE),1)</f>
        <v>1</v>
      </c>
      <c r="AJ470" s="191" t="str">
        <f t="shared" si="137"/>
        <v/>
      </c>
      <c r="AK470" s="237" t="str">
        <f t="shared" si="126"/>
        <v/>
      </c>
      <c r="AL470" s="237" t="str">
        <f t="shared" si="138"/>
        <v/>
      </c>
      <c r="AM470" s="192" t="e">
        <f t="shared" si="127"/>
        <v>#VALUE!</v>
      </c>
      <c r="AN470" s="193" t="e">
        <f t="shared" si="128"/>
        <v>#VALUE!</v>
      </c>
      <c r="AO470" s="193" t="e">
        <f t="shared" si="129"/>
        <v>#VALUE!</v>
      </c>
      <c r="AP470" s="193"/>
      <c r="AQ470" s="204"/>
      <c r="AR470" s="204"/>
      <c r="AS470" s="204"/>
      <c r="AT470" s="205"/>
      <c r="AU470"/>
    </row>
    <row r="471" spans="2:47" ht="15" customHeight="1" x14ac:dyDescent="0.25">
      <c r="B471" s="206"/>
      <c r="C471" s="185"/>
      <c r="D471" s="164"/>
      <c r="E471" s="174"/>
      <c r="F471" s="164"/>
      <c r="G471" s="174"/>
      <c r="H471" s="164"/>
      <c r="I471" s="174"/>
      <c r="J471" s="184"/>
      <c r="K471" s="186"/>
      <c r="L471" s="187" t="str">
        <f t="shared" si="130"/>
        <v/>
      </c>
      <c r="M471" s="187" t="str">
        <f t="shared" si="131"/>
        <v/>
      </c>
      <c r="N471" s="187" t="str">
        <f t="shared" si="123"/>
        <v>D</v>
      </c>
      <c r="O471" s="187" t="str">
        <f t="shared" si="132"/>
        <v>D</v>
      </c>
      <c r="P471" s="187">
        <f t="shared" si="133"/>
        <v>1</v>
      </c>
      <c r="Q471" s="187">
        <f>IFERROR(VLOOKUP(E471,Tabela_Deflator:E$43,5,FALSE),1)</f>
        <v>1</v>
      </c>
      <c r="R471" s="188" t="str">
        <f t="shared" si="134"/>
        <v/>
      </c>
      <c r="S471" s="237" t="str">
        <f t="shared" si="124"/>
        <v/>
      </c>
      <c r="T471" s="237" t="str">
        <f t="shared" si="139"/>
        <v/>
      </c>
      <c r="U471" s="189"/>
      <c r="V471" s="167"/>
      <c r="W471" s="165"/>
      <c r="X471" s="164"/>
      <c r="Y471" s="164"/>
      <c r="Z471" s="164"/>
      <c r="AA471" s="174"/>
      <c r="AB471" s="164"/>
      <c r="AC471" s="174"/>
      <c r="AD471" s="184"/>
      <c r="AE471" s="190" t="str">
        <f t="shared" si="135"/>
        <v/>
      </c>
      <c r="AF471" s="190" t="str">
        <f t="shared" si="136"/>
        <v/>
      </c>
      <c r="AG471" s="190" t="str">
        <f t="shared" si="125"/>
        <v>D</v>
      </c>
      <c r="AH471" s="190">
        <f>IFERROR(VLOOKUP(Y471,SISP_Deflatores_e_INMs!B$4:F$49,3,FALSE),1)</f>
        <v>1</v>
      </c>
      <c r="AI471" s="190">
        <f>IFERROR(VLOOKUP(Y471,SISP_Deflatores_e_INMs!B$4:G$49,5,FALSE),1)</f>
        <v>1</v>
      </c>
      <c r="AJ471" s="191" t="str">
        <f t="shared" si="137"/>
        <v/>
      </c>
      <c r="AK471" s="237" t="str">
        <f t="shared" si="126"/>
        <v/>
      </c>
      <c r="AL471" s="237" t="str">
        <f t="shared" si="138"/>
        <v/>
      </c>
      <c r="AM471" s="192" t="e">
        <f t="shared" si="127"/>
        <v>#VALUE!</v>
      </c>
      <c r="AN471" s="193" t="e">
        <f t="shared" si="128"/>
        <v>#VALUE!</v>
      </c>
      <c r="AO471" s="193" t="e">
        <f t="shared" si="129"/>
        <v>#VALUE!</v>
      </c>
      <c r="AP471" s="193"/>
      <c r="AQ471" s="204"/>
      <c r="AR471" s="204"/>
      <c r="AS471" s="204"/>
      <c r="AT471" s="205"/>
      <c r="AU471"/>
    </row>
    <row r="472" spans="2:47" ht="15" customHeight="1" x14ac:dyDescent="0.25">
      <c r="B472" s="206"/>
      <c r="C472" s="185"/>
      <c r="D472" s="164"/>
      <c r="E472" s="174"/>
      <c r="F472" s="164"/>
      <c r="G472" s="174"/>
      <c r="H472" s="164"/>
      <c r="I472" s="174"/>
      <c r="J472" s="184"/>
      <c r="K472" s="186"/>
      <c r="L472" s="187" t="str">
        <f t="shared" si="130"/>
        <v/>
      </c>
      <c r="M472" s="187" t="str">
        <f t="shared" si="131"/>
        <v/>
      </c>
      <c r="N472" s="187" t="str">
        <f t="shared" si="123"/>
        <v>D</v>
      </c>
      <c r="O472" s="187" t="str">
        <f t="shared" si="132"/>
        <v>D</v>
      </c>
      <c r="P472" s="187">
        <f t="shared" si="133"/>
        <v>1</v>
      </c>
      <c r="Q472" s="187">
        <f>IFERROR(VLOOKUP(E472,Tabela_Deflator:E$43,5,FALSE),1)</f>
        <v>1</v>
      </c>
      <c r="R472" s="188" t="str">
        <f t="shared" si="134"/>
        <v/>
      </c>
      <c r="S472" s="237" t="str">
        <f t="shared" si="124"/>
        <v/>
      </c>
      <c r="T472" s="237" t="str">
        <f t="shared" si="139"/>
        <v/>
      </c>
      <c r="U472" s="189"/>
      <c r="V472" s="167"/>
      <c r="W472" s="165"/>
      <c r="X472" s="164"/>
      <c r="Y472" s="164"/>
      <c r="Z472" s="164"/>
      <c r="AA472" s="174"/>
      <c r="AB472" s="164"/>
      <c r="AC472" s="174"/>
      <c r="AD472" s="184"/>
      <c r="AE472" s="190" t="str">
        <f t="shared" si="135"/>
        <v/>
      </c>
      <c r="AF472" s="190" t="str">
        <f t="shared" si="136"/>
        <v/>
      </c>
      <c r="AG472" s="190" t="str">
        <f t="shared" si="125"/>
        <v>D</v>
      </c>
      <c r="AH472" s="190">
        <f>IFERROR(VLOOKUP(Y472,SISP_Deflatores_e_INMs!B$4:F$49,3,FALSE),1)</f>
        <v>1</v>
      </c>
      <c r="AI472" s="190">
        <f>IFERROR(VLOOKUP(Y472,SISP_Deflatores_e_INMs!B$4:G$49,5,FALSE),1)</f>
        <v>1</v>
      </c>
      <c r="AJ472" s="191" t="str">
        <f t="shared" si="137"/>
        <v/>
      </c>
      <c r="AK472" s="237" t="str">
        <f t="shared" si="126"/>
        <v/>
      </c>
      <c r="AL472" s="237" t="str">
        <f t="shared" si="138"/>
        <v/>
      </c>
      <c r="AM472" s="192" t="e">
        <f t="shared" si="127"/>
        <v>#VALUE!</v>
      </c>
      <c r="AN472" s="193" t="e">
        <f t="shared" si="128"/>
        <v>#VALUE!</v>
      </c>
      <c r="AO472" s="193" t="e">
        <f t="shared" si="129"/>
        <v>#VALUE!</v>
      </c>
      <c r="AP472" s="193"/>
      <c r="AQ472" s="204"/>
      <c r="AR472" s="204"/>
      <c r="AS472" s="204"/>
      <c r="AT472" s="205"/>
      <c r="AU472"/>
    </row>
    <row r="473" spans="2:47" ht="15" customHeight="1" x14ac:dyDescent="0.25">
      <c r="B473" s="206"/>
      <c r="C473" s="185"/>
      <c r="D473" s="164"/>
      <c r="E473" s="174"/>
      <c r="F473" s="164"/>
      <c r="G473" s="174"/>
      <c r="H473" s="164"/>
      <c r="I473" s="174"/>
      <c r="J473" s="184"/>
      <c r="K473" s="186"/>
      <c r="L473" s="187" t="str">
        <f t="shared" si="130"/>
        <v/>
      </c>
      <c r="M473" s="187" t="str">
        <f t="shared" si="131"/>
        <v/>
      </c>
      <c r="N473" s="187" t="str">
        <f t="shared" si="123"/>
        <v>D</v>
      </c>
      <c r="O473" s="187" t="str">
        <f t="shared" si="132"/>
        <v>D</v>
      </c>
      <c r="P473" s="187">
        <f t="shared" si="133"/>
        <v>1</v>
      </c>
      <c r="Q473" s="187">
        <f>IFERROR(VLOOKUP(E473,Tabela_Deflator:E$43,5,FALSE),1)</f>
        <v>1</v>
      </c>
      <c r="R473" s="188" t="str">
        <f t="shared" si="134"/>
        <v/>
      </c>
      <c r="S473" s="237" t="str">
        <f t="shared" si="124"/>
        <v/>
      </c>
      <c r="T473" s="237" t="str">
        <f t="shared" si="139"/>
        <v/>
      </c>
      <c r="U473" s="189"/>
      <c r="V473" s="167"/>
      <c r="W473" s="165"/>
      <c r="X473" s="164"/>
      <c r="Y473" s="164"/>
      <c r="Z473" s="164"/>
      <c r="AA473" s="174"/>
      <c r="AB473" s="164"/>
      <c r="AC473" s="174"/>
      <c r="AD473" s="184"/>
      <c r="AE473" s="190" t="str">
        <f t="shared" si="135"/>
        <v/>
      </c>
      <c r="AF473" s="190" t="str">
        <f t="shared" si="136"/>
        <v/>
      </c>
      <c r="AG473" s="190" t="str">
        <f t="shared" si="125"/>
        <v>D</v>
      </c>
      <c r="AH473" s="190">
        <f>IFERROR(VLOOKUP(Y473,SISP_Deflatores_e_INMs!B$4:F$49,3,FALSE),1)</f>
        <v>1</v>
      </c>
      <c r="AI473" s="190">
        <f>IFERROR(VLOOKUP(Y473,SISP_Deflatores_e_INMs!B$4:G$49,5,FALSE),1)</f>
        <v>1</v>
      </c>
      <c r="AJ473" s="191" t="str">
        <f t="shared" si="137"/>
        <v/>
      </c>
      <c r="AK473" s="237" t="str">
        <f t="shared" si="126"/>
        <v/>
      </c>
      <c r="AL473" s="237" t="str">
        <f t="shared" si="138"/>
        <v/>
      </c>
      <c r="AM473" s="192" t="e">
        <f t="shared" si="127"/>
        <v>#VALUE!</v>
      </c>
      <c r="AN473" s="193" t="e">
        <f t="shared" si="128"/>
        <v>#VALUE!</v>
      </c>
      <c r="AO473" s="193" t="e">
        <f t="shared" si="129"/>
        <v>#VALUE!</v>
      </c>
      <c r="AP473" s="193"/>
      <c r="AQ473" s="204"/>
      <c r="AR473" s="204"/>
      <c r="AS473" s="204"/>
      <c r="AT473" s="205"/>
      <c r="AU473"/>
    </row>
    <row r="474" spans="2:47" ht="15" customHeight="1" x14ac:dyDescent="0.25">
      <c r="B474" s="206"/>
      <c r="C474" s="185"/>
      <c r="D474" s="164"/>
      <c r="E474" s="174"/>
      <c r="F474" s="164"/>
      <c r="G474" s="174"/>
      <c r="H474" s="164"/>
      <c r="I474" s="174"/>
      <c r="J474" s="184"/>
      <c r="K474" s="186"/>
      <c r="L474" s="187" t="str">
        <f t="shared" si="130"/>
        <v/>
      </c>
      <c r="M474" s="187" t="str">
        <f t="shared" si="131"/>
        <v/>
      </c>
      <c r="N474" s="187" t="str">
        <f t="shared" si="123"/>
        <v>D</v>
      </c>
      <c r="O474" s="187" t="str">
        <f t="shared" si="132"/>
        <v>D</v>
      </c>
      <c r="P474" s="187">
        <f t="shared" si="133"/>
        <v>1</v>
      </c>
      <c r="Q474" s="187">
        <f>IFERROR(VLOOKUP(E474,Tabela_Deflator:E$43,5,FALSE),1)</f>
        <v>1</v>
      </c>
      <c r="R474" s="188" t="str">
        <f t="shared" si="134"/>
        <v/>
      </c>
      <c r="S474" s="237" t="str">
        <f t="shared" si="124"/>
        <v/>
      </c>
      <c r="T474" s="237" t="str">
        <f t="shared" si="139"/>
        <v/>
      </c>
      <c r="U474" s="189"/>
      <c r="V474" s="167"/>
      <c r="W474" s="165"/>
      <c r="X474" s="164"/>
      <c r="Y474" s="164"/>
      <c r="Z474" s="164"/>
      <c r="AA474" s="174"/>
      <c r="AB474" s="164"/>
      <c r="AC474" s="174"/>
      <c r="AD474" s="184"/>
      <c r="AE474" s="190" t="str">
        <f t="shared" si="135"/>
        <v/>
      </c>
      <c r="AF474" s="190" t="str">
        <f t="shared" si="136"/>
        <v/>
      </c>
      <c r="AG474" s="190" t="str">
        <f t="shared" si="125"/>
        <v>D</v>
      </c>
      <c r="AH474" s="190">
        <f>IFERROR(VLOOKUP(Y474,SISP_Deflatores_e_INMs!B$4:F$49,3,FALSE),1)</f>
        <v>1</v>
      </c>
      <c r="AI474" s="190">
        <f>IFERROR(VLOOKUP(Y474,SISP_Deflatores_e_INMs!B$4:G$49,5,FALSE),1)</f>
        <v>1</v>
      </c>
      <c r="AJ474" s="191" t="str">
        <f t="shared" si="137"/>
        <v/>
      </c>
      <c r="AK474" s="237" t="str">
        <f t="shared" si="126"/>
        <v/>
      </c>
      <c r="AL474" s="237" t="str">
        <f t="shared" si="138"/>
        <v/>
      </c>
      <c r="AM474" s="192" t="e">
        <f t="shared" si="127"/>
        <v>#VALUE!</v>
      </c>
      <c r="AN474" s="193" t="e">
        <f t="shared" si="128"/>
        <v>#VALUE!</v>
      </c>
      <c r="AO474" s="193" t="e">
        <f t="shared" si="129"/>
        <v>#VALUE!</v>
      </c>
      <c r="AP474" s="193"/>
      <c r="AQ474" s="204"/>
      <c r="AR474" s="204"/>
      <c r="AS474" s="204"/>
      <c r="AT474" s="205"/>
      <c r="AU474"/>
    </row>
    <row r="475" spans="2:47" ht="15" customHeight="1" x14ac:dyDescent="0.25">
      <c r="B475" s="206"/>
      <c r="C475" s="185"/>
      <c r="D475" s="164"/>
      <c r="E475" s="174"/>
      <c r="F475" s="164"/>
      <c r="G475" s="174"/>
      <c r="H475" s="164"/>
      <c r="I475" s="174"/>
      <c r="J475" s="184"/>
      <c r="K475" s="186"/>
      <c r="L475" s="187" t="str">
        <f t="shared" si="130"/>
        <v/>
      </c>
      <c r="M475" s="187" t="str">
        <f t="shared" si="131"/>
        <v/>
      </c>
      <c r="N475" s="187" t="str">
        <f t="shared" si="123"/>
        <v>D</v>
      </c>
      <c r="O475" s="187" t="str">
        <f t="shared" si="132"/>
        <v>D</v>
      </c>
      <c r="P475" s="187">
        <f t="shared" si="133"/>
        <v>1</v>
      </c>
      <c r="Q475" s="187">
        <f>IFERROR(VLOOKUP(E475,Tabela_Deflator:E$43,5,FALSE),1)</f>
        <v>1</v>
      </c>
      <c r="R475" s="188" t="str">
        <f t="shared" si="134"/>
        <v/>
      </c>
      <c r="S475" s="237" t="str">
        <f t="shared" si="124"/>
        <v/>
      </c>
      <c r="T475" s="237" t="str">
        <f t="shared" si="139"/>
        <v/>
      </c>
      <c r="U475" s="189"/>
      <c r="V475" s="167"/>
      <c r="W475" s="165"/>
      <c r="X475" s="164"/>
      <c r="Y475" s="164"/>
      <c r="Z475" s="164"/>
      <c r="AA475" s="174"/>
      <c r="AB475" s="164"/>
      <c r="AC475" s="174"/>
      <c r="AD475" s="184"/>
      <c r="AE475" s="190" t="str">
        <f t="shared" si="135"/>
        <v/>
      </c>
      <c r="AF475" s="190" t="str">
        <f t="shared" si="136"/>
        <v/>
      </c>
      <c r="AG475" s="190" t="str">
        <f t="shared" si="125"/>
        <v>D</v>
      </c>
      <c r="AH475" s="190">
        <f>IFERROR(VLOOKUP(Y475,SISP_Deflatores_e_INMs!B$4:F$49,3,FALSE),1)</f>
        <v>1</v>
      </c>
      <c r="AI475" s="190">
        <f>IFERROR(VLOOKUP(Y475,SISP_Deflatores_e_INMs!B$4:G$49,5,FALSE),1)</f>
        <v>1</v>
      </c>
      <c r="AJ475" s="191" t="str">
        <f t="shared" si="137"/>
        <v/>
      </c>
      <c r="AK475" s="237" t="str">
        <f t="shared" si="126"/>
        <v/>
      </c>
      <c r="AL475" s="237" t="str">
        <f t="shared" si="138"/>
        <v/>
      </c>
      <c r="AM475" s="192" t="e">
        <f t="shared" si="127"/>
        <v>#VALUE!</v>
      </c>
      <c r="AN475" s="193" t="e">
        <f t="shared" si="128"/>
        <v>#VALUE!</v>
      </c>
      <c r="AO475" s="193" t="e">
        <f t="shared" si="129"/>
        <v>#VALUE!</v>
      </c>
      <c r="AP475" s="193"/>
      <c r="AQ475" s="204"/>
      <c r="AR475" s="204"/>
      <c r="AS475" s="204"/>
      <c r="AT475" s="205"/>
      <c r="AU475"/>
    </row>
    <row r="476" spans="2:47" ht="15" customHeight="1" x14ac:dyDescent="0.25">
      <c r="B476" s="206"/>
      <c r="C476" s="185"/>
      <c r="D476" s="164"/>
      <c r="E476" s="174"/>
      <c r="F476" s="164"/>
      <c r="G476" s="174"/>
      <c r="H476" s="164"/>
      <c r="I476" s="174"/>
      <c r="J476" s="184"/>
      <c r="K476" s="186"/>
      <c r="L476" s="187" t="str">
        <f t="shared" si="130"/>
        <v/>
      </c>
      <c r="M476" s="187" t="str">
        <f t="shared" si="131"/>
        <v/>
      </c>
      <c r="N476" s="187" t="str">
        <f t="shared" si="123"/>
        <v>D</v>
      </c>
      <c r="O476" s="187" t="str">
        <f t="shared" si="132"/>
        <v>D</v>
      </c>
      <c r="P476" s="187">
        <f t="shared" si="133"/>
        <v>1</v>
      </c>
      <c r="Q476" s="187">
        <f>IFERROR(VLOOKUP(E476,Tabela_Deflator:E$43,5,FALSE),1)</f>
        <v>1</v>
      </c>
      <c r="R476" s="188" t="str">
        <f t="shared" si="134"/>
        <v/>
      </c>
      <c r="S476" s="237" t="str">
        <f t="shared" si="124"/>
        <v/>
      </c>
      <c r="T476" s="237" t="str">
        <f t="shared" si="139"/>
        <v/>
      </c>
      <c r="U476" s="189"/>
      <c r="V476" s="167"/>
      <c r="W476" s="165"/>
      <c r="X476" s="164"/>
      <c r="Y476" s="164"/>
      <c r="Z476" s="164"/>
      <c r="AA476" s="174"/>
      <c r="AB476" s="164"/>
      <c r="AC476" s="174"/>
      <c r="AD476" s="184"/>
      <c r="AE476" s="190" t="str">
        <f t="shared" si="135"/>
        <v/>
      </c>
      <c r="AF476" s="190" t="str">
        <f t="shared" si="136"/>
        <v/>
      </c>
      <c r="AG476" s="190" t="str">
        <f t="shared" si="125"/>
        <v>D</v>
      </c>
      <c r="AH476" s="190">
        <f>IFERROR(VLOOKUP(Y476,SISP_Deflatores_e_INMs!B$4:F$49,3,FALSE),1)</f>
        <v>1</v>
      </c>
      <c r="AI476" s="190">
        <f>IFERROR(VLOOKUP(Y476,SISP_Deflatores_e_INMs!B$4:G$49,5,FALSE),1)</f>
        <v>1</v>
      </c>
      <c r="AJ476" s="191" t="str">
        <f t="shared" si="137"/>
        <v/>
      </c>
      <c r="AK476" s="237" t="str">
        <f t="shared" si="126"/>
        <v/>
      </c>
      <c r="AL476" s="237" t="str">
        <f t="shared" si="138"/>
        <v/>
      </c>
      <c r="AM476" s="192" t="e">
        <f t="shared" si="127"/>
        <v>#VALUE!</v>
      </c>
      <c r="AN476" s="193" t="e">
        <f t="shared" si="128"/>
        <v>#VALUE!</v>
      </c>
      <c r="AO476" s="193" t="e">
        <f t="shared" si="129"/>
        <v>#VALUE!</v>
      </c>
      <c r="AP476" s="193"/>
      <c r="AQ476" s="204"/>
      <c r="AR476" s="204"/>
      <c r="AS476" s="204"/>
      <c r="AT476" s="205"/>
      <c r="AU476"/>
    </row>
    <row r="477" spans="2:47" ht="15" customHeight="1" x14ac:dyDescent="0.25">
      <c r="B477" s="206"/>
      <c r="C477" s="185"/>
      <c r="D477" s="164"/>
      <c r="E477" s="174"/>
      <c r="F477" s="164"/>
      <c r="G477" s="174"/>
      <c r="H477" s="164"/>
      <c r="I477" s="174"/>
      <c r="J477" s="184"/>
      <c r="K477" s="186"/>
      <c r="L477" s="187" t="str">
        <f t="shared" si="130"/>
        <v/>
      </c>
      <c r="M477" s="187" t="str">
        <f t="shared" si="131"/>
        <v/>
      </c>
      <c r="N477" s="187" t="str">
        <f t="shared" si="123"/>
        <v>D</v>
      </c>
      <c r="O477" s="187" t="str">
        <f t="shared" si="132"/>
        <v>D</v>
      </c>
      <c r="P477" s="187">
        <f t="shared" si="133"/>
        <v>1</v>
      </c>
      <c r="Q477" s="187">
        <f>IFERROR(VLOOKUP(E477,Tabela_Deflator:E$43,5,FALSE),1)</f>
        <v>1</v>
      </c>
      <c r="R477" s="188" t="str">
        <f t="shared" si="134"/>
        <v/>
      </c>
      <c r="S477" s="237" t="str">
        <f t="shared" si="124"/>
        <v/>
      </c>
      <c r="T477" s="237" t="str">
        <f t="shared" si="139"/>
        <v/>
      </c>
      <c r="U477" s="189"/>
      <c r="V477" s="167"/>
      <c r="W477" s="165"/>
      <c r="X477" s="164"/>
      <c r="Y477" s="164"/>
      <c r="Z477" s="164"/>
      <c r="AA477" s="174"/>
      <c r="AB477" s="164"/>
      <c r="AC477" s="174"/>
      <c r="AD477" s="184"/>
      <c r="AE477" s="190" t="str">
        <f t="shared" si="135"/>
        <v/>
      </c>
      <c r="AF477" s="190" t="str">
        <f t="shared" si="136"/>
        <v/>
      </c>
      <c r="AG477" s="190" t="str">
        <f t="shared" si="125"/>
        <v>D</v>
      </c>
      <c r="AH477" s="190">
        <f>IFERROR(VLOOKUP(Y477,SISP_Deflatores_e_INMs!B$4:F$49,3,FALSE),1)</f>
        <v>1</v>
      </c>
      <c r="AI477" s="190">
        <f>IFERROR(VLOOKUP(Y477,SISP_Deflatores_e_INMs!B$4:G$49,5,FALSE),1)</f>
        <v>1</v>
      </c>
      <c r="AJ477" s="191" t="str">
        <f t="shared" si="137"/>
        <v/>
      </c>
      <c r="AK477" s="237" t="str">
        <f t="shared" si="126"/>
        <v/>
      </c>
      <c r="AL477" s="237" t="str">
        <f t="shared" si="138"/>
        <v/>
      </c>
      <c r="AM477" s="192" t="e">
        <f t="shared" si="127"/>
        <v>#VALUE!</v>
      </c>
      <c r="AN477" s="193" t="e">
        <f t="shared" si="128"/>
        <v>#VALUE!</v>
      </c>
      <c r="AO477" s="193" t="e">
        <f t="shared" si="129"/>
        <v>#VALUE!</v>
      </c>
      <c r="AP477" s="193"/>
      <c r="AQ477" s="204"/>
      <c r="AR477" s="204"/>
      <c r="AS477" s="204"/>
      <c r="AT477" s="205"/>
      <c r="AU477"/>
    </row>
    <row r="478" spans="2:47" ht="15" customHeight="1" x14ac:dyDescent="0.25">
      <c r="B478" s="206"/>
      <c r="C478" s="185"/>
      <c r="D478" s="164"/>
      <c r="E478" s="174"/>
      <c r="F478" s="164"/>
      <c r="G478" s="174"/>
      <c r="H478" s="164"/>
      <c r="I478" s="174"/>
      <c r="J478" s="184"/>
      <c r="K478" s="186"/>
      <c r="L478" s="187" t="str">
        <f t="shared" si="130"/>
        <v/>
      </c>
      <c r="M478" s="187" t="str">
        <f t="shared" si="131"/>
        <v/>
      </c>
      <c r="N478" s="187" t="str">
        <f t="shared" si="123"/>
        <v>D</v>
      </c>
      <c r="O478" s="187" t="str">
        <f t="shared" si="132"/>
        <v>D</v>
      </c>
      <c r="P478" s="187">
        <f t="shared" si="133"/>
        <v>1</v>
      </c>
      <c r="Q478" s="187">
        <f>IFERROR(VLOOKUP(E478,Tabela_Deflator:E$43,5,FALSE),1)</f>
        <v>1</v>
      </c>
      <c r="R478" s="188" t="str">
        <f t="shared" si="134"/>
        <v/>
      </c>
      <c r="S478" s="237" t="str">
        <f t="shared" si="124"/>
        <v/>
      </c>
      <c r="T478" s="237" t="str">
        <f t="shared" si="139"/>
        <v/>
      </c>
      <c r="U478" s="189"/>
      <c r="V478" s="167"/>
      <c r="W478" s="165"/>
      <c r="X478" s="164"/>
      <c r="Y478" s="164"/>
      <c r="Z478" s="164"/>
      <c r="AA478" s="174"/>
      <c r="AB478" s="164"/>
      <c r="AC478" s="174"/>
      <c r="AD478" s="184"/>
      <c r="AE478" s="190" t="str">
        <f t="shared" si="135"/>
        <v/>
      </c>
      <c r="AF478" s="190" t="str">
        <f t="shared" si="136"/>
        <v/>
      </c>
      <c r="AG478" s="190" t="str">
        <f t="shared" si="125"/>
        <v>D</v>
      </c>
      <c r="AH478" s="190">
        <f>IFERROR(VLOOKUP(Y478,SISP_Deflatores_e_INMs!B$4:F$49,3,FALSE),1)</f>
        <v>1</v>
      </c>
      <c r="AI478" s="190">
        <f>IFERROR(VLOOKUP(Y478,SISP_Deflatores_e_INMs!B$4:G$49,5,FALSE),1)</f>
        <v>1</v>
      </c>
      <c r="AJ478" s="191" t="str">
        <f t="shared" si="137"/>
        <v/>
      </c>
      <c r="AK478" s="237" t="str">
        <f t="shared" si="126"/>
        <v/>
      </c>
      <c r="AL478" s="237" t="str">
        <f t="shared" si="138"/>
        <v/>
      </c>
      <c r="AM478" s="192" t="e">
        <f t="shared" si="127"/>
        <v>#VALUE!</v>
      </c>
      <c r="AN478" s="193" t="e">
        <f t="shared" si="128"/>
        <v>#VALUE!</v>
      </c>
      <c r="AO478" s="193" t="e">
        <f t="shared" si="129"/>
        <v>#VALUE!</v>
      </c>
      <c r="AP478" s="193"/>
      <c r="AQ478" s="204"/>
      <c r="AR478" s="204"/>
      <c r="AS478" s="204"/>
      <c r="AT478" s="205"/>
      <c r="AU478"/>
    </row>
    <row r="479" spans="2:47" ht="15" customHeight="1" x14ac:dyDescent="0.25">
      <c r="B479" s="206"/>
      <c r="C479" s="185"/>
      <c r="D479" s="164"/>
      <c r="E479" s="174"/>
      <c r="F479" s="164"/>
      <c r="G479" s="174"/>
      <c r="H479" s="164"/>
      <c r="I479" s="174"/>
      <c r="J479" s="184"/>
      <c r="K479" s="186"/>
      <c r="L479" s="187" t="str">
        <f t="shared" si="130"/>
        <v/>
      </c>
      <c r="M479" s="187" t="str">
        <f t="shared" si="131"/>
        <v/>
      </c>
      <c r="N479" s="187" t="str">
        <f t="shared" si="123"/>
        <v>D</v>
      </c>
      <c r="O479" s="187" t="str">
        <f t="shared" si="132"/>
        <v>D</v>
      </c>
      <c r="P479" s="187">
        <f t="shared" si="133"/>
        <v>1</v>
      </c>
      <c r="Q479" s="187">
        <f>IFERROR(VLOOKUP(E479,Tabela_Deflator:E$43,5,FALSE),1)</f>
        <v>1</v>
      </c>
      <c r="R479" s="188" t="str">
        <f t="shared" si="134"/>
        <v/>
      </c>
      <c r="S479" s="237" t="str">
        <f t="shared" si="124"/>
        <v/>
      </c>
      <c r="T479" s="237" t="str">
        <f t="shared" si="139"/>
        <v/>
      </c>
      <c r="U479" s="189"/>
      <c r="V479" s="167"/>
      <c r="W479" s="165"/>
      <c r="X479" s="164"/>
      <c r="Y479" s="164"/>
      <c r="Z479" s="164"/>
      <c r="AA479" s="174"/>
      <c r="AB479" s="164"/>
      <c r="AC479" s="174"/>
      <c r="AD479" s="184"/>
      <c r="AE479" s="190" t="str">
        <f t="shared" si="135"/>
        <v/>
      </c>
      <c r="AF479" s="190" t="str">
        <f t="shared" si="136"/>
        <v/>
      </c>
      <c r="AG479" s="190" t="str">
        <f t="shared" si="125"/>
        <v>D</v>
      </c>
      <c r="AH479" s="190">
        <f>IFERROR(VLOOKUP(Y479,SISP_Deflatores_e_INMs!B$4:F$49,3,FALSE),1)</f>
        <v>1</v>
      </c>
      <c r="AI479" s="190">
        <f>IFERROR(VLOOKUP(Y479,SISP_Deflatores_e_INMs!B$4:G$49,5,FALSE),1)</f>
        <v>1</v>
      </c>
      <c r="AJ479" s="191" t="str">
        <f t="shared" si="137"/>
        <v/>
      </c>
      <c r="AK479" s="237" t="str">
        <f t="shared" si="126"/>
        <v/>
      </c>
      <c r="AL479" s="237" t="str">
        <f t="shared" si="138"/>
        <v/>
      </c>
      <c r="AM479" s="192" t="e">
        <f t="shared" si="127"/>
        <v>#VALUE!</v>
      </c>
      <c r="AN479" s="193" t="e">
        <f t="shared" si="128"/>
        <v>#VALUE!</v>
      </c>
      <c r="AO479" s="193" t="e">
        <f t="shared" si="129"/>
        <v>#VALUE!</v>
      </c>
      <c r="AP479" s="193"/>
      <c r="AQ479" s="204"/>
      <c r="AR479" s="204"/>
      <c r="AS479" s="204"/>
      <c r="AT479" s="205"/>
      <c r="AU479"/>
    </row>
    <row r="480" spans="2:47" ht="15" customHeight="1" x14ac:dyDescent="0.25">
      <c r="B480" s="206"/>
      <c r="C480" s="185"/>
      <c r="D480" s="164"/>
      <c r="E480" s="174"/>
      <c r="F480" s="164"/>
      <c r="G480" s="174"/>
      <c r="H480" s="164"/>
      <c r="I480" s="174"/>
      <c r="J480" s="184"/>
      <c r="K480" s="186"/>
      <c r="L480" s="187" t="str">
        <f t="shared" si="130"/>
        <v/>
      </c>
      <c r="M480" s="187" t="str">
        <f t="shared" si="131"/>
        <v/>
      </c>
      <c r="N480" s="187" t="str">
        <f t="shared" si="123"/>
        <v>D</v>
      </c>
      <c r="O480" s="187" t="str">
        <f t="shared" si="132"/>
        <v>D</v>
      </c>
      <c r="P480" s="187">
        <f t="shared" si="133"/>
        <v>1</v>
      </c>
      <c r="Q480" s="187">
        <f>IFERROR(VLOOKUP(E480,Tabela_Deflator:E$43,5,FALSE),1)</f>
        <v>1</v>
      </c>
      <c r="R480" s="188" t="str">
        <f t="shared" si="134"/>
        <v/>
      </c>
      <c r="S480" s="237" t="str">
        <f t="shared" si="124"/>
        <v/>
      </c>
      <c r="T480" s="237" t="str">
        <f t="shared" si="139"/>
        <v/>
      </c>
      <c r="U480" s="189"/>
      <c r="V480" s="167"/>
      <c r="W480" s="165"/>
      <c r="X480" s="164"/>
      <c r="Y480" s="164"/>
      <c r="Z480" s="164"/>
      <c r="AA480" s="174"/>
      <c r="AB480" s="164"/>
      <c r="AC480" s="174"/>
      <c r="AD480" s="184"/>
      <c r="AE480" s="190" t="str">
        <f t="shared" si="135"/>
        <v/>
      </c>
      <c r="AF480" s="190" t="str">
        <f t="shared" si="136"/>
        <v/>
      </c>
      <c r="AG480" s="190" t="str">
        <f t="shared" si="125"/>
        <v>D</v>
      </c>
      <c r="AH480" s="190">
        <f>IFERROR(VLOOKUP(Y480,SISP_Deflatores_e_INMs!B$4:F$49,3,FALSE),1)</f>
        <v>1</v>
      </c>
      <c r="AI480" s="190">
        <f>IFERROR(VLOOKUP(Y480,SISP_Deflatores_e_INMs!B$4:G$49,5,FALSE),1)</f>
        <v>1</v>
      </c>
      <c r="AJ480" s="191" t="str">
        <f t="shared" si="137"/>
        <v/>
      </c>
      <c r="AK480" s="237" t="str">
        <f t="shared" si="126"/>
        <v/>
      </c>
      <c r="AL480" s="237" t="str">
        <f t="shared" si="138"/>
        <v/>
      </c>
      <c r="AM480" s="192" t="e">
        <f t="shared" si="127"/>
        <v>#VALUE!</v>
      </c>
      <c r="AN480" s="193" t="e">
        <f t="shared" si="128"/>
        <v>#VALUE!</v>
      </c>
      <c r="AO480" s="193" t="e">
        <f t="shared" si="129"/>
        <v>#VALUE!</v>
      </c>
      <c r="AP480" s="193"/>
      <c r="AQ480" s="204"/>
      <c r="AR480" s="204"/>
      <c r="AS480" s="204"/>
      <c r="AT480" s="205"/>
      <c r="AU480"/>
    </row>
    <row r="481" spans="2:47" ht="15" customHeight="1" x14ac:dyDescent="0.25">
      <c r="B481" s="206"/>
      <c r="C481" s="185"/>
      <c r="D481" s="164"/>
      <c r="E481" s="174"/>
      <c r="F481" s="164"/>
      <c r="G481" s="174"/>
      <c r="H481" s="164"/>
      <c r="I481" s="174"/>
      <c r="J481" s="184"/>
      <c r="K481" s="186"/>
      <c r="L481" s="187" t="str">
        <f t="shared" si="130"/>
        <v/>
      </c>
      <c r="M481" s="187" t="str">
        <f t="shared" si="131"/>
        <v/>
      </c>
      <c r="N481" s="187" t="str">
        <f t="shared" si="123"/>
        <v>D</v>
      </c>
      <c r="O481" s="187" t="str">
        <f t="shared" si="132"/>
        <v>D</v>
      </c>
      <c r="P481" s="187">
        <f t="shared" si="133"/>
        <v>1</v>
      </c>
      <c r="Q481" s="187">
        <f>IFERROR(VLOOKUP(E481,Tabela_Deflator:E$43,5,FALSE),1)</f>
        <v>1</v>
      </c>
      <c r="R481" s="188" t="str">
        <f t="shared" si="134"/>
        <v/>
      </c>
      <c r="S481" s="237" t="str">
        <f t="shared" si="124"/>
        <v/>
      </c>
      <c r="T481" s="237" t="str">
        <f t="shared" si="139"/>
        <v/>
      </c>
      <c r="U481" s="189"/>
      <c r="V481" s="167"/>
      <c r="W481" s="165"/>
      <c r="X481" s="164"/>
      <c r="Y481" s="164"/>
      <c r="Z481" s="164"/>
      <c r="AA481" s="174"/>
      <c r="AB481" s="164"/>
      <c r="AC481" s="174"/>
      <c r="AD481" s="184"/>
      <c r="AE481" s="190" t="str">
        <f t="shared" si="135"/>
        <v/>
      </c>
      <c r="AF481" s="190" t="str">
        <f t="shared" si="136"/>
        <v/>
      </c>
      <c r="AG481" s="190" t="str">
        <f t="shared" si="125"/>
        <v>D</v>
      </c>
      <c r="AH481" s="190">
        <f>IFERROR(VLOOKUP(Y481,SISP_Deflatores_e_INMs!B$4:F$49,3,FALSE),1)</f>
        <v>1</v>
      </c>
      <c r="AI481" s="190">
        <f>IFERROR(VLOOKUP(Y481,SISP_Deflatores_e_INMs!B$4:G$49,5,FALSE),1)</f>
        <v>1</v>
      </c>
      <c r="AJ481" s="191" t="str">
        <f t="shared" si="137"/>
        <v/>
      </c>
      <c r="AK481" s="237" t="str">
        <f t="shared" si="126"/>
        <v/>
      </c>
      <c r="AL481" s="237" t="str">
        <f t="shared" si="138"/>
        <v/>
      </c>
      <c r="AM481" s="192" t="e">
        <f t="shared" si="127"/>
        <v>#VALUE!</v>
      </c>
      <c r="AN481" s="193" t="e">
        <f t="shared" si="128"/>
        <v>#VALUE!</v>
      </c>
      <c r="AO481" s="193" t="e">
        <f t="shared" si="129"/>
        <v>#VALUE!</v>
      </c>
      <c r="AP481" s="193"/>
      <c r="AQ481" s="204"/>
      <c r="AR481" s="204"/>
      <c r="AS481" s="204"/>
      <c r="AT481" s="205"/>
      <c r="AU481"/>
    </row>
    <row r="482" spans="2:47" ht="15" customHeight="1" x14ac:dyDescent="0.25">
      <c r="B482" s="206"/>
      <c r="C482" s="185"/>
      <c r="D482" s="164"/>
      <c r="E482" s="174"/>
      <c r="F482" s="164"/>
      <c r="G482" s="174"/>
      <c r="H482" s="164"/>
      <c r="I482" s="174"/>
      <c r="J482" s="184"/>
      <c r="K482" s="186"/>
      <c r="L482" s="187" t="str">
        <f t="shared" si="130"/>
        <v/>
      </c>
      <c r="M482" s="187" t="str">
        <f t="shared" si="131"/>
        <v/>
      </c>
      <c r="N482" s="187" t="str">
        <f t="shared" si="123"/>
        <v>D</v>
      </c>
      <c r="O482" s="187" t="str">
        <f t="shared" si="132"/>
        <v>D</v>
      </c>
      <c r="P482" s="187">
        <f t="shared" si="133"/>
        <v>1</v>
      </c>
      <c r="Q482" s="187">
        <f>IFERROR(VLOOKUP(E482,Tabela_Deflator:E$43,5,FALSE),1)</f>
        <v>1</v>
      </c>
      <c r="R482" s="188" t="str">
        <f t="shared" si="134"/>
        <v/>
      </c>
      <c r="S482" s="237" t="str">
        <f t="shared" si="124"/>
        <v/>
      </c>
      <c r="T482" s="237" t="str">
        <f t="shared" si="139"/>
        <v/>
      </c>
      <c r="U482" s="189"/>
      <c r="V482" s="167"/>
      <c r="W482" s="165"/>
      <c r="X482" s="164"/>
      <c r="Y482" s="164"/>
      <c r="Z482" s="164"/>
      <c r="AA482" s="174"/>
      <c r="AB482" s="164"/>
      <c r="AC482" s="174"/>
      <c r="AD482" s="184"/>
      <c r="AE482" s="190" t="str">
        <f t="shared" si="135"/>
        <v/>
      </c>
      <c r="AF482" s="190" t="str">
        <f t="shared" si="136"/>
        <v/>
      </c>
      <c r="AG482" s="190" t="str">
        <f t="shared" si="125"/>
        <v>D</v>
      </c>
      <c r="AH482" s="190">
        <f>IFERROR(VLOOKUP(Y482,SISP_Deflatores_e_INMs!B$4:F$49,3,FALSE),1)</f>
        <v>1</v>
      </c>
      <c r="AI482" s="190">
        <f>IFERROR(VLOOKUP(Y482,SISP_Deflatores_e_INMs!B$4:G$49,5,FALSE),1)</f>
        <v>1</v>
      </c>
      <c r="AJ482" s="191" t="str">
        <f t="shared" si="137"/>
        <v/>
      </c>
      <c r="AK482" s="237" t="str">
        <f t="shared" si="126"/>
        <v/>
      </c>
      <c r="AL482" s="237" t="str">
        <f t="shared" si="138"/>
        <v/>
      </c>
      <c r="AM482" s="192" t="e">
        <f t="shared" si="127"/>
        <v>#VALUE!</v>
      </c>
      <c r="AN482" s="193" t="e">
        <f t="shared" si="128"/>
        <v>#VALUE!</v>
      </c>
      <c r="AO482" s="193" t="e">
        <f t="shared" si="129"/>
        <v>#VALUE!</v>
      </c>
      <c r="AP482" s="193"/>
      <c r="AQ482" s="204"/>
      <c r="AR482" s="204"/>
      <c r="AS482" s="204"/>
      <c r="AT482" s="205"/>
      <c r="AU482"/>
    </row>
    <row r="483" spans="2:47" ht="15" customHeight="1" x14ac:dyDescent="0.25">
      <c r="B483" s="206"/>
      <c r="C483" s="185"/>
      <c r="D483" s="164"/>
      <c r="E483" s="174"/>
      <c r="F483" s="164"/>
      <c r="G483" s="174"/>
      <c r="H483" s="164"/>
      <c r="I483" s="174"/>
      <c r="J483" s="184"/>
      <c r="K483" s="186"/>
      <c r="L483" s="187" t="str">
        <f t="shared" si="130"/>
        <v/>
      </c>
      <c r="M483" s="187" t="str">
        <f t="shared" si="131"/>
        <v/>
      </c>
      <c r="N483" s="187" t="str">
        <f t="shared" si="123"/>
        <v>D</v>
      </c>
      <c r="O483" s="187" t="str">
        <f t="shared" si="132"/>
        <v>D</v>
      </c>
      <c r="P483" s="187">
        <f t="shared" si="133"/>
        <v>1</v>
      </c>
      <c r="Q483" s="187">
        <f>IFERROR(VLOOKUP(E483,Tabela_Deflator:E$43,5,FALSE),1)</f>
        <v>1</v>
      </c>
      <c r="R483" s="188" t="str">
        <f t="shared" si="134"/>
        <v/>
      </c>
      <c r="S483" s="237" t="str">
        <f t="shared" si="124"/>
        <v/>
      </c>
      <c r="T483" s="237" t="str">
        <f t="shared" si="139"/>
        <v/>
      </c>
      <c r="U483" s="189"/>
      <c r="V483" s="167"/>
      <c r="W483" s="165"/>
      <c r="X483" s="164"/>
      <c r="Y483" s="164"/>
      <c r="Z483" s="164"/>
      <c r="AA483" s="174"/>
      <c r="AB483" s="164"/>
      <c r="AC483" s="174"/>
      <c r="AD483" s="184"/>
      <c r="AE483" s="190" t="str">
        <f t="shared" si="135"/>
        <v/>
      </c>
      <c r="AF483" s="190" t="str">
        <f t="shared" si="136"/>
        <v/>
      </c>
      <c r="AG483" s="190" t="str">
        <f t="shared" si="125"/>
        <v>D</v>
      </c>
      <c r="AH483" s="190">
        <f>IFERROR(VLOOKUP(Y483,SISP_Deflatores_e_INMs!B$4:F$49,3,FALSE),1)</f>
        <v>1</v>
      </c>
      <c r="AI483" s="190">
        <f>IFERROR(VLOOKUP(Y483,SISP_Deflatores_e_INMs!B$4:G$49,5,FALSE),1)</f>
        <v>1</v>
      </c>
      <c r="AJ483" s="191" t="str">
        <f t="shared" si="137"/>
        <v/>
      </c>
      <c r="AK483" s="237" t="str">
        <f t="shared" si="126"/>
        <v/>
      </c>
      <c r="AL483" s="237" t="str">
        <f t="shared" si="138"/>
        <v/>
      </c>
      <c r="AM483" s="192" t="e">
        <f t="shared" si="127"/>
        <v>#VALUE!</v>
      </c>
      <c r="AN483" s="193" t="e">
        <f t="shared" si="128"/>
        <v>#VALUE!</v>
      </c>
      <c r="AO483" s="193" t="e">
        <f t="shared" si="129"/>
        <v>#VALUE!</v>
      </c>
      <c r="AP483" s="193"/>
      <c r="AQ483" s="204"/>
      <c r="AR483" s="204"/>
      <c r="AS483" s="204"/>
      <c r="AT483" s="205"/>
      <c r="AU483"/>
    </row>
    <row r="484" spans="2:47" ht="15" customHeight="1" x14ac:dyDescent="0.25">
      <c r="B484" s="206"/>
      <c r="C484" s="185"/>
      <c r="D484" s="164"/>
      <c r="E484" s="174"/>
      <c r="F484" s="164"/>
      <c r="G484" s="174"/>
      <c r="H484" s="164"/>
      <c r="I484" s="174"/>
      <c r="J484" s="184"/>
      <c r="K484" s="186"/>
      <c r="L484" s="187" t="str">
        <f t="shared" si="130"/>
        <v/>
      </c>
      <c r="M484" s="187" t="str">
        <f t="shared" si="131"/>
        <v/>
      </c>
      <c r="N484" s="187" t="str">
        <f t="shared" si="123"/>
        <v>D</v>
      </c>
      <c r="O484" s="187" t="str">
        <f t="shared" si="132"/>
        <v>D</v>
      </c>
      <c r="P484" s="187">
        <f t="shared" si="133"/>
        <v>1</v>
      </c>
      <c r="Q484" s="187">
        <f>IFERROR(VLOOKUP(E484,Tabela_Deflator:E$43,5,FALSE),1)</f>
        <v>1</v>
      </c>
      <c r="R484" s="188" t="str">
        <f t="shared" si="134"/>
        <v/>
      </c>
      <c r="S484" s="237" t="str">
        <f t="shared" si="124"/>
        <v/>
      </c>
      <c r="T484" s="237" t="str">
        <f t="shared" si="139"/>
        <v/>
      </c>
      <c r="U484" s="189"/>
      <c r="V484" s="167"/>
      <c r="W484" s="165"/>
      <c r="X484" s="164"/>
      <c r="Y484" s="164"/>
      <c r="Z484" s="164"/>
      <c r="AA484" s="174"/>
      <c r="AB484" s="164"/>
      <c r="AC484" s="174"/>
      <c r="AD484" s="184"/>
      <c r="AE484" s="190" t="str">
        <f t="shared" si="135"/>
        <v/>
      </c>
      <c r="AF484" s="190" t="str">
        <f t="shared" si="136"/>
        <v/>
      </c>
      <c r="AG484" s="190" t="str">
        <f t="shared" si="125"/>
        <v>D</v>
      </c>
      <c r="AH484" s="190">
        <f>IFERROR(VLOOKUP(Y484,SISP_Deflatores_e_INMs!B$4:F$49,3,FALSE),1)</f>
        <v>1</v>
      </c>
      <c r="AI484" s="190">
        <f>IFERROR(VLOOKUP(Y484,SISP_Deflatores_e_INMs!B$4:G$49,5,FALSE),1)</f>
        <v>1</v>
      </c>
      <c r="AJ484" s="191" t="str">
        <f t="shared" si="137"/>
        <v/>
      </c>
      <c r="AK484" s="237" t="str">
        <f t="shared" si="126"/>
        <v/>
      </c>
      <c r="AL484" s="237" t="str">
        <f t="shared" si="138"/>
        <v/>
      </c>
      <c r="AM484" s="192" t="e">
        <f t="shared" si="127"/>
        <v>#VALUE!</v>
      </c>
      <c r="AN484" s="193" t="e">
        <f t="shared" si="128"/>
        <v>#VALUE!</v>
      </c>
      <c r="AO484" s="193" t="e">
        <f t="shared" si="129"/>
        <v>#VALUE!</v>
      </c>
      <c r="AP484" s="193"/>
      <c r="AQ484" s="204"/>
      <c r="AR484" s="204"/>
      <c r="AS484" s="204"/>
      <c r="AT484" s="205"/>
      <c r="AU484"/>
    </row>
    <row r="485" spans="2:47" ht="15" customHeight="1" x14ac:dyDescent="0.25">
      <c r="B485" s="206"/>
      <c r="C485" s="185"/>
      <c r="D485" s="164"/>
      <c r="E485" s="174"/>
      <c r="F485" s="164"/>
      <c r="G485" s="174"/>
      <c r="H485" s="164"/>
      <c r="I485" s="174"/>
      <c r="J485" s="184"/>
      <c r="K485" s="186"/>
      <c r="L485" s="187" t="str">
        <f t="shared" si="130"/>
        <v/>
      </c>
      <c r="M485" s="187" t="str">
        <f t="shared" si="131"/>
        <v/>
      </c>
      <c r="N485" s="187" t="str">
        <f t="shared" si="123"/>
        <v>D</v>
      </c>
      <c r="O485" s="187" t="str">
        <f t="shared" si="132"/>
        <v>D</v>
      </c>
      <c r="P485" s="187">
        <f t="shared" si="133"/>
        <v>1</v>
      </c>
      <c r="Q485" s="187">
        <f>IFERROR(VLOOKUP(E485,Tabela_Deflator:E$43,5,FALSE),1)</f>
        <v>1</v>
      </c>
      <c r="R485" s="188" t="str">
        <f t="shared" si="134"/>
        <v/>
      </c>
      <c r="S485" s="237" t="str">
        <f t="shared" si="124"/>
        <v/>
      </c>
      <c r="T485" s="237" t="str">
        <f t="shared" si="139"/>
        <v/>
      </c>
      <c r="U485" s="189"/>
      <c r="V485" s="167"/>
      <c r="W485" s="165"/>
      <c r="X485" s="164"/>
      <c r="Y485" s="164"/>
      <c r="Z485" s="164"/>
      <c r="AA485" s="174"/>
      <c r="AB485" s="164"/>
      <c r="AC485" s="174"/>
      <c r="AD485" s="184"/>
      <c r="AE485" s="190" t="str">
        <f t="shared" si="135"/>
        <v/>
      </c>
      <c r="AF485" s="190" t="str">
        <f t="shared" si="136"/>
        <v/>
      </c>
      <c r="AG485" s="190" t="str">
        <f t="shared" si="125"/>
        <v>D</v>
      </c>
      <c r="AH485" s="190">
        <f>IFERROR(VLOOKUP(Y485,SISP_Deflatores_e_INMs!B$4:F$49,3,FALSE),1)</f>
        <v>1</v>
      </c>
      <c r="AI485" s="190">
        <f>IFERROR(VLOOKUP(Y485,SISP_Deflatores_e_INMs!B$4:G$49,5,FALSE),1)</f>
        <v>1</v>
      </c>
      <c r="AJ485" s="191" t="str">
        <f t="shared" si="137"/>
        <v/>
      </c>
      <c r="AK485" s="237" t="str">
        <f t="shared" si="126"/>
        <v/>
      </c>
      <c r="AL485" s="237" t="str">
        <f t="shared" si="138"/>
        <v/>
      </c>
      <c r="AM485" s="192" t="e">
        <f t="shared" si="127"/>
        <v>#VALUE!</v>
      </c>
      <c r="AN485" s="193" t="e">
        <f t="shared" si="128"/>
        <v>#VALUE!</v>
      </c>
      <c r="AO485" s="193" t="e">
        <f t="shared" si="129"/>
        <v>#VALUE!</v>
      </c>
      <c r="AP485" s="193"/>
      <c r="AQ485" s="204"/>
      <c r="AR485" s="204"/>
      <c r="AS485" s="204"/>
      <c r="AT485" s="205"/>
      <c r="AU485"/>
    </row>
    <row r="486" spans="2:47" ht="15" customHeight="1" x14ac:dyDescent="0.25">
      <c r="B486" s="206"/>
      <c r="C486" s="185"/>
      <c r="D486" s="164"/>
      <c r="E486" s="174"/>
      <c r="F486" s="164"/>
      <c r="G486" s="174"/>
      <c r="H486" s="164"/>
      <c r="I486" s="174"/>
      <c r="J486" s="184"/>
      <c r="K486" s="186"/>
      <c r="L486" s="187" t="str">
        <f t="shared" si="130"/>
        <v/>
      </c>
      <c r="M486" s="187" t="str">
        <f t="shared" si="131"/>
        <v/>
      </c>
      <c r="N486" s="187" t="str">
        <f t="shared" si="123"/>
        <v>D</v>
      </c>
      <c r="O486" s="187" t="str">
        <f t="shared" si="132"/>
        <v>D</v>
      </c>
      <c r="P486" s="187">
        <f t="shared" si="133"/>
        <v>1</v>
      </c>
      <c r="Q486" s="187">
        <f>IFERROR(VLOOKUP(E486,Tabela_Deflator:E$43,5,FALSE),1)</f>
        <v>1</v>
      </c>
      <c r="R486" s="188" t="str">
        <f t="shared" si="134"/>
        <v/>
      </c>
      <c r="S486" s="237" t="str">
        <f t="shared" si="124"/>
        <v/>
      </c>
      <c r="T486" s="237" t="str">
        <f t="shared" si="139"/>
        <v/>
      </c>
      <c r="U486" s="189"/>
      <c r="V486" s="167"/>
      <c r="W486" s="165"/>
      <c r="X486" s="164"/>
      <c r="Y486" s="164"/>
      <c r="Z486" s="164"/>
      <c r="AA486" s="174"/>
      <c r="AB486" s="164"/>
      <c r="AC486" s="174"/>
      <c r="AD486" s="184"/>
      <c r="AE486" s="190" t="str">
        <f t="shared" si="135"/>
        <v/>
      </c>
      <c r="AF486" s="190" t="str">
        <f t="shared" si="136"/>
        <v/>
      </c>
      <c r="AG486" s="190" t="str">
        <f t="shared" si="125"/>
        <v>D</v>
      </c>
      <c r="AH486" s="190">
        <f>IFERROR(VLOOKUP(Y486,SISP_Deflatores_e_INMs!B$4:F$49,3,FALSE),1)</f>
        <v>1</v>
      </c>
      <c r="AI486" s="190">
        <f>IFERROR(VLOOKUP(Y486,SISP_Deflatores_e_INMs!B$4:G$49,5,FALSE),1)</f>
        <v>1</v>
      </c>
      <c r="AJ486" s="191" t="str">
        <f t="shared" si="137"/>
        <v/>
      </c>
      <c r="AK486" s="237" t="str">
        <f t="shared" si="126"/>
        <v/>
      </c>
      <c r="AL486" s="237" t="str">
        <f t="shared" si="138"/>
        <v/>
      </c>
      <c r="AM486" s="192" t="e">
        <f t="shared" si="127"/>
        <v>#VALUE!</v>
      </c>
      <c r="AN486" s="193" t="e">
        <f t="shared" si="128"/>
        <v>#VALUE!</v>
      </c>
      <c r="AO486" s="193" t="e">
        <f t="shared" si="129"/>
        <v>#VALUE!</v>
      </c>
      <c r="AP486" s="193"/>
      <c r="AQ486" s="204"/>
      <c r="AR486" s="204"/>
      <c r="AS486" s="204"/>
      <c r="AT486" s="205"/>
      <c r="AU486"/>
    </row>
    <row r="487" spans="2:47" ht="15" customHeight="1" x14ac:dyDescent="0.25">
      <c r="B487" s="206"/>
      <c r="C487" s="185"/>
      <c r="D487" s="164"/>
      <c r="E487" s="174"/>
      <c r="F487" s="164"/>
      <c r="G487" s="174"/>
      <c r="H487" s="164"/>
      <c r="I487" s="174"/>
      <c r="J487" s="184"/>
      <c r="K487" s="186"/>
      <c r="L487" s="187" t="str">
        <f t="shared" si="130"/>
        <v/>
      </c>
      <c r="M487" s="187" t="str">
        <f t="shared" si="131"/>
        <v/>
      </c>
      <c r="N487" s="187" t="str">
        <f t="shared" si="123"/>
        <v>D</v>
      </c>
      <c r="O487" s="187" t="str">
        <f t="shared" si="132"/>
        <v>D</v>
      </c>
      <c r="P487" s="187">
        <f t="shared" si="133"/>
        <v>1</v>
      </c>
      <c r="Q487" s="187">
        <f>IFERROR(VLOOKUP(E487,Tabela_Deflator:E$43,5,FALSE),1)</f>
        <v>1</v>
      </c>
      <c r="R487" s="188" t="str">
        <f t="shared" si="134"/>
        <v/>
      </c>
      <c r="S487" s="237" t="str">
        <f t="shared" si="124"/>
        <v/>
      </c>
      <c r="T487" s="237" t="str">
        <f t="shared" si="139"/>
        <v/>
      </c>
      <c r="U487" s="189"/>
      <c r="V487" s="167"/>
      <c r="W487" s="165"/>
      <c r="X487" s="164"/>
      <c r="Y487" s="164"/>
      <c r="Z487" s="164"/>
      <c r="AA487" s="174"/>
      <c r="AB487" s="164"/>
      <c r="AC487" s="174"/>
      <c r="AD487" s="184"/>
      <c r="AE487" s="190" t="str">
        <f t="shared" si="135"/>
        <v/>
      </c>
      <c r="AF487" s="190" t="str">
        <f t="shared" si="136"/>
        <v/>
      </c>
      <c r="AG487" s="190" t="str">
        <f t="shared" si="125"/>
        <v>D</v>
      </c>
      <c r="AH487" s="190">
        <f>IFERROR(VLOOKUP(Y487,SISP_Deflatores_e_INMs!B$4:F$49,3,FALSE),1)</f>
        <v>1</v>
      </c>
      <c r="AI487" s="190">
        <f>IFERROR(VLOOKUP(Y487,SISP_Deflatores_e_INMs!B$4:G$49,5,FALSE),1)</f>
        <v>1</v>
      </c>
      <c r="AJ487" s="191" t="str">
        <f t="shared" si="137"/>
        <v/>
      </c>
      <c r="AK487" s="237" t="str">
        <f t="shared" si="126"/>
        <v/>
      </c>
      <c r="AL487" s="237" t="str">
        <f t="shared" si="138"/>
        <v/>
      </c>
      <c r="AM487" s="192" t="e">
        <f t="shared" si="127"/>
        <v>#VALUE!</v>
      </c>
      <c r="AN487" s="193" t="e">
        <f t="shared" si="128"/>
        <v>#VALUE!</v>
      </c>
      <c r="AO487" s="193" t="e">
        <f t="shared" si="129"/>
        <v>#VALUE!</v>
      </c>
      <c r="AP487" s="193"/>
      <c r="AQ487" s="204"/>
      <c r="AR487" s="204"/>
      <c r="AS487" s="204"/>
      <c r="AT487" s="205"/>
      <c r="AU487"/>
    </row>
    <row r="488" spans="2:47" ht="15" customHeight="1" x14ac:dyDescent="0.25">
      <c r="B488" s="206"/>
      <c r="C488" s="185"/>
      <c r="D488" s="164"/>
      <c r="E488" s="174"/>
      <c r="F488" s="164"/>
      <c r="G488" s="174"/>
      <c r="H488" s="164"/>
      <c r="I488" s="174"/>
      <c r="J488" s="184"/>
      <c r="K488" s="186"/>
      <c r="L488" s="187" t="str">
        <f t="shared" si="130"/>
        <v/>
      </c>
      <c r="M488" s="187" t="str">
        <f t="shared" si="131"/>
        <v/>
      </c>
      <c r="N488" s="187" t="str">
        <f t="shared" si="123"/>
        <v>D</v>
      </c>
      <c r="O488" s="187" t="str">
        <f t="shared" si="132"/>
        <v>D</v>
      </c>
      <c r="P488" s="187">
        <f t="shared" si="133"/>
        <v>1</v>
      </c>
      <c r="Q488" s="187">
        <f>IFERROR(VLOOKUP(E488,Tabela_Deflator:E$43,5,FALSE),1)</f>
        <v>1</v>
      </c>
      <c r="R488" s="188" t="str">
        <f t="shared" si="134"/>
        <v/>
      </c>
      <c r="S488" s="237" t="str">
        <f t="shared" si="124"/>
        <v/>
      </c>
      <c r="T488" s="237" t="str">
        <f t="shared" si="139"/>
        <v/>
      </c>
      <c r="U488" s="189"/>
      <c r="V488" s="167"/>
      <c r="W488" s="165"/>
      <c r="X488" s="164"/>
      <c r="Y488" s="164"/>
      <c r="Z488" s="164"/>
      <c r="AA488" s="174"/>
      <c r="AB488" s="164"/>
      <c r="AC488" s="174"/>
      <c r="AD488" s="184"/>
      <c r="AE488" s="190" t="str">
        <f t="shared" si="135"/>
        <v/>
      </c>
      <c r="AF488" s="190" t="str">
        <f t="shared" si="136"/>
        <v/>
      </c>
      <c r="AG488" s="190" t="str">
        <f t="shared" si="125"/>
        <v>D</v>
      </c>
      <c r="AH488" s="190">
        <f>IFERROR(VLOOKUP(Y488,SISP_Deflatores_e_INMs!B$4:F$49,3,FALSE),1)</f>
        <v>1</v>
      </c>
      <c r="AI488" s="190">
        <f>IFERROR(VLOOKUP(Y488,SISP_Deflatores_e_INMs!B$4:G$49,5,FALSE),1)</f>
        <v>1</v>
      </c>
      <c r="AJ488" s="191" t="str">
        <f t="shared" si="137"/>
        <v/>
      </c>
      <c r="AK488" s="237" t="str">
        <f t="shared" si="126"/>
        <v/>
      </c>
      <c r="AL488" s="237" t="str">
        <f t="shared" si="138"/>
        <v/>
      </c>
      <c r="AM488" s="192" t="e">
        <f t="shared" si="127"/>
        <v>#VALUE!</v>
      </c>
      <c r="AN488" s="193" t="e">
        <f t="shared" si="128"/>
        <v>#VALUE!</v>
      </c>
      <c r="AO488" s="193" t="e">
        <f t="shared" si="129"/>
        <v>#VALUE!</v>
      </c>
      <c r="AP488" s="193"/>
      <c r="AQ488" s="204"/>
      <c r="AR488" s="204"/>
      <c r="AS488" s="204"/>
      <c r="AT488" s="205"/>
      <c r="AU488"/>
    </row>
    <row r="489" spans="2:47" ht="15" customHeight="1" x14ac:dyDescent="0.25">
      <c r="B489" s="206"/>
      <c r="C489" s="185"/>
      <c r="D489" s="164"/>
      <c r="E489" s="174"/>
      <c r="F489" s="164"/>
      <c r="G489" s="174"/>
      <c r="H489" s="164"/>
      <c r="I489" s="174"/>
      <c r="J489" s="184"/>
      <c r="K489" s="186"/>
      <c r="L489" s="187" t="str">
        <f t="shared" si="130"/>
        <v/>
      </c>
      <c r="M489" s="187" t="str">
        <f t="shared" si="131"/>
        <v/>
      </c>
      <c r="N489" s="187" t="str">
        <f t="shared" si="123"/>
        <v>D</v>
      </c>
      <c r="O489" s="187" t="str">
        <f t="shared" si="132"/>
        <v>D</v>
      </c>
      <c r="P489" s="187">
        <f t="shared" si="133"/>
        <v>1</v>
      </c>
      <c r="Q489" s="187">
        <f>IFERROR(VLOOKUP(E489,Tabela_Deflator:E$43,5,FALSE),1)</f>
        <v>1</v>
      </c>
      <c r="R489" s="188" t="str">
        <f t="shared" si="134"/>
        <v/>
      </c>
      <c r="S489" s="237" t="str">
        <f t="shared" si="124"/>
        <v/>
      </c>
      <c r="T489" s="237" t="str">
        <f t="shared" si="139"/>
        <v/>
      </c>
      <c r="U489" s="189"/>
      <c r="V489" s="167"/>
      <c r="W489" s="165"/>
      <c r="X489" s="164"/>
      <c r="Y489" s="164"/>
      <c r="Z489" s="164"/>
      <c r="AA489" s="174"/>
      <c r="AB489" s="164"/>
      <c r="AC489" s="174"/>
      <c r="AD489" s="184"/>
      <c r="AE489" s="190" t="str">
        <f t="shared" si="135"/>
        <v/>
      </c>
      <c r="AF489" s="190" t="str">
        <f t="shared" si="136"/>
        <v/>
      </c>
      <c r="AG489" s="190" t="str">
        <f t="shared" si="125"/>
        <v>D</v>
      </c>
      <c r="AH489" s="190">
        <f>IFERROR(VLOOKUP(Y489,SISP_Deflatores_e_INMs!B$4:F$49,3,FALSE),1)</f>
        <v>1</v>
      </c>
      <c r="AI489" s="190">
        <f>IFERROR(VLOOKUP(Y489,SISP_Deflatores_e_INMs!B$4:G$49,5,FALSE),1)</f>
        <v>1</v>
      </c>
      <c r="AJ489" s="191" t="str">
        <f t="shared" si="137"/>
        <v/>
      </c>
      <c r="AK489" s="237" t="str">
        <f t="shared" si="126"/>
        <v/>
      </c>
      <c r="AL489" s="237" t="str">
        <f t="shared" si="138"/>
        <v/>
      </c>
      <c r="AM489" s="192" t="e">
        <f t="shared" si="127"/>
        <v>#VALUE!</v>
      </c>
      <c r="AN489" s="193" t="e">
        <f t="shared" si="128"/>
        <v>#VALUE!</v>
      </c>
      <c r="AO489" s="193" t="e">
        <f t="shared" si="129"/>
        <v>#VALUE!</v>
      </c>
      <c r="AP489" s="193"/>
      <c r="AQ489" s="204"/>
      <c r="AR489" s="204"/>
      <c r="AS489" s="204"/>
      <c r="AT489" s="205"/>
      <c r="AU489"/>
    </row>
    <row r="490" spans="2:47" ht="15" customHeight="1" x14ac:dyDescent="0.25">
      <c r="B490" s="206"/>
      <c r="C490" s="185"/>
      <c r="D490" s="164"/>
      <c r="E490" s="174"/>
      <c r="F490" s="164"/>
      <c r="G490" s="174"/>
      <c r="H490" s="164"/>
      <c r="I490" s="174"/>
      <c r="J490" s="184"/>
      <c r="K490" s="186"/>
      <c r="L490" s="187" t="str">
        <f t="shared" si="130"/>
        <v/>
      </c>
      <c r="M490" s="187" t="str">
        <f t="shared" si="131"/>
        <v/>
      </c>
      <c r="N490" s="187" t="str">
        <f t="shared" si="123"/>
        <v>D</v>
      </c>
      <c r="O490" s="187" t="str">
        <f t="shared" si="132"/>
        <v>D</v>
      </c>
      <c r="P490" s="187">
        <f t="shared" si="133"/>
        <v>1</v>
      </c>
      <c r="Q490" s="187">
        <f>IFERROR(VLOOKUP(E490,Tabela_Deflator:E$43,5,FALSE),1)</f>
        <v>1</v>
      </c>
      <c r="R490" s="188" t="str">
        <f t="shared" si="134"/>
        <v/>
      </c>
      <c r="S490" s="237" t="str">
        <f t="shared" si="124"/>
        <v/>
      </c>
      <c r="T490" s="237" t="str">
        <f t="shared" si="139"/>
        <v/>
      </c>
      <c r="U490" s="189"/>
      <c r="V490" s="167"/>
      <c r="W490" s="165"/>
      <c r="X490" s="164"/>
      <c r="Y490" s="164"/>
      <c r="Z490" s="164"/>
      <c r="AA490" s="174"/>
      <c r="AB490" s="164"/>
      <c r="AC490" s="174"/>
      <c r="AD490" s="184"/>
      <c r="AE490" s="190" t="str">
        <f t="shared" si="135"/>
        <v/>
      </c>
      <c r="AF490" s="190" t="str">
        <f t="shared" si="136"/>
        <v/>
      </c>
      <c r="AG490" s="190" t="str">
        <f t="shared" si="125"/>
        <v>D</v>
      </c>
      <c r="AH490" s="190">
        <f>IFERROR(VLOOKUP(Y490,SISP_Deflatores_e_INMs!B$4:F$49,3,FALSE),1)</f>
        <v>1</v>
      </c>
      <c r="AI490" s="190">
        <f>IFERROR(VLOOKUP(Y490,SISP_Deflatores_e_INMs!B$4:G$49,5,FALSE),1)</f>
        <v>1</v>
      </c>
      <c r="AJ490" s="191" t="str">
        <f t="shared" si="137"/>
        <v/>
      </c>
      <c r="AK490" s="237" t="str">
        <f t="shared" si="126"/>
        <v/>
      </c>
      <c r="AL490" s="237" t="str">
        <f t="shared" si="138"/>
        <v/>
      </c>
      <c r="AM490" s="192" t="e">
        <f t="shared" si="127"/>
        <v>#VALUE!</v>
      </c>
      <c r="AN490" s="193" t="e">
        <f t="shared" si="128"/>
        <v>#VALUE!</v>
      </c>
      <c r="AO490" s="193" t="e">
        <f t="shared" si="129"/>
        <v>#VALUE!</v>
      </c>
      <c r="AP490" s="193"/>
      <c r="AQ490" s="204"/>
      <c r="AR490" s="204"/>
      <c r="AS490" s="204"/>
      <c r="AT490" s="205"/>
      <c r="AU490"/>
    </row>
    <row r="491" spans="2:47" ht="15" customHeight="1" x14ac:dyDescent="0.25">
      <c r="B491" s="206"/>
      <c r="C491" s="185"/>
      <c r="D491" s="164"/>
      <c r="E491" s="174"/>
      <c r="F491" s="164"/>
      <c r="G491" s="174"/>
      <c r="H491" s="164"/>
      <c r="I491" s="174"/>
      <c r="J491" s="184"/>
      <c r="K491" s="186"/>
      <c r="L491" s="187" t="str">
        <f t="shared" si="130"/>
        <v/>
      </c>
      <c r="M491" s="187" t="str">
        <f t="shared" si="131"/>
        <v/>
      </c>
      <c r="N491" s="187" t="str">
        <f t="shared" si="123"/>
        <v>D</v>
      </c>
      <c r="O491" s="187" t="str">
        <f t="shared" si="132"/>
        <v>D</v>
      </c>
      <c r="P491" s="187">
        <f t="shared" si="133"/>
        <v>1</v>
      </c>
      <c r="Q491" s="187">
        <f>IFERROR(VLOOKUP(E491,Tabela_Deflator:E$43,5,FALSE),1)</f>
        <v>1</v>
      </c>
      <c r="R491" s="188" t="str">
        <f t="shared" si="134"/>
        <v/>
      </c>
      <c r="S491" s="237" t="str">
        <f t="shared" si="124"/>
        <v/>
      </c>
      <c r="T491" s="237" t="str">
        <f t="shared" si="139"/>
        <v/>
      </c>
      <c r="U491" s="189"/>
      <c r="V491" s="167"/>
      <c r="W491" s="165"/>
      <c r="X491" s="164"/>
      <c r="Y491" s="164"/>
      <c r="Z491" s="164"/>
      <c r="AA491" s="174"/>
      <c r="AB491" s="164"/>
      <c r="AC491" s="174"/>
      <c r="AD491" s="184"/>
      <c r="AE491" s="190" t="str">
        <f t="shared" si="135"/>
        <v/>
      </c>
      <c r="AF491" s="190" t="str">
        <f t="shared" si="136"/>
        <v/>
      </c>
      <c r="AG491" s="190" t="str">
        <f t="shared" si="125"/>
        <v>D</v>
      </c>
      <c r="AH491" s="190">
        <f>IFERROR(VLOOKUP(Y491,SISP_Deflatores_e_INMs!B$4:F$49,3,FALSE),1)</f>
        <v>1</v>
      </c>
      <c r="AI491" s="190">
        <f>IFERROR(VLOOKUP(Y491,SISP_Deflatores_e_INMs!B$4:G$49,5,FALSE),1)</f>
        <v>1</v>
      </c>
      <c r="AJ491" s="191" t="str">
        <f t="shared" si="137"/>
        <v/>
      </c>
      <c r="AK491" s="237" t="str">
        <f t="shared" si="126"/>
        <v/>
      </c>
      <c r="AL491" s="237" t="str">
        <f t="shared" si="138"/>
        <v/>
      </c>
      <c r="AM491" s="192" t="e">
        <f t="shared" si="127"/>
        <v>#VALUE!</v>
      </c>
      <c r="AN491" s="193" t="e">
        <f t="shared" si="128"/>
        <v>#VALUE!</v>
      </c>
      <c r="AO491" s="193" t="e">
        <f t="shared" si="129"/>
        <v>#VALUE!</v>
      </c>
      <c r="AP491" s="193"/>
      <c r="AQ491" s="204"/>
      <c r="AR491" s="204"/>
      <c r="AS491" s="204"/>
      <c r="AT491" s="205"/>
      <c r="AU491"/>
    </row>
    <row r="492" spans="2:47" ht="15" customHeight="1" x14ac:dyDescent="0.25">
      <c r="B492" s="206"/>
      <c r="C492" s="185"/>
      <c r="D492" s="164"/>
      <c r="E492" s="174"/>
      <c r="F492" s="164"/>
      <c r="G492" s="174"/>
      <c r="H492" s="164"/>
      <c r="I492" s="174"/>
      <c r="J492" s="184"/>
      <c r="K492" s="186"/>
      <c r="L492" s="187" t="str">
        <f t="shared" si="130"/>
        <v/>
      </c>
      <c r="M492" s="187" t="str">
        <f t="shared" si="131"/>
        <v/>
      </c>
      <c r="N492" s="187" t="str">
        <f t="shared" si="123"/>
        <v>D</v>
      </c>
      <c r="O492" s="187" t="str">
        <f t="shared" si="132"/>
        <v>D</v>
      </c>
      <c r="P492" s="187">
        <f t="shared" si="133"/>
        <v>1</v>
      </c>
      <c r="Q492" s="187">
        <f>IFERROR(VLOOKUP(E492,Tabela_Deflator:E$43,5,FALSE),1)</f>
        <v>1</v>
      </c>
      <c r="R492" s="188" t="str">
        <f t="shared" si="134"/>
        <v/>
      </c>
      <c r="S492" s="237" t="str">
        <f t="shared" si="124"/>
        <v/>
      </c>
      <c r="T492" s="237" t="str">
        <f t="shared" si="139"/>
        <v/>
      </c>
      <c r="U492" s="189"/>
      <c r="V492" s="167"/>
      <c r="W492" s="165"/>
      <c r="X492" s="164"/>
      <c r="Y492" s="164"/>
      <c r="Z492" s="164"/>
      <c r="AA492" s="174"/>
      <c r="AB492" s="164"/>
      <c r="AC492" s="174"/>
      <c r="AD492" s="184"/>
      <c r="AE492" s="190" t="str">
        <f t="shared" si="135"/>
        <v/>
      </c>
      <c r="AF492" s="190" t="str">
        <f t="shared" si="136"/>
        <v/>
      </c>
      <c r="AG492" s="190" t="str">
        <f t="shared" si="125"/>
        <v>D</v>
      </c>
      <c r="AH492" s="190">
        <f>IFERROR(VLOOKUP(Y492,SISP_Deflatores_e_INMs!B$4:F$49,3,FALSE),1)</f>
        <v>1</v>
      </c>
      <c r="AI492" s="190">
        <f>IFERROR(VLOOKUP(Y492,SISP_Deflatores_e_INMs!B$4:G$49,5,FALSE),1)</f>
        <v>1</v>
      </c>
      <c r="AJ492" s="191" t="str">
        <f t="shared" si="137"/>
        <v/>
      </c>
      <c r="AK492" s="237" t="str">
        <f t="shared" si="126"/>
        <v/>
      </c>
      <c r="AL492" s="237" t="str">
        <f t="shared" si="138"/>
        <v/>
      </c>
      <c r="AM492" s="192" t="e">
        <f t="shared" si="127"/>
        <v>#VALUE!</v>
      </c>
      <c r="AN492" s="193" t="e">
        <f t="shared" si="128"/>
        <v>#VALUE!</v>
      </c>
      <c r="AO492" s="193" t="e">
        <f t="shared" si="129"/>
        <v>#VALUE!</v>
      </c>
      <c r="AP492" s="193"/>
      <c r="AQ492" s="204"/>
      <c r="AR492" s="204"/>
      <c r="AS492" s="204"/>
      <c r="AT492" s="205"/>
      <c r="AU492"/>
    </row>
    <row r="493" spans="2:47" ht="15" customHeight="1" x14ac:dyDescent="0.25">
      <c r="B493" s="206"/>
      <c r="C493" s="185"/>
      <c r="D493" s="164"/>
      <c r="E493" s="174"/>
      <c r="F493" s="164"/>
      <c r="G493" s="174"/>
      <c r="H493" s="164"/>
      <c r="I493" s="174"/>
      <c r="J493" s="184"/>
      <c r="K493" s="186"/>
      <c r="L493" s="187" t="str">
        <f t="shared" si="130"/>
        <v/>
      </c>
      <c r="M493" s="187" t="str">
        <f t="shared" si="131"/>
        <v/>
      </c>
      <c r="N493" s="187" t="str">
        <f t="shared" si="123"/>
        <v>D</v>
      </c>
      <c r="O493" s="187" t="str">
        <f t="shared" si="132"/>
        <v>D</v>
      </c>
      <c r="P493" s="187">
        <f t="shared" si="133"/>
        <v>1</v>
      </c>
      <c r="Q493" s="187">
        <f>IFERROR(VLOOKUP(E493,Tabela_Deflator:E$43,5,FALSE),1)</f>
        <v>1</v>
      </c>
      <c r="R493" s="188" t="str">
        <f t="shared" si="134"/>
        <v/>
      </c>
      <c r="S493" s="237" t="str">
        <f t="shared" si="124"/>
        <v/>
      </c>
      <c r="T493" s="237" t="str">
        <f t="shared" si="139"/>
        <v/>
      </c>
      <c r="U493" s="189"/>
      <c r="V493" s="167"/>
      <c r="W493" s="165"/>
      <c r="X493" s="164"/>
      <c r="Y493" s="164"/>
      <c r="Z493" s="164"/>
      <c r="AA493" s="174"/>
      <c r="AB493" s="164"/>
      <c r="AC493" s="174"/>
      <c r="AD493" s="184"/>
      <c r="AE493" s="190" t="str">
        <f t="shared" si="135"/>
        <v/>
      </c>
      <c r="AF493" s="190" t="str">
        <f t="shared" si="136"/>
        <v/>
      </c>
      <c r="AG493" s="190" t="str">
        <f t="shared" si="125"/>
        <v>D</v>
      </c>
      <c r="AH493" s="190">
        <f>IFERROR(VLOOKUP(Y493,SISP_Deflatores_e_INMs!B$4:F$49,3,FALSE),1)</f>
        <v>1</v>
      </c>
      <c r="AI493" s="190">
        <f>IFERROR(VLOOKUP(Y493,SISP_Deflatores_e_INMs!B$4:G$49,5,FALSE),1)</f>
        <v>1</v>
      </c>
      <c r="AJ493" s="191" t="str">
        <f t="shared" si="137"/>
        <v/>
      </c>
      <c r="AK493" s="237" t="str">
        <f t="shared" si="126"/>
        <v/>
      </c>
      <c r="AL493" s="237" t="str">
        <f t="shared" si="138"/>
        <v/>
      </c>
      <c r="AM493" s="192" t="e">
        <f t="shared" si="127"/>
        <v>#VALUE!</v>
      </c>
      <c r="AN493" s="193" t="e">
        <f t="shared" si="128"/>
        <v>#VALUE!</v>
      </c>
      <c r="AO493" s="193" t="e">
        <f t="shared" si="129"/>
        <v>#VALUE!</v>
      </c>
      <c r="AP493" s="193"/>
      <c r="AQ493" s="204"/>
      <c r="AR493" s="204"/>
      <c r="AS493" s="204"/>
      <c r="AT493" s="205"/>
      <c r="AU493"/>
    </row>
    <row r="494" spans="2:47" ht="15" customHeight="1" x14ac:dyDescent="0.25">
      <c r="B494" s="206"/>
      <c r="C494" s="185"/>
      <c r="D494" s="164"/>
      <c r="E494" s="174"/>
      <c r="F494" s="164"/>
      <c r="G494" s="174"/>
      <c r="H494" s="164"/>
      <c r="I494" s="174"/>
      <c r="J494" s="184"/>
      <c r="K494" s="186"/>
      <c r="L494" s="187" t="str">
        <f t="shared" si="130"/>
        <v/>
      </c>
      <c r="M494" s="187" t="str">
        <f t="shared" si="131"/>
        <v/>
      </c>
      <c r="N494" s="187" t="str">
        <f t="shared" si="123"/>
        <v>D</v>
      </c>
      <c r="O494" s="187" t="str">
        <f t="shared" si="132"/>
        <v>D</v>
      </c>
      <c r="P494" s="187">
        <f t="shared" si="133"/>
        <v>1</v>
      </c>
      <c r="Q494" s="187">
        <f>IFERROR(VLOOKUP(E494,Tabela_Deflator:E$43,5,FALSE),1)</f>
        <v>1</v>
      </c>
      <c r="R494" s="188" t="str">
        <f t="shared" si="134"/>
        <v/>
      </c>
      <c r="S494" s="237" t="str">
        <f t="shared" si="124"/>
        <v/>
      </c>
      <c r="T494" s="237" t="str">
        <f t="shared" si="139"/>
        <v/>
      </c>
      <c r="U494" s="189"/>
      <c r="V494" s="167"/>
      <c r="W494" s="165"/>
      <c r="X494" s="164"/>
      <c r="Y494" s="164"/>
      <c r="Z494" s="164"/>
      <c r="AA494" s="174"/>
      <c r="AB494" s="164"/>
      <c r="AC494" s="174"/>
      <c r="AD494" s="184"/>
      <c r="AE494" s="190" t="str">
        <f t="shared" si="135"/>
        <v/>
      </c>
      <c r="AF494" s="190" t="str">
        <f t="shared" si="136"/>
        <v/>
      </c>
      <c r="AG494" s="190" t="str">
        <f t="shared" si="125"/>
        <v>D</v>
      </c>
      <c r="AH494" s="190">
        <f>IFERROR(VLOOKUP(Y494,SISP_Deflatores_e_INMs!B$4:F$49,3,FALSE),1)</f>
        <v>1</v>
      </c>
      <c r="AI494" s="190">
        <f>IFERROR(VLOOKUP(Y494,SISP_Deflatores_e_INMs!B$4:G$49,5,FALSE),1)</f>
        <v>1</v>
      </c>
      <c r="AJ494" s="191" t="str">
        <f t="shared" si="137"/>
        <v/>
      </c>
      <c r="AK494" s="237" t="str">
        <f t="shared" si="126"/>
        <v/>
      </c>
      <c r="AL494" s="237" t="str">
        <f t="shared" si="138"/>
        <v/>
      </c>
      <c r="AM494" s="192" t="e">
        <f t="shared" si="127"/>
        <v>#VALUE!</v>
      </c>
      <c r="AN494" s="193" t="e">
        <f t="shared" si="128"/>
        <v>#VALUE!</v>
      </c>
      <c r="AO494" s="193" t="e">
        <f t="shared" si="129"/>
        <v>#VALUE!</v>
      </c>
      <c r="AP494" s="193"/>
      <c r="AQ494" s="204"/>
      <c r="AR494" s="204"/>
      <c r="AS494" s="204"/>
      <c r="AT494" s="205"/>
      <c r="AU494"/>
    </row>
    <row r="495" spans="2:47" ht="15" customHeight="1" x14ac:dyDescent="0.25">
      <c r="B495" s="206"/>
      <c r="C495" s="185"/>
      <c r="D495" s="164"/>
      <c r="E495" s="174"/>
      <c r="F495" s="164"/>
      <c r="G495" s="174"/>
      <c r="H495" s="164"/>
      <c r="I495" s="174"/>
      <c r="J495" s="184"/>
      <c r="K495" s="186"/>
      <c r="L495" s="187" t="str">
        <f t="shared" si="130"/>
        <v/>
      </c>
      <c r="M495" s="187" t="str">
        <f t="shared" si="131"/>
        <v/>
      </c>
      <c r="N495" s="187" t="str">
        <f t="shared" si="123"/>
        <v>D</v>
      </c>
      <c r="O495" s="187" t="str">
        <f t="shared" si="132"/>
        <v>D</v>
      </c>
      <c r="P495" s="187">
        <f t="shared" si="133"/>
        <v>1</v>
      </c>
      <c r="Q495" s="187">
        <f>IFERROR(VLOOKUP(E495,Tabela_Deflator:E$43,5,FALSE),1)</f>
        <v>1</v>
      </c>
      <c r="R495" s="188" t="str">
        <f t="shared" si="134"/>
        <v/>
      </c>
      <c r="S495" s="237" t="str">
        <f t="shared" si="124"/>
        <v/>
      </c>
      <c r="T495" s="237" t="str">
        <f t="shared" si="139"/>
        <v/>
      </c>
      <c r="U495" s="189"/>
      <c r="V495" s="167"/>
      <c r="W495" s="165"/>
      <c r="X495" s="164"/>
      <c r="Y495" s="164"/>
      <c r="Z495" s="164"/>
      <c r="AA495" s="174"/>
      <c r="AB495" s="164"/>
      <c r="AC495" s="174"/>
      <c r="AD495" s="184"/>
      <c r="AE495" s="190" t="str">
        <f t="shared" si="135"/>
        <v/>
      </c>
      <c r="AF495" s="190" t="str">
        <f t="shared" si="136"/>
        <v/>
      </c>
      <c r="AG495" s="190" t="str">
        <f t="shared" si="125"/>
        <v>D</v>
      </c>
      <c r="AH495" s="190">
        <f>IFERROR(VLOOKUP(Y495,SISP_Deflatores_e_INMs!B$4:F$49,3,FALSE),1)</f>
        <v>1</v>
      </c>
      <c r="AI495" s="190">
        <f>IFERROR(VLOOKUP(Y495,SISP_Deflatores_e_INMs!B$4:G$49,5,FALSE),1)</f>
        <v>1</v>
      </c>
      <c r="AJ495" s="191" t="str">
        <f t="shared" si="137"/>
        <v/>
      </c>
      <c r="AK495" s="237" t="str">
        <f t="shared" si="126"/>
        <v/>
      </c>
      <c r="AL495" s="237" t="str">
        <f t="shared" si="138"/>
        <v/>
      </c>
      <c r="AM495" s="192" t="e">
        <f t="shared" si="127"/>
        <v>#VALUE!</v>
      </c>
      <c r="AN495" s="193" t="e">
        <f t="shared" si="128"/>
        <v>#VALUE!</v>
      </c>
      <c r="AO495" s="193" t="e">
        <f t="shared" si="129"/>
        <v>#VALUE!</v>
      </c>
      <c r="AP495" s="193"/>
      <c r="AQ495" s="204"/>
      <c r="AR495" s="204"/>
      <c r="AS495" s="204"/>
      <c r="AT495" s="205"/>
      <c r="AU495"/>
    </row>
    <row r="496" spans="2:47" ht="15" customHeight="1" x14ac:dyDescent="0.25">
      <c r="B496" s="206"/>
      <c r="C496" s="185"/>
      <c r="D496" s="164"/>
      <c r="E496" s="174"/>
      <c r="F496" s="164"/>
      <c r="G496" s="174"/>
      <c r="H496" s="164"/>
      <c r="I496" s="174"/>
      <c r="J496" s="184"/>
      <c r="K496" s="186"/>
      <c r="L496" s="187" t="str">
        <f t="shared" si="130"/>
        <v/>
      </c>
      <c r="M496" s="187" t="str">
        <f t="shared" si="131"/>
        <v/>
      </c>
      <c r="N496" s="187" t="str">
        <f t="shared" si="123"/>
        <v>D</v>
      </c>
      <c r="O496" s="187" t="str">
        <f t="shared" si="132"/>
        <v>D</v>
      </c>
      <c r="P496" s="187">
        <f t="shared" si="133"/>
        <v>1</v>
      </c>
      <c r="Q496" s="187">
        <f>IFERROR(VLOOKUP(E496,Tabela_Deflator:E$43,5,FALSE),1)</f>
        <v>1</v>
      </c>
      <c r="R496" s="188" t="str">
        <f t="shared" si="134"/>
        <v/>
      </c>
      <c r="S496" s="237" t="str">
        <f t="shared" si="124"/>
        <v/>
      </c>
      <c r="T496" s="237" t="str">
        <f t="shared" si="139"/>
        <v/>
      </c>
      <c r="U496" s="189"/>
      <c r="V496" s="167"/>
      <c r="W496" s="165"/>
      <c r="X496" s="164"/>
      <c r="Y496" s="164"/>
      <c r="Z496" s="164"/>
      <c r="AA496" s="174"/>
      <c r="AB496" s="164"/>
      <c r="AC496" s="174"/>
      <c r="AD496" s="184"/>
      <c r="AE496" s="190" t="str">
        <f t="shared" si="135"/>
        <v/>
      </c>
      <c r="AF496" s="190" t="str">
        <f t="shared" si="136"/>
        <v/>
      </c>
      <c r="AG496" s="190" t="str">
        <f t="shared" si="125"/>
        <v>D</v>
      </c>
      <c r="AH496" s="190">
        <f>IFERROR(VLOOKUP(Y496,SISP_Deflatores_e_INMs!B$4:F$49,3,FALSE),1)</f>
        <v>1</v>
      </c>
      <c r="AI496" s="190">
        <f>IFERROR(VLOOKUP(Y496,SISP_Deflatores_e_INMs!B$4:G$49,5,FALSE),1)</f>
        <v>1</v>
      </c>
      <c r="AJ496" s="191" t="str">
        <f t="shared" si="137"/>
        <v/>
      </c>
      <c r="AK496" s="237" t="str">
        <f t="shared" si="126"/>
        <v/>
      </c>
      <c r="AL496" s="237" t="str">
        <f t="shared" si="138"/>
        <v/>
      </c>
      <c r="AM496" s="192" t="e">
        <f t="shared" si="127"/>
        <v>#VALUE!</v>
      </c>
      <c r="AN496" s="193" t="e">
        <f t="shared" si="128"/>
        <v>#VALUE!</v>
      </c>
      <c r="AO496" s="193" t="e">
        <f t="shared" si="129"/>
        <v>#VALUE!</v>
      </c>
      <c r="AP496" s="193"/>
      <c r="AQ496" s="204"/>
      <c r="AR496" s="204"/>
      <c r="AS496" s="204"/>
      <c r="AT496" s="205"/>
      <c r="AU496"/>
    </row>
    <row r="497" spans="2:47" ht="15" customHeight="1" x14ac:dyDescent="0.25">
      <c r="B497" s="206"/>
      <c r="C497" s="185"/>
      <c r="D497" s="164"/>
      <c r="E497" s="174"/>
      <c r="F497" s="164"/>
      <c r="G497" s="174"/>
      <c r="H497" s="164"/>
      <c r="I497" s="174"/>
      <c r="J497" s="184"/>
      <c r="K497" s="186"/>
      <c r="L497" s="187" t="str">
        <f t="shared" si="130"/>
        <v/>
      </c>
      <c r="M497" s="187" t="str">
        <f t="shared" si="131"/>
        <v/>
      </c>
      <c r="N497" s="187" t="str">
        <f t="shared" si="123"/>
        <v>D</v>
      </c>
      <c r="O497" s="187" t="str">
        <f t="shared" si="132"/>
        <v>D</v>
      </c>
      <c r="P497" s="187">
        <f t="shared" si="133"/>
        <v>1</v>
      </c>
      <c r="Q497" s="187">
        <f>IFERROR(VLOOKUP(E497,Tabela_Deflator:E$43,5,FALSE),1)</f>
        <v>1</v>
      </c>
      <c r="R497" s="188" t="str">
        <f t="shared" si="134"/>
        <v/>
      </c>
      <c r="S497" s="237" t="str">
        <f t="shared" si="124"/>
        <v/>
      </c>
      <c r="T497" s="237" t="str">
        <f t="shared" si="139"/>
        <v/>
      </c>
      <c r="U497" s="189"/>
      <c r="V497" s="167"/>
      <c r="W497" s="165"/>
      <c r="X497" s="164"/>
      <c r="Y497" s="164"/>
      <c r="Z497" s="164"/>
      <c r="AA497" s="174"/>
      <c r="AB497" s="164"/>
      <c r="AC497" s="174"/>
      <c r="AD497" s="184"/>
      <c r="AE497" s="190" t="str">
        <f t="shared" si="135"/>
        <v/>
      </c>
      <c r="AF497" s="190" t="str">
        <f t="shared" si="136"/>
        <v/>
      </c>
      <c r="AG497" s="190" t="str">
        <f t="shared" si="125"/>
        <v>D</v>
      </c>
      <c r="AH497" s="190">
        <f>IFERROR(VLOOKUP(Y497,SISP_Deflatores_e_INMs!B$4:F$49,3,FALSE),1)</f>
        <v>1</v>
      </c>
      <c r="AI497" s="190">
        <f>IFERROR(VLOOKUP(Y497,SISP_Deflatores_e_INMs!B$4:G$49,5,FALSE),1)</f>
        <v>1</v>
      </c>
      <c r="AJ497" s="191" t="str">
        <f t="shared" si="137"/>
        <v/>
      </c>
      <c r="AK497" s="237" t="str">
        <f t="shared" si="126"/>
        <v/>
      </c>
      <c r="AL497" s="237" t="str">
        <f t="shared" si="138"/>
        <v/>
      </c>
      <c r="AM497" s="192" t="e">
        <f t="shared" si="127"/>
        <v>#VALUE!</v>
      </c>
      <c r="AN497" s="193" t="e">
        <f t="shared" si="128"/>
        <v>#VALUE!</v>
      </c>
      <c r="AO497" s="193" t="e">
        <f t="shared" si="129"/>
        <v>#VALUE!</v>
      </c>
      <c r="AP497" s="193"/>
      <c r="AQ497" s="204"/>
      <c r="AR497" s="204"/>
      <c r="AS497" s="204"/>
      <c r="AT497" s="205"/>
      <c r="AU497"/>
    </row>
    <row r="498" spans="2:47" ht="15" customHeight="1" x14ac:dyDescent="0.25">
      <c r="B498" s="206"/>
      <c r="C498" s="185"/>
      <c r="D498" s="164"/>
      <c r="E498" s="174"/>
      <c r="F498" s="164"/>
      <c r="G498" s="174"/>
      <c r="H498" s="164"/>
      <c r="I498" s="174"/>
      <c r="J498" s="184"/>
      <c r="K498" s="186"/>
      <c r="L498" s="187" t="str">
        <f t="shared" si="130"/>
        <v/>
      </c>
      <c r="M498" s="187" t="str">
        <f t="shared" si="131"/>
        <v/>
      </c>
      <c r="N498" s="187" t="str">
        <f t="shared" si="123"/>
        <v>D</v>
      </c>
      <c r="O498" s="187" t="str">
        <f t="shared" si="132"/>
        <v>D</v>
      </c>
      <c r="P498" s="187">
        <f t="shared" si="133"/>
        <v>1</v>
      </c>
      <c r="Q498" s="187">
        <f>IFERROR(VLOOKUP(E498,Tabela_Deflator:E$43,5,FALSE),1)</f>
        <v>1</v>
      </c>
      <c r="R498" s="188" t="str">
        <f t="shared" si="134"/>
        <v/>
      </c>
      <c r="S498" s="237" t="str">
        <f t="shared" si="124"/>
        <v/>
      </c>
      <c r="T498" s="237" t="str">
        <f t="shared" si="139"/>
        <v/>
      </c>
      <c r="U498" s="189"/>
      <c r="V498" s="167"/>
      <c r="W498" s="165"/>
      <c r="X498" s="164"/>
      <c r="Y498" s="164"/>
      <c r="Z498" s="164"/>
      <c r="AA498" s="174"/>
      <c r="AB498" s="164"/>
      <c r="AC498" s="174"/>
      <c r="AD498" s="184"/>
      <c r="AE498" s="190" t="str">
        <f t="shared" si="135"/>
        <v/>
      </c>
      <c r="AF498" s="190" t="str">
        <f t="shared" si="136"/>
        <v/>
      </c>
      <c r="AG498" s="190" t="str">
        <f t="shared" si="125"/>
        <v>D</v>
      </c>
      <c r="AH498" s="190">
        <f>IFERROR(VLOOKUP(Y498,SISP_Deflatores_e_INMs!B$4:F$49,3,FALSE),1)</f>
        <v>1</v>
      </c>
      <c r="AI498" s="190">
        <f>IFERROR(VLOOKUP(Y498,SISP_Deflatores_e_INMs!B$4:G$49,5,FALSE),1)</f>
        <v>1</v>
      </c>
      <c r="AJ498" s="191" t="str">
        <f t="shared" si="137"/>
        <v/>
      </c>
      <c r="AK498" s="237" t="str">
        <f t="shared" si="126"/>
        <v/>
      </c>
      <c r="AL498" s="237" t="str">
        <f t="shared" si="138"/>
        <v/>
      </c>
      <c r="AM498" s="192" t="e">
        <f t="shared" si="127"/>
        <v>#VALUE!</v>
      </c>
      <c r="AN498" s="193" t="e">
        <f t="shared" si="128"/>
        <v>#VALUE!</v>
      </c>
      <c r="AO498" s="193" t="e">
        <f t="shared" si="129"/>
        <v>#VALUE!</v>
      </c>
      <c r="AP498" s="193"/>
      <c r="AQ498" s="204"/>
      <c r="AR498" s="204"/>
      <c r="AS498" s="204"/>
      <c r="AT498" s="205"/>
      <c r="AU498"/>
    </row>
    <row r="499" spans="2:47" ht="15" customHeight="1" x14ac:dyDescent="0.25">
      <c r="B499" s="206"/>
      <c r="C499" s="185"/>
      <c r="D499" s="164"/>
      <c r="E499" s="174"/>
      <c r="F499" s="164"/>
      <c r="G499" s="174"/>
      <c r="H499" s="164"/>
      <c r="I499" s="174"/>
      <c r="J499" s="184"/>
      <c r="K499" s="186"/>
      <c r="L499" s="187" t="str">
        <f t="shared" si="130"/>
        <v/>
      </c>
      <c r="M499" s="187" t="str">
        <f t="shared" si="131"/>
        <v/>
      </c>
      <c r="N499" s="187" t="str">
        <f t="shared" si="123"/>
        <v>D</v>
      </c>
      <c r="O499" s="187" t="str">
        <f t="shared" si="132"/>
        <v>D</v>
      </c>
      <c r="P499" s="187">
        <f t="shared" si="133"/>
        <v>1</v>
      </c>
      <c r="Q499" s="187">
        <f>IFERROR(VLOOKUP(E499,Tabela_Deflator:E$43,5,FALSE),1)</f>
        <v>1</v>
      </c>
      <c r="R499" s="188" t="str">
        <f t="shared" si="134"/>
        <v/>
      </c>
      <c r="S499" s="237" t="str">
        <f t="shared" si="124"/>
        <v/>
      </c>
      <c r="T499" s="237" t="str">
        <f t="shared" si="139"/>
        <v/>
      </c>
      <c r="U499" s="189"/>
      <c r="V499" s="167"/>
      <c r="W499" s="165"/>
      <c r="X499" s="164"/>
      <c r="Y499" s="164"/>
      <c r="Z499" s="164"/>
      <c r="AA499" s="174"/>
      <c r="AB499" s="164"/>
      <c r="AC499" s="174"/>
      <c r="AD499" s="184"/>
      <c r="AE499" s="190" t="str">
        <f t="shared" si="135"/>
        <v/>
      </c>
      <c r="AF499" s="190" t="str">
        <f t="shared" si="136"/>
        <v/>
      </c>
      <c r="AG499" s="190" t="str">
        <f t="shared" si="125"/>
        <v>D</v>
      </c>
      <c r="AH499" s="190">
        <f>IFERROR(VLOOKUP(Y499,SISP_Deflatores_e_INMs!B$4:F$49,3,FALSE),1)</f>
        <v>1</v>
      </c>
      <c r="AI499" s="190">
        <f>IFERROR(VLOOKUP(Y499,SISP_Deflatores_e_INMs!B$4:G$49,5,FALSE),1)</f>
        <v>1</v>
      </c>
      <c r="AJ499" s="191" t="str">
        <f t="shared" si="137"/>
        <v/>
      </c>
      <c r="AK499" s="237" t="str">
        <f t="shared" si="126"/>
        <v/>
      </c>
      <c r="AL499" s="237" t="str">
        <f t="shared" si="138"/>
        <v/>
      </c>
      <c r="AM499" s="192" t="e">
        <f t="shared" si="127"/>
        <v>#VALUE!</v>
      </c>
      <c r="AN499" s="193" t="e">
        <f t="shared" si="128"/>
        <v>#VALUE!</v>
      </c>
      <c r="AO499" s="193" t="e">
        <f t="shared" si="129"/>
        <v>#VALUE!</v>
      </c>
      <c r="AP499" s="193"/>
      <c r="AQ499" s="204"/>
      <c r="AR499" s="204"/>
      <c r="AS499" s="204"/>
      <c r="AT499" s="205"/>
      <c r="AU499"/>
    </row>
    <row r="500" spans="2:47" ht="15" customHeight="1" x14ac:dyDescent="0.25">
      <c r="B500" s="206"/>
      <c r="C500" s="185"/>
      <c r="D500" s="164"/>
      <c r="E500" s="174"/>
      <c r="F500" s="164"/>
      <c r="G500" s="174"/>
      <c r="H500" s="164"/>
      <c r="I500" s="174"/>
      <c r="J500" s="184"/>
      <c r="K500" s="186"/>
      <c r="L500" s="187" t="str">
        <f t="shared" si="130"/>
        <v/>
      </c>
      <c r="M500" s="187" t="str">
        <f t="shared" si="131"/>
        <v/>
      </c>
      <c r="N500" s="187" t="str">
        <f t="shared" si="123"/>
        <v>D</v>
      </c>
      <c r="O500" s="187" t="str">
        <f t="shared" si="132"/>
        <v>D</v>
      </c>
      <c r="P500" s="187">
        <f t="shared" si="133"/>
        <v>1</v>
      </c>
      <c r="Q500" s="187">
        <f>IFERROR(VLOOKUP(E500,Tabela_Deflator:E$43,5,FALSE),1)</f>
        <v>1</v>
      </c>
      <c r="R500" s="188" t="str">
        <f t="shared" si="134"/>
        <v/>
      </c>
      <c r="S500" s="237" t="str">
        <f t="shared" si="124"/>
        <v/>
      </c>
      <c r="T500" s="237" t="str">
        <f t="shared" si="139"/>
        <v/>
      </c>
      <c r="U500" s="189"/>
      <c r="V500" s="167"/>
      <c r="W500" s="165"/>
      <c r="X500" s="164"/>
      <c r="Y500" s="164"/>
      <c r="Z500" s="164"/>
      <c r="AA500" s="174"/>
      <c r="AB500" s="164"/>
      <c r="AC500" s="174"/>
      <c r="AD500" s="184"/>
      <c r="AE500" s="190" t="str">
        <f t="shared" si="135"/>
        <v/>
      </c>
      <c r="AF500" s="190" t="str">
        <f t="shared" si="136"/>
        <v/>
      </c>
      <c r="AG500" s="190" t="str">
        <f t="shared" si="125"/>
        <v>D</v>
      </c>
      <c r="AH500" s="190">
        <f>IFERROR(VLOOKUP(Y500,SISP_Deflatores_e_INMs!B$4:F$49,3,FALSE),1)</f>
        <v>1</v>
      </c>
      <c r="AI500" s="190">
        <f>IFERROR(VLOOKUP(Y500,SISP_Deflatores_e_INMs!B$4:G$49,5,FALSE),1)</f>
        <v>1</v>
      </c>
      <c r="AJ500" s="191" t="str">
        <f t="shared" si="137"/>
        <v/>
      </c>
      <c r="AK500" s="237" t="str">
        <f t="shared" si="126"/>
        <v/>
      </c>
      <c r="AL500" s="237" t="str">
        <f t="shared" si="138"/>
        <v/>
      </c>
      <c r="AM500" s="192" t="e">
        <f t="shared" si="127"/>
        <v>#VALUE!</v>
      </c>
      <c r="AN500" s="193" t="e">
        <f t="shared" si="128"/>
        <v>#VALUE!</v>
      </c>
      <c r="AO500" s="193" t="e">
        <f t="shared" si="129"/>
        <v>#VALUE!</v>
      </c>
      <c r="AP500" s="193"/>
      <c r="AQ500" s="204"/>
      <c r="AR500" s="204"/>
      <c r="AS500" s="204"/>
      <c r="AT500" s="205"/>
      <c r="AU500"/>
    </row>
    <row r="501" spans="2:47" ht="15" customHeight="1" x14ac:dyDescent="0.25">
      <c r="B501" s="206"/>
      <c r="C501" s="185"/>
      <c r="D501" s="164"/>
      <c r="E501" s="174"/>
      <c r="F501" s="164"/>
      <c r="G501" s="174"/>
      <c r="H501" s="164"/>
      <c r="I501" s="174"/>
      <c r="J501" s="184"/>
      <c r="K501" s="186"/>
      <c r="L501" s="187" t="str">
        <f t="shared" si="130"/>
        <v/>
      </c>
      <c r="M501" s="187" t="str">
        <f t="shared" si="131"/>
        <v/>
      </c>
      <c r="N501" s="187" t="str">
        <f t="shared" si="123"/>
        <v>D</v>
      </c>
      <c r="O501" s="187" t="str">
        <f t="shared" si="132"/>
        <v>D</v>
      </c>
      <c r="P501" s="187">
        <f t="shared" si="133"/>
        <v>1</v>
      </c>
      <c r="Q501" s="187">
        <f>IFERROR(VLOOKUP(E501,Tabela_Deflator:E$43,5,FALSE),1)</f>
        <v>1</v>
      </c>
      <c r="R501" s="188" t="str">
        <f t="shared" si="134"/>
        <v/>
      </c>
      <c r="S501" s="237" t="str">
        <f t="shared" si="124"/>
        <v/>
      </c>
      <c r="T501" s="237" t="str">
        <f t="shared" si="139"/>
        <v/>
      </c>
      <c r="U501" s="189"/>
      <c r="V501" s="167"/>
      <c r="W501" s="165"/>
      <c r="X501" s="164"/>
      <c r="Y501" s="164"/>
      <c r="Z501" s="164"/>
      <c r="AA501" s="174"/>
      <c r="AB501" s="164"/>
      <c r="AC501" s="174"/>
      <c r="AD501" s="184"/>
      <c r="AE501" s="190" t="str">
        <f t="shared" si="135"/>
        <v/>
      </c>
      <c r="AF501" s="190" t="str">
        <f t="shared" si="136"/>
        <v/>
      </c>
      <c r="AG501" s="190" t="str">
        <f t="shared" si="125"/>
        <v>D</v>
      </c>
      <c r="AH501" s="190">
        <f>IFERROR(VLOOKUP(Y501,SISP_Deflatores_e_INMs!B$4:F$49,3,FALSE),1)</f>
        <v>1</v>
      </c>
      <c r="AI501" s="190">
        <f>IFERROR(VLOOKUP(Y501,SISP_Deflatores_e_INMs!B$4:G$49,5,FALSE),1)</f>
        <v>1</v>
      </c>
      <c r="AJ501" s="191" t="str">
        <f t="shared" si="137"/>
        <v/>
      </c>
      <c r="AK501" s="237" t="str">
        <f t="shared" si="126"/>
        <v/>
      </c>
      <c r="AL501" s="237" t="str">
        <f t="shared" si="138"/>
        <v/>
      </c>
      <c r="AM501" s="192" t="e">
        <f t="shared" si="127"/>
        <v>#VALUE!</v>
      </c>
      <c r="AN501" s="193" t="e">
        <f t="shared" si="128"/>
        <v>#VALUE!</v>
      </c>
      <c r="AO501" s="193" t="e">
        <f t="shared" si="129"/>
        <v>#VALUE!</v>
      </c>
      <c r="AP501" s="193"/>
      <c r="AQ501" s="204"/>
      <c r="AR501" s="204"/>
      <c r="AS501" s="204"/>
      <c r="AT501" s="205"/>
      <c r="AU501"/>
    </row>
    <row r="502" spans="2:47" ht="15" customHeight="1" x14ac:dyDescent="0.25">
      <c r="B502" s="206"/>
      <c r="C502" s="185"/>
      <c r="D502" s="164"/>
      <c r="E502" s="174"/>
      <c r="F502" s="164"/>
      <c r="G502" s="174"/>
      <c r="H502" s="164"/>
      <c r="I502" s="174"/>
      <c r="J502" s="184"/>
      <c r="K502" s="186"/>
      <c r="L502" s="187" t="str">
        <f t="shared" si="130"/>
        <v/>
      </c>
      <c r="M502" s="187" t="str">
        <f t="shared" si="131"/>
        <v/>
      </c>
      <c r="N502" s="187" t="str">
        <f t="shared" si="123"/>
        <v>D</v>
      </c>
      <c r="O502" s="187" t="str">
        <f t="shared" si="132"/>
        <v>D</v>
      </c>
      <c r="P502" s="187">
        <f t="shared" si="133"/>
        <v>1</v>
      </c>
      <c r="Q502" s="187">
        <f>IFERROR(VLOOKUP(E502,Tabela_Deflator:E$43,5,FALSE),1)</f>
        <v>1</v>
      </c>
      <c r="R502" s="188" t="str">
        <f t="shared" si="134"/>
        <v/>
      </c>
      <c r="S502" s="237" t="str">
        <f t="shared" si="124"/>
        <v/>
      </c>
      <c r="T502" s="237" t="str">
        <f t="shared" si="139"/>
        <v/>
      </c>
      <c r="U502" s="189"/>
      <c r="V502" s="167"/>
      <c r="W502" s="165"/>
      <c r="X502" s="164"/>
      <c r="Y502" s="164"/>
      <c r="Z502" s="164"/>
      <c r="AA502" s="174"/>
      <c r="AB502" s="164"/>
      <c r="AC502" s="174"/>
      <c r="AD502" s="184"/>
      <c r="AE502" s="190" t="str">
        <f t="shared" si="135"/>
        <v/>
      </c>
      <c r="AF502" s="190" t="str">
        <f t="shared" si="136"/>
        <v/>
      </c>
      <c r="AG502" s="190" t="str">
        <f t="shared" si="125"/>
        <v>D</v>
      </c>
      <c r="AH502" s="190">
        <f>IFERROR(VLOOKUP(Y502,SISP_Deflatores_e_INMs!B$4:F$49,3,FALSE),1)</f>
        <v>1</v>
      </c>
      <c r="AI502" s="190">
        <f>IFERROR(VLOOKUP(Y502,SISP_Deflatores_e_INMs!B$4:G$49,5,FALSE),1)</f>
        <v>1</v>
      </c>
      <c r="AJ502" s="191" t="str">
        <f t="shared" si="137"/>
        <v/>
      </c>
      <c r="AK502" s="237" t="str">
        <f t="shared" si="126"/>
        <v/>
      </c>
      <c r="AL502" s="237" t="str">
        <f t="shared" si="138"/>
        <v/>
      </c>
      <c r="AM502" s="192" t="e">
        <f t="shared" si="127"/>
        <v>#VALUE!</v>
      </c>
      <c r="AN502" s="193" t="e">
        <f t="shared" si="128"/>
        <v>#VALUE!</v>
      </c>
      <c r="AO502" s="193" t="e">
        <f t="shared" si="129"/>
        <v>#VALUE!</v>
      </c>
      <c r="AP502" s="193"/>
      <c r="AQ502" s="204"/>
      <c r="AR502" s="204"/>
      <c r="AS502" s="204"/>
      <c r="AT502" s="205"/>
      <c r="AU502"/>
    </row>
    <row r="503" spans="2:47" ht="15" customHeight="1" x14ac:dyDescent="0.25">
      <c r="B503" s="206"/>
      <c r="C503" s="185"/>
      <c r="D503" s="164"/>
      <c r="E503" s="174"/>
      <c r="F503" s="164"/>
      <c r="G503" s="174"/>
      <c r="H503" s="164"/>
      <c r="I503" s="174"/>
      <c r="J503" s="184"/>
      <c r="K503" s="186"/>
      <c r="L503" s="187" t="str">
        <f t="shared" si="130"/>
        <v/>
      </c>
      <c r="M503" s="187" t="str">
        <f t="shared" si="131"/>
        <v/>
      </c>
      <c r="N503" s="187" t="str">
        <f t="shared" si="123"/>
        <v>D</v>
      </c>
      <c r="O503" s="187" t="str">
        <f t="shared" si="132"/>
        <v>D</v>
      </c>
      <c r="P503" s="187">
        <f t="shared" si="133"/>
        <v>1</v>
      </c>
      <c r="Q503" s="187">
        <f>IFERROR(VLOOKUP(E503,Tabela_Deflator:E$43,5,FALSE),1)</f>
        <v>1</v>
      </c>
      <c r="R503" s="188" t="str">
        <f t="shared" si="134"/>
        <v/>
      </c>
      <c r="S503" s="237" t="str">
        <f t="shared" si="124"/>
        <v/>
      </c>
      <c r="T503" s="237" t="str">
        <f t="shared" si="139"/>
        <v/>
      </c>
      <c r="U503" s="189"/>
      <c r="V503" s="167"/>
      <c r="W503" s="165"/>
      <c r="X503" s="164"/>
      <c r="Y503" s="164"/>
      <c r="Z503" s="164"/>
      <c r="AA503" s="174"/>
      <c r="AB503" s="164"/>
      <c r="AC503" s="174"/>
      <c r="AD503" s="184"/>
      <c r="AE503" s="190" t="str">
        <f t="shared" si="135"/>
        <v/>
      </c>
      <c r="AF503" s="190" t="str">
        <f t="shared" si="136"/>
        <v/>
      </c>
      <c r="AG503" s="190" t="str">
        <f t="shared" si="125"/>
        <v>D</v>
      </c>
      <c r="AH503" s="190">
        <f>IFERROR(VLOOKUP(Y503,SISP_Deflatores_e_INMs!B$4:F$49,3,FALSE),1)</f>
        <v>1</v>
      </c>
      <c r="AI503" s="190">
        <f>IFERROR(VLOOKUP(Y503,SISP_Deflatores_e_INMs!B$4:G$49,5,FALSE),1)</f>
        <v>1</v>
      </c>
      <c r="AJ503" s="191" t="str">
        <f t="shared" si="137"/>
        <v/>
      </c>
      <c r="AK503" s="237" t="str">
        <f t="shared" si="126"/>
        <v/>
      </c>
      <c r="AL503" s="237" t="str">
        <f t="shared" si="138"/>
        <v/>
      </c>
      <c r="AM503" s="192" t="e">
        <f t="shared" si="127"/>
        <v>#VALUE!</v>
      </c>
      <c r="AN503" s="193" t="e">
        <f t="shared" si="128"/>
        <v>#VALUE!</v>
      </c>
      <c r="AO503" s="193" t="e">
        <f t="shared" si="129"/>
        <v>#VALUE!</v>
      </c>
      <c r="AP503" s="193"/>
      <c r="AQ503" s="204"/>
      <c r="AR503" s="204"/>
      <c r="AS503" s="204"/>
      <c r="AT503" s="205"/>
      <c r="AU503"/>
    </row>
    <row r="504" spans="2:47" ht="15" customHeight="1" x14ac:dyDescent="0.25">
      <c r="B504" s="206"/>
      <c r="C504" s="185"/>
      <c r="D504" s="164"/>
      <c r="E504" s="174"/>
      <c r="F504" s="164"/>
      <c r="G504" s="174"/>
      <c r="H504" s="164"/>
      <c r="I504" s="174"/>
      <c r="J504" s="184"/>
      <c r="K504" s="186"/>
      <c r="L504" s="187" t="str">
        <f t="shared" si="130"/>
        <v/>
      </c>
      <c r="M504" s="187" t="str">
        <f t="shared" si="131"/>
        <v/>
      </c>
      <c r="N504" s="187" t="str">
        <f t="shared" si="123"/>
        <v>D</v>
      </c>
      <c r="O504" s="187" t="str">
        <f t="shared" si="132"/>
        <v>D</v>
      </c>
      <c r="P504" s="187">
        <f t="shared" si="133"/>
        <v>1</v>
      </c>
      <c r="Q504" s="187">
        <f>IFERROR(VLOOKUP(E504,Tabela_Deflator:E$43,5,FALSE),1)</f>
        <v>1</v>
      </c>
      <c r="R504" s="188" t="str">
        <f t="shared" si="134"/>
        <v/>
      </c>
      <c r="S504" s="237" t="str">
        <f t="shared" si="124"/>
        <v/>
      </c>
      <c r="T504" s="237" t="str">
        <f t="shared" si="139"/>
        <v/>
      </c>
      <c r="U504" s="189"/>
      <c r="V504" s="167"/>
      <c r="W504" s="165"/>
      <c r="X504" s="164"/>
      <c r="Y504" s="164"/>
      <c r="Z504" s="164"/>
      <c r="AA504" s="174"/>
      <c r="AB504" s="164"/>
      <c r="AC504" s="174"/>
      <c r="AD504" s="184"/>
      <c r="AE504" s="190" t="str">
        <f t="shared" si="135"/>
        <v/>
      </c>
      <c r="AF504" s="190" t="str">
        <f t="shared" si="136"/>
        <v/>
      </c>
      <c r="AG504" s="190" t="str">
        <f t="shared" si="125"/>
        <v>D</v>
      </c>
      <c r="AH504" s="190">
        <f>IFERROR(VLOOKUP(Y504,SISP_Deflatores_e_INMs!B$4:F$49,3,FALSE),1)</f>
        <v>1</v>
      </c>
      <c r="AI504" s="190">
        <f>IFERROR(VLOOKUP(Y504,SISP_Deflatores_e_INMs!B$4:G$49,5,FALSE),1)</f>
        <v>1</v>
      </c>
      <c r="AJ504" s="191" t="str">
        <f t="shared" si="137"/>
        <v/>
      </c>
      <c r="AK504" s="237" t="str">
        <f t="shared" si="126"/>
        <v/>
      </c>
      <c r="AL504" s="237" t="str">
        <f t="shared" si="138"/>
        <v/>
      </c>
      <c r="AM504" s="192" t="e">
        <f t="shared" si="127"/>
        <v>#VALUE!</v>
      </c>
      <c r="AN504" s="193" t="e">
        <f t="shared" si="128"/>
        <v>#VALUE!</v>
      </c>
      <c r="AO504" s="193" t="e">
        <f t="shared" si="129"/>
        <v>#VALUE!</v>
      </c>
      <c r="AP504" s="193"/>
      <c r="AQ504" s="204"/>
      <c r="AR504" s="204"/>
      <c r="AS504" s="204"/>
      <c r="AT504" s="205"/>
      <c r="AU504"/>
    </row>
    <row r="505" spans="2:47" ht="15" customHeight="1" x14ac:dyDescent="0.25">
      <c r="B505" s="206"/>
      <c r="C505" s="185"/>
      <c r="D505" s="164"/>
      <c r="E505" s="174"/>
      <c r="F505" s="164"/>
      <c r="G505" s="174"/>
      <c r="H505" s="164"/>
      <c r="I505" s="174"/>
      <c r="J505" s="184"/>
      <c r="K505" s="186"/>
      <c r="L505" s="187" t="str">
        <f t="shared" si="130"/>
        <v/>
      </c>
      <c r="M505" s="187" t="str">
        <f t="shared" si="131"/>
        <v/>
      </c>
      <c r="N505" s="187" t="str">
        <f t="shared" si="123"/>
        <v>D</v>
      </c>
      <c r="O505" s="187" t="str">
        <f t="shared" si="132"/>
        <v>D</v>
      </c>
      <c r="P505" s="187">
        <f t="shared" si="133"/>
        <v>1</v>
      </c>
      <c r="Q505" s="187">
        <f>IFERROR(VLOOKUP(E505,Tabela_Deflator:E$43,5,FALSE),1)</f>
        <v>1</v>
      </c>
      <c r="R505" s="188" t="str">
        <f t="shared" si="134"/>
        <v/>
      </c>
      <c r="S505" s="237" t="str">
        <f t="shared" si="124"/>
        <v/>
      </c>
      <c r="T505" s="237" t="str">
        <f t="shared" si="139"/>
        <v/>
      </c>
      <c r="U505" s="189"/>
      <c r="V505" s="167"/>
      <c r="W505" s="165"/>
      <c r="X505" s="164"/>
      <c r="Y505" s="164"/>
      <c r="Z505" s="164"/>
      <c r="AA505" s="174"/>
      <c r="AB505" s="164"/>
      <c r="AC505" s="174"/>
      <c r="AD505" s="184"/>
      <c r="AE505" s="190" t="str">
        <f t="shared" si="135"/>
        <v/>
      </c>
      <c r="AF505" s="190" t="str">
        <f t="shared" si="136"/>
        <v/>
      </c>
      <c r="AG505" s="190" t="str">
        <f t="shared" si="125"/>
        <v>D</v>
      </c>
      <c r="AH505" s="190">
        <f>IFERROR(VLOOKUP(Y505,SISP_Deflatores_e_INMs!B$4:F$49,3,FALSE),1)</f>
        <v>1</v>
      </c>
      <c r="AI505" s="190">
        <f>IFERROR(VLOOKUP(Y505,SISP_Deflatores_e_INMs!B$4:G$49,5,FALSE),1)</f>
        <v>1</v>
      </c>
      <c r="AJ505" s="191" t="str">
        <f t="shared" si="137"/>
        <v/>
      </c>
      <c r="AK505" s="237" t="str">
        <f t="shared" si="126"/>
        <v/>
      </c>
      <c r="AL505" s="237" t="str">
        <f t="shared" si="138"/>
        <v/>
      </c>
      <c r="AM505" s="192" t="e">
        <f t="shared" si="127"/>
        <v>#VALUE!</v>
      </c>
      <c r="AN505" s="193" t="e">
        <f t="shared" si="128"/>
        <v>#VALUE!</v>
      </c>
      <c r="AO505" s="193" t="e">
        <f t="shared" si="129"/>
        <v>#VALUE!</v>
      </c>
      <c r="AP505" s="193"/>
      <c r="AQ505" s="204"/>
      <c r="AR505" s="204"/>
      <c r="AS505" s="204"/>
      <c r="AT505" s="205"/>
      <c r="AU505"/>
    </row>
    <row r="506" spans="2:47" ht="15" customHeight="1" x14ac:dyDescent="0.25">
      <c r="B506" s="206"/>
      <c r="C506" s="185"/>
      <c r="D506" s="164"/>
      <c r="E506" s="174"/>
      <c r="F506" s="164"/>
      <c r="G506" s="174"/>
      <c r="H506" s="164"/>
      <c r="I506" s="174"/>
      <c r="J506" s="184"/>
      <c r="K506" s="186"/>
      <c r="L506" s="187" t="str">
        <f t="shared" si="130"/>
        <v/>
      </c>
      <c r="M506" s="187" t="str">
        <f t="shared" si="131"/>
        <v/>
      </c>
      <c r="N506" s="187" t="str">
        <f t="shared" si="123"/>
        <v>D</v>
      </c>
      <c r="O506" s="187" t="str">
        <f t="shared" si="132"/>
        <v>D</v>
      </c>
      <c r="P506" s="187">
        <f t="shared" si="133"/>
        <v>1</v>
      </c>
      <c r="Q506" s="187">
        <f>IFERROR(VLOOKUP(E506,Tabela_Deflator:E$43,5,FALSE),1)</f>
        <v>1</v>
      </c>
      <c r="R506" s="188" t="str">
        <f t="shared" si="134"/>
        <v/>
      </c>
      <c r="S506" s="237" t="str">
        <f t="shared" si="124"/>
        <v/>
      </c>
      <c r="T506" s="237" t="str">
        <f t="shared" si="139"/>
        <v/>
      </c>
      <c r="U506" s="189"/>
      <c r="V506" s="167"/>
      <c r="W506" s="165"/>
      <c r="X506" s="164"/>
      <c r="Y506" s="164"/>
      <c r="Z506" s="164"/>
      <c r="AA506" s="174"/>
      <c r="AB506" s="164"/>
      <c r="AC506" s="174"/>
      <c r="AD506" s="184"/>
      <c r="AE506" s="190" t="str">
        <f t="shared" si="135"/>
        <v/>
      </c>
      <c r="AF506" s="190" t="str">
        <f t="shared" si="136"/>
        <v/>
      </c>
      <c r="AG506" s="190" t="str">
        <f t="shared" si="125"/>
        <v>D</v>
      </c>
      <c r="AH506" s="190">
        <f>IFERROR(VLOOKUP(Y506,SISP_Deflatores_e_INMs!B$4:F$49,3,FALSE),1)</f>
        <v>1</v>
      </c>
      <c r="AI506" s="190">
        <f>IFERROR(VLOOKUP(Y506,SISP_Deflatores_e_INMs!B$4:G$49,5,FALSE),1)</f>
        <v>1</v>
      </c>
      <c r="AJ506" s="191" t="str">
        <f t="shared" si="137"/>
        <v/>
      </c>
      <c r="AK506" s="237" t="str">
        <f t="shared" si="126"/>
        <v/>
      </c>
      <c r="AL506" s="237" t="str">
        <f t="shared" si="138"/>
        <v/>
      </c>
      <c r="AM506" s="192" t="e">
        <f t="shared" si="127"/>
        <v>#VALUE!</v>
      </c>
      <c r="AN506" s="193" t="e">
        <f t="shared" si="128"/>
        <v>#VALUE!</v>
      </c>
      <c r="AO506" s="193" t="e">
        <f t="shared" si="129"/>
        <v>#VALUE!</v>
      </c>
      <c r="AP506" s="193"/>
      <c r="AQ506" s="204"/>
      <c r="AR506" s="204"/>
      <c r="AS506" s="204"/>
      <c r="AT506" s="205"/>
      <c r="AU506"/>
    </row>
    <row r="507" spans="2:47" ht="15" customHeight="1" x14ac:dyDescent="0.25">
      <c r="B507" s="206"/>
      <c r="C507" s="185"/>
      <c r="D507" s="164"/>
      <c r="E507" s="174"/>
      <c r="F507" s="164"/>
      <c r="G507" s="174"/>
      <c r="H507" s="164"/>
      <c r="I507" s="174"/>
      <c r="J507" s="184"/>
      <c r="K507" s="186"/>
      <c r="L507" s="187" t="str">
        <f t="shared" si="130"/>
        <v/>
      </c>
      <c r="M507" s="187" t="str">
        <f t="shared" si="131"/>
        <v/>
      </c>
      <c r="N507" s="187" t="str">
        <f t="shared" si="123"/>
        <v>D</v>
      </c>
      <c r="O507" s="187" t="str">
        <f t="shared" si="132"/>
        <v>D</v>
      </c>
      <c r="P507" s="187">
        <f t="shared" si="133"/>
        <v>1</v>
      </c>
      <c r="Q507" s="187">
        <f>IFERROR(VLOOKUP(E507,Tabela_Deflator:E$43,5,FALSE),1)</f>
        <v>1</v>
      </c>
      <c r="R507" s="188" t="str">
        <f t="shared" si="134"/>
        <v/>
      </c>
      <c r="S507" s="237" t="str">
        <f t="shared" si="124"/>
        <v/>
      </c>
      <c r="T507" s="237" t="str">
        <f t="shared" si="139"/>
        <v/>
      </c>
      <c r="U507" s="189"/>
      <c r="V507" s="167"/>
      <c r="W507" s="165"/>
      <c r="X507" s="164"/>
      <c r="Y507" s="164"/>
      <c r="Z507" s="164"/>
      <c r="AA507" s="174"/>
      <c r="AB507" s="164"/>
      <c r="AC507" s="174"/>
      <c r="AD507" s="184"/>
      <c r="AE507" s="190" t="str">
        <f t="shared" si="135"/>
        <v/>
      </c>
      <c r="AF507" s="190" t="str">
        <f t="shared" si="136"/>
        <v/>
      </c>
      <c r="AG507" s="190" t="str">
        <f t="shared" si="125"/>
        <v>D</v>
      </c>
      <c r="AH507" s="190">
        <f>IFERROR(VLOOKUP(Y507,SISP_Deflatores_e_INMs!B$4:F$49,3,FALSE),1)</f>
        <v>1</v>
      </c>
      <c r="AI507" s="190">
        <f>IFERROR(VLOOKUP(Y507,SISP_Deflatores_e_INMs!B$4:G$49,5,FALSE),1)</f>
        <v>1</v>
      </c>
      <c r="AJ507" s="191" t="str">
        <f t="shared" si="137"/>
        <v/>
      </c>
      <c r="AK507" s="237" t="str">
        <f t="shared" si="126"/>
        <v/>
      </c>
      <c r="AL507" s="237" t="str">
        <f t="shared" si="138"/>
        <v/>
      </c>
      <c r="AM507" s="192" t="e">
        <f t="shared" si="127"/>
        <v>#VALUE!</v>
      </c>
      <c r="AN507" s="193" t="e">
        <f t="shared" si="128"/>
        <v>#VALUE!</v>
      </c>
      <c r="AO507" s="193" t="e">
        <f t="shared" si="129"/>
        <v>#VALUE!</v>
      </c>
      <c r="AP507" s="193"/>
      <c r="AQ507" s="204"/>
      <c r="AR507" s="204"/>
      <c r="AS507" s="204"/>
      <c r="AT507" s="205"/>
      <c r="AU507"/>
    </row>
    <row r="508" spans="2:47" ht="15" customHeight="1" x14ac:dyDescent="0.25">
      <c r="B508" s="206"/>
      <c r="C508" s="185"/>
      <c r="D508" s="164"/>
      <c r="E508" s="174"/>
      <c r="F508" s="164"/>
      <c r="G508" s="174"/>
      <c r="H508" s="164"/>
      <c r="I508" s="174"/>
      <c r="J508" s="184"/>
      <c r="K508" s="186"/>
      <c r="L508" s="187" t="str">
        <f t="shared" si="130"/>
        <v/>
      </c>
      <c r="M508" s="187" t="str">
        <f t="shared" si="131"/>
        <v/>
      </c>
      <c r="N508" s="187" t="str">
        <f t="shared" si="123"/>
        <v>D</v>
      </c>
      <c r="O508" s="187" t="str">
        <f t="shared" si="132"/>
        <v>D</v>
      </c>
      <c r="P508" s="187">
        <f t="shared" si="133"/>
        <v>1</v>
      </c>
      <c r="Q508" s="187">
        <f>IFERROR(VLOOKUP(E508,Tabela_Deflator:E$43,5,FALSE),1)</f>
        <v>1</v>
      </c>
      <c r="R508" s="188" t="str">
        <f t="shared" si="134"/>
        <v/>
      </c>
      <c r="S508" s="237" t="str">
        <f t="shared" si="124"/>
        <v/>
      </c>
      <c r="T508" s="237" t="str">
        <f t="shared" si="139"/>
        <v/>
      </c>
      <c r="U508" s="189"/>
      <c r="V508" s="167"/>
      <c r="W508" s="165"/>
      <c r="X508" s="164"/>
      <c r="Y508" s="164"/>
      <c r="Z508" s="164"/>
      <c r="AA508" s="174"/>
      <c r="AB508" s="164"/>
      <c r="AC508" s="174"/>
      <c r="AD508" s="184"/>
      <c r="AE508" s="190" t="str">
        <f t="shared" si="135"/>
        <v/>
      </c>
      <c r="AF508" s="190" t="str">
        <f t="shared" si="136"/>
        <v/>
      </c>
      <c r="AG508" s="190" t="str">
        <f t="shared" si="125"/>
        <v>D</v>
      </c>
      <c r="AH508" s="190">
        <f>IFERROR(VLOOKUP(Y508,SISP_Deflatores_e_INMs!B$4:F$49,3,FALSE),1)</f>
        <v>1</v>
      </c>
      <c r="AI508" s="190">
        <f>IFERROR(VLOOKUP(Y508,SISP_Deflatores_e_INMs!B$4:G$49,5,FALSE),1)</f>
        <v>1</v>
      </c>
      <c r="AJ508" s="191" t="str">
        <f t="shared" si="137"/>
        <v/>
      </c>
      <c r="AK508" s="237" t="str">
        <f t="shared" si="126"/>
        <v/>
      </c>
      <c r="AL508" s="237" t="str">
        <f t="shared" si="138"/>
        <v/>
      </c>
      <c r="AM508" s="192" t="e">
        <f t="shared" si="127"/>
        <v>#VALUE!</v>
      </c>
      <c r="AN508" s="193" t="e">
        <f t="shared" si="128"/>
        <v>#VALUE!</v>
      </c>
      <c r="AO508" s="193" t="e">
        <f t="shared" si="129"/>
        <v>#VALUE!</v>
      </c>
      <c r="AP508" s="193"/>
      <c r="AQ508" s="204"/>
      <c r="AR508" s="204"/>
      <c r="AS508" s="204"/>
      <c r="AT508" s="205"/>
      <c r="AU508"/>
    </row>
    <row r="509" spans="2:47" ht="15" customHeight="1" x14ac:dyDescent="0.25">
      <c r="B509" s="206"/>
      <c r="C509" s="185"/>
      <c r="D509" s="164"/>
      <c r="E509" s="174"/>
      <c r="F509" s="164"/>
      <c r="G509" s="174"/>
      <c r="H509" s="164"/>
      <c r="I509" s="174"/>
      <c r="J509" s="184"/>
      <c r="K509" s="186"/>
      <c r="L509" s="187" t="str">
        <f t="shared" si="130"/>
        <v/>
      </c>
      <c r="M509" s="187" t="str">
        <f t="shared" si="131"/>
        <v/>
      </c>
      <c r="N509" s="187" t="str">
        <f t="shared" si="123"/>
        <v>D</v>
      </c>
      <c r="O509" s="187" t="str">
        <f t="shared" si="132"/>
        <v>D</v>
      </c>
      <c r="P509" s="187">
        <f t="shared" si="133"/>
        <v>1</v>
      </c>
      <c r="Q509" s="187">
        <f>IFERROR(VLOOKUP(E509,Tabela_Deflator:E$43,5,FALSE),1)</f>
        <v>1</v>
      </c>
      <c r="R509" s="188" t="str">
        <f t="shared" si="134"/>
        <v/>
      </c>
      <c r="S509" s="237" t="str">
        <f t="shared" si="124"/>
        <v/>
      </c>
      <c r="T509" s="237" t="str">
        <f t="shared" si="139"/>
        <v/>
      </c>
      <c r="U509" s="189"/>
      <c r="V509" s="167"/>
      <c r="W509" s="165"/>
      <c r="X509" s="164"/>
      <c r="Y509" s="164"/>
      <c r="Z509" s="164"/>
      <c r="AA509" s="174"/>
      <c r="AB509" s="164"/>
      <c r="AC509" s="174"/>
      <c r="AD509" s="184"/>
      <c r="AE509" s="190" t="str">
        <f t="shared" si="135"/>
        <v/>
      </c>
      <c r="AF509" s="190" t="str">
        <f t="shared" si="136"/>
        <v/>
      </c>
      <c r="AG509" s="190" t="str">
        <f t="shared" si="125"/>
        <v>D</v>
      </c>
      <c r="AH509" s="190">
        <f>IFERROR(VLOOKUP(Y509,SISP_Deflatores_e_INMs!B$4:F$49,3,FALSE),1)</f>
        <v>1</v>
      </c>
      <c r="AI509" s="190">
        <f>IFERROR(VLOOKUP(Y509,SISP_Deflatores_e_INMs!B$4:G$49,5,FALSE),1)</f>
        <v>1</v>
      </c>
      <c r="AJ509" s="191" t="str">
        <f t="shared" si="137"/>
        <v/>
      </c>
      <c r="AK509" s="237" t="str">
        <f t="shared" si="126"/>
        <v/>
      </c>
      <c r="AL509" s="237" t="str">
        <f t="shared" si="138"/>
        <v/>
      </c>
      <c r="AM509" s="192" t="e">
        <f t="shared" si="127"/>
        <v>#VALUE!</v>
      </c>
      <c r="AN509" s="193" t="e">
        <f t="shared" si="128"/>
        <v>#VALUE!</v>
      </c>
      <c r="AO509" s="193" t="e">
        <f t="shared" si="129"/>
        <v>#VALUE!</v>
      </c>
      <c r="AP509" s="193"/>
      <c r="AQ509" s="204"/>
      <c r="AR509" s="204"/>
      <c r="AS509" s="204"/>
      <c r="AT509" s="205"/>
      <c r="AU509"/>
    </row>
    <row r="510" spans="2:47" ht="15" customHeight="1" x14ac:dyDescent="0.25">
      <c r="B510" s="206"/>
      <c r="C510" s="185"/>
      <c r="D510" s="164"/>
      <c r="E510" s="174"/>
      <c r="F510" s="164"/>
      <c r="G510" s="174"/>
      <c r="H510" s="164"/>
      <c r="I510" s="174"/>
      <c r="J510" s="184"/>
      <c r="K510" s="186"/>
      <c r="L510" s="187" t="str">
        <f t="shared" si="130"/>
        <v/>
      </c>
      <c r="M510" s="187" t="str">
        <f t="shared" si="131"/>
        <v/>
      </c>
      <c r="N510" s="187" t="str">
        <f t="shared" si="123"/>
        <v>D</v>
      </c>
      <c r="O510" s="187" t="str">
        <f t="shared" si="132"/>
        <v>D</v>
      </c>
      <c r="P510" s="187">
        <f t="shared" si="133"/>
        <v>1</v>
      </c>
      <c r="Q510" s="187">
        <f>IFERROR(VLOOKUP(E510,Tabela_Deflator:E$43,5,FALSE),1)</f>
        <v>1</v>
      </c>
      <c r="R510" s="188" t="str">
        <f t="shared" si="134"/>
        <v/>
      </c>
      <c r="S510" s="237" t="str">
        <f t="shared" si="124"/>
        <v/>
      </c>
      <c r="T510" s="237" t="str">
        <f t="shared" si="139"/>
        <v/>
      </c>
      <c r="U510" s="189"/>
      <c r="V510" s="167"/>
      <c r="W510" s="165"/>
      <c r="X510" s="164"/>
      <c r="Y510" s="164"/>
      <c r="Z510" s="164"/>
      <c r="AA510" s="174"/>
      <c r="AB510" s="164"/>
      <c r="AC510" s="174"/>
      <c r="AD510" s="184"/>
      <c r="AE510" s="190" t="str">
        <f t="shared" si="135"/>
        <v/>
      </c>
      <c r="AF510" s="190" t="str">
        <f t="shared" si="136"/>
        <v/>
      </c>
      <c r="AG510" s="190" t="str">
        <f t="shared" si="125"/>
        <v>D</v>
      </c>
      <c r="AH510" s="190">
        <f>IFERROR(VLOOKUP(Y510,SISP_Deflatores_e_INMs!B$4:F$49,3,FALSE),1)</f>
        <v>1</v>
      </c>
      <c r="AI510" s="190">
        <f>IFERROR(VLOOKUP(Y510,SISP_Deflatores_e_INMs!B$4:G$49,5,FALSE),1)</f>
        <v>1</v>
      </c>
      <c r="AJ510" s="191" t="str">
        <f t="shared" si="137"/>
        <v/>
      </c>
      <c r="AK510" s="237" t="str">
        <f t="shared" si="126"/>
        <v/>
      </c>
      <c r="AL510" s="237" t="str">
        <f t="shared" si="138"/>
        <v/>
      </c>
      <c r="AM510" s="192" t="e">
        <f t="shared" si="127"/>
        <v>#VALUE!</v>
      </c>
      <c r="AN510" s="193" t="e">
        <f t="shared" si="128"/>
        <v>#VALUE!</v>
      </c>
      <c r="AO510" s="193" t="e">
        <f t="shared" si="129"/>
        <v>#VALUE!</v>
      </c>
      <c r="AP510" s="193"/>
      <c r="AQ510" s="204"/>
      <c r="AR510" s="204"/>
      <c r="AS510" s="204"/>
      <c r="AT510" s="205"/>
      <c r="AU510"/>
    </row>
    <row r="511" spans="2:47" ht="15" customHeight="1" x14ac:dyDescent="0.25">
      <c r="B511" s="206"/>
      <c r="C511" s="185"/>
      <c r="D511" s="164"/>
      <c r="E511" s="174"/>
      <c r="F511" s="164"/>
      <c r="G511" s="174"/>
      <c r="H511" s="164"/>
      <c r="I511" s="174"/>
      <c r="J511" s="184"/>
      <c r="K511" s="186"/>
      <c r="L511" s="187" t="str">
        <f t="shared" si="130"/>
        <v/>
      </c>
      <c r="M511" s="187" t="str">
        <f t="shared" si="131"/>
        <v/>
      </c>
      <c r="N511" s="187" t="str">
        <f t="shared" si="123"/>
        <v>D</v>
      </c>
      <c r="O511" s="187" t="str">
        <f t="shared" si="132"/>
        <v>D</v>
      </c>
      <c r="P511" s="187">
        <f t="shared" si="133"/>
        <v>1</v>
      </c>
      <c r="Q511" s="187">
        <f>IFERROR(VLOOKUP(E511,Tabela_Deflator:E$43,5,FALSE),1)</f>
        <v>1</v>
      </c>
      <c r="R511" s="188" t="str">
        <f t="shared" si="134"/>
        <v/>
      </c>
      <c r="S511" s="237" t="str">
        <f t="shared" si="124"/>
        <v/>
      </c>
      <c r="T511" s="237" t="str">
        <f t="shared" si="139"/>
        <v/>
      </c>
      <c r="U511" s="189"/>
      <c r="V511" s="167"/>
      <c r="W511" s="165"/>
      <c r="X511" s="164"/>
      <c r="Y511" s="164"/>
      <c r="Z511" s="164"/>
      <c r="AA511" s="174"/>
      <c r="AB511" s="164"/>
      <c r="AC511" s="174"/>
      <c r="AD511" s="184"/>
      <c r="AE511" s="190" t="str">
        <f t="shared" si="135"/>
        <v/>
      </c>
      <c r="AF511" s="190" t="str">
        <f t="shared" si="136"/>
        <v/>
      </c>
      <c r="AG511" s="190" t="str">
        <f t="shared" si="125"/>
        <v>D</v>
      </c>
      <c r="AH511" s="190">
        <f>IFERROR(VLOOKUP(Y511,SISP_Deflatores_e_INMs!B$4:F$49,3,FALSE),1)</f>
        <v>1</v>
      </c>
      <c r="AI511" s="190">
        <f>IFERROR(VLOOKUP(Y511,SISP_Deflatores_e_INMs!B$4:G$49,5,FALSE),1)</f>
        <v>1</v>
      </c>
      <c r="AJ511" s="191" t="str">
        <f t="shared" si="137"/>
        <v/>
      </c>
      <c r="AK511" s="237" t="str">
        <f t="shared" si="126"/>
        <v/>
      </c>
      <c r="AL511" s="237" t="str">
        <f t="shared" si="138"/>
        <v/>
      </c>
      <c r="AM511" s="192" t="e">
        <f t="shared" si="127"/>
        <v>#VALUE!</v>
      </c>
      <c r="AN511" s="193" t="e">
        <f t="shared" si="128"/>
        <v>#VALUE!</v>
      </c>
      <c r="AO511" s="193" t="e">
        <f t="shared" si="129"/>
        <v>#VALUE!</v>
      </c>
      <c r="AP511" s="193"/>
      <c r="AQ511" s="204"/>
      <c r="AR511" s="204"/>
      <c r="AS511" s="204"/>
      <c r="AT511" s="205"/>
      <c r="AU511"/>
    </row>
    <row r="512" spans="2:47" ht="15" customHeight="1" x14ac:dyDescent="0.25">
      <c r="B512" s="206"/>
      <c r="C512" s="185"/>
      <c r="D512" s="164"/>
      <c r="E512" s="174"/>
      <c r="F512" s="164"/>
      <c r="G512" s="174"/>
      <c r="H512" s="164"/>
      <c r="I512" s="174"/>
      <c r="J512" s="184"/>
      <c r="K512" s="186"/>
      <c r="L512" s="187" t="str">
        <f t="shared" si="130"/>
        <v/>
      </c>
      <c r="M512" s="187" t="str">
        <f t="shared" si="131"/>
        <v/>
      </c>
      <c r="N512" s="187" t="str">
        <f t="shared" si="123"/>
        <v>D</v>
      </c>
      <c r="O512" s="187" t="str">
        <f t="shared" si="132"/>
        <v>D</v>
      </c>
      <c r="P512" s="187">
        <f t="shared" si="133"/>
        <v>1</v>
      </c>
      <c r="Q512" s="187">
        <f>IFERROR(VLOOKUP(E512,Tabela_Deflator:E$43,5,FALSE),1)</f>
        <v>1</v>
      </c>
      <c r="R512" s="188" t="str">
        <f t="shared" si="134"/>
        <v/>
      </c>
      <c r="S512" s="237" t="str">
        <f t="shared" si="124"/>
        <v/>
      </c>
      <c r="T512" s="237" t="str">
        <f t="shared" si="139"/>
        <v/>
      </c>
      <c r="U512" s="189"/>
      <c r="V512" s="167"/>
      <c r="W512" s="165"/>
      <c r="X512" s="164"/>
      <c r="Y512" s="164"/>
      <c r="Z512" s="164"/>
      <c r="AA512" s="174"/>
      <c r="AB512" s="164"/>
      <c r="AC512" s="174"/>
      <c r="AD512" s="184"/>
      <c r="AE512" s="190" t="str">
        <f t="shared" si="135"/>
        <v/>
      </c>
      <c r="AF512" s="190" t="str">
        <f t="shared" si="136"/>
        <v/>
      </c>
      <c r="AG512" s="190" t="str">
        <f t="shared" si="125"/>
        <v>D</v>
      </c>
      <c r="AH512" s="190">
        <f>IFERROR(VLOOKUP(Y512,SISP_Deflatores_e_INMs!B$4:F$49,3,FALSE),1)</f>
        <v>1</v>
      </c>
      <c r="AI512" s="190">
        <f>IFERROR(VLOOKUP(Y512,SISP_Deflatores_e_INMs!B$4:G$49,5,FALSE),1)</f>
        <v>1</v>
      </c>
      <c r="AJ512" s="191" t="str">
        <f t="shared" si="137"/>
        <v/>
      </c>
      <c r="AK512" s="237" t="str">
        <f t="shared" si="126"/>
        <v/>
      </c>
      <c r="AL512" s="237" t="str">
        <f t="shared" si="138"/>
        <v/>
      </c>
      <c r="AM512" s="192" t="e">
        <f t="shared" si="127"/>
        <v>#VALUE!</v>
      </c>
      <c r="AN512" s="193" t="e">
        <f t="shared" si="128"/>
        <v>#VALUE!</v>
      </c>
      <c r="AO512" s="193" t="e">
        <f t="shared" si="129"/>
        <v>#VALUE!</v>
      </c>
      <c r="AP512" s="193"/>
      <c r="AQ512" s="204"/>
      <c r="AR512" s="204"/>
      <c r="AS512" s="204"/>
      <c r="AT512" s="205"/>
      <c r="AU512"/>
    </row>
    <row r="513" spans="2:47" ht="15" customHeight="1" x14ac:dyDescent="0.25">
      <c r="B513" s="206"/>
      <c r="C513" s="185"/>
      <c r="D513" s="164"/>
      <c r="E513" s="174"/>
      <c r="F513" s="164"/>
      <c r="G513" s="174"/>
      <c r="H513" s="164"/>
      <c r="I513" s="174"/>
      <c r="J513" s="184"/>
      <c r="K513" s="186"/>
      <c r="L513" s="187" t="str">
        <f t="shared" si="130"/>
        <v/>
      </c>
      <c r="M513" s="187" t="str">
        <f t="shared" si="131"/>
        <v/>
      </c>
      <c r="N513" s="187" t="str">
        <f t="shared" si="123"/>
        <v>D</v>
      </c>
      <c r="O513" s="187" t="str">
        <f t="shared" si="132"/>
        <v>D</v>
      </c>
      <c r="P513" s="187">
        <f t="shared" si="133"/>
        <v>1</v>
      </c>
      <c r="Q513" s="187">
        <f>IFERROR(VLOOKUP(E513,Tabela_Deflator:E$43,5,FALSE),1)</f>
        <v>1</v>
      </c>
      <c r="R513" s="188" t="str">
        <f t="shared" si="134"/>
        <v/>
      </c>
      <c r="S513" s="237" t="str">
        <f t="shared" si="124"/>
        <v/>
      </c>
      <c r="T513" s="237" t="str">
        <f t="shared" si="139"/>
        <v/>
      </c>
      <c r="U513" s="189"/>
      <c r="V513" s="167"/>
      <c r="W513" s="165"/>
      <c r="X513" s="164"/>
      <c r="Y513" s="164"/>
      <c r="Z513" s="164"/>
      <c r="AA513" s="174"/>
      <c r="AB513" s="164"/>
      <c r="AC513" s="174"/>
      <c r="AD513" s="184"/>
      <c r="AE513" s="190" t="str">
        <f t="shared" si="135"/>
        <v/>
      </c>
      <c r="AF513" s="190" t="str">
        <f t="shared" si="136"/>
        <v/>
      </c>
      <c r="AG513" s="190" t="str">
        <f t="shared" si="125"/>
        <v>D</v>
      </c>
      <c r="AH513" s="190">
        <f>IFERROR(VLOOKUP(Y513,SISP_Deflatores_e_INMs!B$4:F$49,3,FALSE),1)</f>
        <v>1</v>
      </c>
      <c r="AI513" s="190">
        <f>IFERROR(VLOOKUP(Y513,SISP_Deflatores_e_INMs!B$4:G$49,5,FALSE),1)</f>
        <v>1</v>
      </c>
      <c r="AJ513" s="191" t="str">
        <f t="shared" si="137"/>
        <v/>
      </c>
      <c r="AK513" s="237" t="str">
        <f t="shared" si="126"/>
        <v/>
      </c>
      <c r="AL513" s="237" t="str">
        <f t="shared" si="138"/>
        <v/>
      </c>
      <c r="AM513" s="192" t="e">
        <f t="shared" si="127"/>
        <v>#VALUE!</v>
      </c>
      <c r="AN513" s="193" t="e">
        <f t="shared" si="128"/>
        <v>#VALUE!</v>
      </c>
      <c r="AO513" s="193" t="e">
        <f t="shared" si="129"/>
        <v>#VALUE!</v>
      </c>
      <c r="AP513" s="193"/>
      <c r="AQ513" s="204"/>
      <c r="AR513" s="204"/>
      <c r="AS513" s="204"/>
      <c r="AT513" s="205"/>
      <c r="AU513"/>
    </row>
    <row r="514" spans="2:47" ht="15" customHeight="1" x14ac:dyDescent="0.25">
      <c r="B514" s="206"/>
      <c r="C514" s="185"/>
      <c r="D514" s="164"/>
      <c r="E514" s="174"/>
      <c r="F514" s="164"/>
      <c r="G514" s="174"/>
      <c r="H514" s="164"/>
      <c r="I514" s="174"/>
      <c r="J514" s="184"/>
      <c r="K514" s="186"/>
      <c r="L514" s="187" t="str">
        <f t="shared" si="130"/>
        <v/>
      </c>
      <c r="M514" s="187" t="str">
        <f t="shared" si="131"/>
        <v/>
      </c>
      <c r="N514" s="187" t="str">
        <f t="shared" si="123"/>
        <v>D</v>
      </c>
      <c r="O514" s="187" t="str">
        <f t="shared" si="132"/>
        <v>D</v>
      </c>
      <c r="P514" s="187">
        <f t="shared" si="133"/>
        <v>1</v>
      </c>
      <c r="Q514" s="187">
        <f>IFERROR(VLOOKUP(E514,Tabela_Deflator:E$43,5,FALSE),1)</f>
        <v>1</v>
      </c>
      <c r="R514" s="188" t="str">
        <f t="shared" si="134"/>
        <v/>
      </c>
      <c r="S514" s="237" t="str">
        <f t="shared" si="124"/>
        <v/>
      </c>
      <c r="T514" s="237" t="str">
        <f t="shared" si="139"/>
        <v/>
      </c>
      <c r="U514" s="189"/>
      <c r="V514" s="167"/>
      <c r="W514" s="165"/>
      <c r="X514" s="164"/>
      <c r="Y514" s="164"/>
      <c r="Z514" s="164"/>
      <c r="AA514" s="174"/>
      <c r="AB514" s="164"/>
      <c r="AC514" s="174"/>
      <c r="AD514" s="184"/>
      <c r="AE514" s="190" t="str">
        <f t="shared" si="135"/>
        <v/>
      </c>
      <c r="AF514" s="190" t="str">
        <f t="shared" si="136"/>
        <v/>
      </c>
      <c r="AG514" s="190" t="str">
        <f t="shared" si="125"/>
        <v>D</v>
      </c>
      <c r="AH514" s="190">
        <f>IFERROR(VLOOKUP(Y514,SISP_Deflatores_e_INMs!B$4:F$49,3,FALSE),1)</f>
        <v>1</v>
      </c>
      <c r="AI514" s="190">
        <f>IFERROR(VLOOKUP(Y514,SISP_Deflatores_e_INMs!B$4:G$49,5,FALSE),1)</f>
        <v>1</v>
      </c>
      <c r="AJ514" s="191" t="str">
        <f t="shared" si="137"/>
        <v/>
      </c>
      <c r="AK514" s="237" t="str">
        <f t="shared" si="126"/>
        <v/>
      </c>
      <c r="AL514" s="237" t="str">
        <f t="shared" si="138"/>
        <v/>
      </c>
      <c r="AM514" s="192" t="e">
        <f t="shared" si="127"/>
        <v>#VALUE!</v>
      </c>
      <c r="AN514" s="193" t="e">
        <f t="shared" si="128"/>
        <v>#VALUE!</v>
      </c>
      <c r="AO514" s="193" t="e">
        <f t="shared" si="129"/>
        <v>#VALUE!</v>
      </c>
      <c r="AP514" s="193"/>
      <c r="AQ514" s="204"/>
      <c r="AR514" s="204"/>
      <c r="AS514" s="204"/>
      <c r="AT514" s="205"/>
      <c r="AU514"/>
    </row>
    <row r="515" spans="2:47" ht="15" customHeight="1" x14ac:dyDescent="0.25">
      <c r="B515" s="206"/>
      <c r="C515" s="185"/>
      <c r="D515" s="164"/>
      <c r="E515" s="174"/>
      <c r="F515" s="164"/>
      <c r="G515" s="174"/>
      <c r="H515" s="164"/>
      <c r="I515" s="174"/>
      <c r="J515" s="184"/>
      <c r="K515" s="186"/>
      <c r="L515" s="187" t="str">
        <f t="shared" si="130"/>
        <v/>
      </c>
      <c r="M515" s="187" t="str">
        <f t="shared" si="131"/>
        <v/>
      </c>
      <c r="N515" s="187" t="str">
        <f t="shared" si="123"/>
        <v>D</v>
      </c>
      <c r="O515" s="187" t="str">
        <f t="shared" si="132"/>
        <v>D</v>
      </c>
      <c r="P515" s="187">
        <f t="shared" si="133"/>
        <v>1</v>
      </c>
      <c r="Q515" s="187">
        <f>IFERROR(VLOOKUP(E515,Tabela_Deflator:E$43,5,FALSE),1)</f>
        <v>1</v>
      </c>
      <c r="R515" s="188" t="str">
        <f t="shared" si="134"/>
        <v/>
      </c>
      <c r="S515" s="237" t="str">
        <f t="shared" si="124"/>
        <v/>
      </c>
      <c r="T515" s="237" t="str">
        <f t="shared" si="139"/>
        <v/>
      </c>
      <c r="U515" s="189"/>
      <c r="V515" s="167"/>
      <c r="W515" s="165"/>
      <c r="X515" s="164"/>
      <c r="Y515" s="164"/>
      <c r="Z515" s="164"/>
      <c r="AA515" s="174"/>
      <c r="AB515" s="164"/>
      <c r="AC515" s="174"/>
      <c r="AD515" s="184"/>
      <c r="AE515" s="190" t="str">
        <f t="shared" si="135"/>
        <v/>
      </c>
      <c r="AF515" s="190" t="str">
        <f t="shared" si="136"/>
        <v/>
      </c>
      <c r="AG515" s="190" t="str">
        <f t="shared" si="125"/>
        <v>D</v>
      </c>
      <c r="AH515" s="190">
        <f>IFERROR(VLOOKUP(Y515,SISP_Deflatores_e_INMs!B$4:F$49,3,FALSE),1)</f>
        <v>1</v>
      </c>
      <c r="AI515" s="190">
        <f>IFERROR(VLOOKUP(Y515,SISP_Deflatores_e_INMs!B$4:G$49,5,FALSE),1)</f>
        <v>1</v>
      </c>
      <c r="AJ515" s="191" t="str">
        <f t="shared" si="137"/>
        <v/>
      </c>
      <c r="AK515" s="237" t="str">
        <f t="shared" si="126"/>
        <v/>
      </c>
      <c r="AL515" s="237" t="str">
        <f t="shared" si="138"/>
        <v/>
      </c>
      <c r="AM515" s="192" t="e">
        <f t="shared" si="127"/>
        <v>#VALUE!</v>
      </c>
      <c r="AN515" s="193" t="e">
        <f t="shared" si="128"/>
        <v>#VALUE!</v>
      </c>
      <c r="AO515" s="193" t="e">
        <f t="shared" si="129"/>
        <v>#VALUE!</v>
      </c>
      <c r="AP515" s="193"/>
      <c r="AQ515" s="204"/>
      <c r="AR515" s="204"/>
      <c r="AS515" s="204"/>
      <c r="AT515" s="205"/>
      <c r="AU515"/>
    </row>
    <row r="516" spans="2:47" ht="15" customHeight="1" x14ac:dyDescent="0.25">
      <c r="B516" s="206"/>
      <c r="C516" s="185"/>
      <c r="D516" s="164"/>
      <c r="E516" s="174"/>
      <c r="F516" s="164"/>
      <c r="G516" s="174"/>
      <c r="H516" s="164"/>
      <c r="I516" s="174"/>
      <c r="J516" s="184"/>
      <c r="K516" s="186"/>
      <c r="L516" s="187" t="str">
        <f t="shared" si="130"/>
        <v/>
      </c>
      <c r="M516" s="187" t="str">
        <f t="shared" si="131"/>
        <v/>
      </c>
      <c r="N516" s="187" t="str">
        <f t="shared" ref="N516:N579" si="140">IF(Tipo_de_contagem="Contagem Detalhada","D",IF(Tipo_de_contagem="Contagem Estimada","E","S"))</f>
        <v>D</v>
      </c>
      <c r="O516" s="187" t="str">
        <f t="shared" si="132"/>
        <v>D</v>
      </c>
      <c r="P516" s="187">
        <f t="shared" si="133"/>
        <v>1</v>
      </c>
      <c r="Q516" s="187">
        <f>IFERROR(VLOOKUP(E516,Tabela_Deflator:E$43,5,FALSE),1)</f>
        <v>1</v>
      </c>
      <c r="R516" s="188" t="str">
        <f t="shared" si="134"/>
        <v/>
      </c>
      <c r="S516" s="237" t="str">
        <f t="shared" ref="S516:S579" si="141">IF(D516="N/A","",IF(D516="","",IFERROR(IF(D516="INM",P516*J516,VLOOKUP(O516,Tabela_Pontuação,2,FALSE)),0)))</f>
        <v/>
      </c>
      <c r="T516" s="237" t="str">
        <f t="shared" si="139"/>
        <v/>
      </c>
      <c r="U516" s="189"/>
      <c r="V516" s="167"/>
      <c r="W516" s="165"/>
      <c r="X516" s="164"/>
      <c r="Y516" s="164"/>
      <c r="Z516" s="164"/>
      <c r="AA516" s="174"/>
      <c r="AB516" s="164"/>
      <c r="AC516" s="174"/>
      <c r="AD516" s="184"/>
      <c r="AE516" s="190" t="str">
        <f t="shared" si="135"/>
        <v/>
      </c>
      <c r="AF516" s="190" t="str">
        <f t="shared" si="136"/>
        <v/>
      </c>
      <c r="AG516" s="190" t="str">
        <f t="shared" ref="AG516:AG579" si="142">IF(N516="S",X516,CONCATENATE(X516,AE516,N516))</f>
        <v>D</v>
      </c>
      <c r="AH516" s="190">
        <f>IFERROR(VLOOKUP(Y516,SISP_Deflatores_e_INMs!B$4:F$49,3,FALSE),1)</f>
        <v>1</v>
      </c>
      <c r="AI516" s="190">
        <f>IFERROR(VLOOKUP(Y516,SISP_Deflatores_e_INMs!B$4:G$49,5,FALSE),1)</f>
        <v>1</v>
      </c>
      <c r="AJ516" s="191" t="str">
        <f t="shared" si="137"/>
        <v/>
      </c>
      <c r="AK516" s="237" t="str">
        <f t="shared" ref="AK516:AK579" si="143">IFERROR(IF(X516="INM",AH516*AD516,VLOOKUP(AG516,Tabela_Pontuação,2,FALSE)),"")</f>
        <v/>
      </c>
      <c r="AL516" s="237" t="str">
        <f t="shared" si="138"/>
        <v/>
      </c>
      <c r="AM516" s="192" t="e">
        <f t="shared" ref="AM516:AM579" si="144">IF(S516&lt;=0,0,AK516-S516)</f>
        <v>#VALUE!</v>
      </c>
      <c r="AN516" s="193" t="e">
        <f t="shared" ref="AN516:AN579" si="145">AM516/S516</f>
        <v>#VALUE!</v>
      </c>
      <c r="AO516" s="193" t="e">
        <f t="shared" ref="AO516:AO579" si="146">IF(T516&lt;=0,0,AL516-T516)</f>
        <v>#VALUE!</v>
      </c>
      <c r="AP516" s="193"/>
      <c r="AQ516" s="204"/>
      <c r="AR516" s="204"/>
      <c r="AS516" s="204"/>
      <c r="AT516" s="205"/>
      <c r="AU516"/>
    </row>
    <row r="517" spans="2:47" ht="15" customHeight="1" x14ac:dyDescent="0.25">
      <c r="B517" s="206"/>
      <c r="C517" s="185"/>
      <c r="D517" s="164"/>
      <c r="E517" s="174"/>
      <c r="F517" s="164"/>
      <c r="G517" s="174"/>
      <c r="H517" s="164"/>
      <c r="I517" s="174"/>
      <c r="J517" s="184"/>
      <c r="K517" s="186"/>
      <c r="L517" s="187" t="str">
        <f t="shared" ref="L517:L580" si="147">IF(OR(ISBLANK(F517),ISBLANK(H517)),IF(OR(D517="ALI",D517="AIE"),"L",IF(ISBLANK(D517),"","A")),IF(D517="EE",IF(H517&gt;=3,IF(F517&gt;=5,"H","A"),IF(H517&gt;=2,IF(F517&gt;=16,"H",IF(F517&lt;=4,"L","A")),IF(F517&lt;=15,"L","A"))),IF(OR(D517="SE",D517="CE"),IF(H517&gt;=4,IF(F517&gt;=6,"H","A"),IF(H517&gt;=2,IF(F517&gt;=20,"H",IF(F517&lt;=5,"L","A")),IF(F517&lt;=19,"L","A"))),IF(OR(D517="ALI",D517="AIE"),IF(H517&gt;=6,IF(F517&gt;=20,"H","A"),IF(H517&gt;=2,IF(F517&gt;=51,"H",IF(F517&lt;=19,"L","A")),IF(F517&lt;=50,"L","A")))))))</f>
        <v/>
      </c>
      <c r="M517" s="187" t="str">
        <f t="shared" ref="M517:M580" si="148">CONCATENATE(D517,L517)</f>
        <v/>
      </c>
      <c r="N517" s="187" t="str">
        <f t="shared" si="140"/>
        <v>D</v>
      </c>
      <c r="O517" s="187" t="str">
        <f t="shared" ref="O517:O580" si="149">IF(N517="S",D517,CONCATENATE(D517,L517,N517))</f>
        <v>D</v>
      </c>
      <c r="P517" s="187">
        <f t="shared" ref="P517:P580" si="150">IFERROR(VLOOKUP(E517,Tabela_Deflator,3,FALSE),1)</f>
        <v>1</v>
      </c>
      <c r="Q517" s="187">
        <f>IFERROR(VLOOKUP(E517,Tabela_Deflator:E$43,5,FALSE),1)</f>
        <v>1</v>
      </c>
      <c r="R517" s="188" t="str">
        <f t="shared" ref="R517:R580" si="151">IF(OR(D517="INM",D517="N/A"),"",IF(L517="L","Baixa",IF(L517="A","Média",IF(L517="","","Alta"))))</f>
        <v/>
      </c>
      <c r="S517" s="237" t="str">
        <f t="shared" si="141"/>
        <v/>
      </c>
      <c r="T517" s="237" t="str">
        <f t="shared" si="139"/>
        <v/>
      </c>
      <c r="U517" s="189"/>
      <c r="V517" s="167"/>
      <c r="W517" s="165"/>
      <c r="X517" s="164"/>
      <c r="Y517" s="164"/>
      <c r="Z517" s="164"/>
      <c r="AA517" s="174"/>
      <c r="AB517" s="164"/>
      <c r="AC517" s="174"/>
      <c r="AD517" s="184"/>
      <c r="AE517" s="190" t="str">
        <f t="shared" ref="AE517:AE580" si="152">IF(OR(ISBLANK(Z517),ISBLANK(AB517)),IF(OR(X517="ALI",X517="AIE"),"L",IF(ISBLANK(X517),"","A")),IF(X517="EE",IF(AB517&gt;=3,IF(Z517&gt;=5,"H","A"),IF(AB517&gt;=2,IF(Z517&gt;=16,"H",IF(Z517&lt;=4,"L","A")),IF(Z517&lt;=15,"L","A"))),IF(OR(X517="SE",X517="CE"),IF(AB517&gt;=4,IF(Z517&gt;=6,"H","A"),IF(AB517&gt;=2,IF(Z517&gt;=20,"H",IF(Z517&lt;=5,"L","A")),IF(Z517&lt;=19,"L","A"))),IF(OR(X517="ALI",X517="AIE"),IF(AB517&gt;=6,IF(Z517&gt;=20,"H","A"),IF(AB517&gt;=2,IF(Z517&gt;=51,"H",IF(Z517&lt;=19,"L","A")),IF(Z517&lt;=50,"L","A")))))))</f>
        <v/>
      </c>
      <c r="AF517" s="190" t="str">
        <f t="shared" ref="AF517:AF580" si="153">CONCATENATE(X517,AE517)</f>
        <v/>
      </c>
      <c r="AG517" s="190" t="str">
        <f t="shared" si="142"/>
        <v>D</v>
      </c>
      <c r="AH517" s="190">
        <f>IFERROR(VLOOKUP(Y517,SISP_Deflatores_e_INMs!B$4:F$49,3,FALSE),1)</f>
        <v>1</v>
      </c>
      <c r="AI517" s="190">
        <f>IFERROR(VLOOKUP(Y517,SISP_Deflatores_e_INMs!B$4:G$49,5,FALSE),1)</f>
        <v>1</v>
      </c>
      <c r="AJ517" s="191" t="str">
        <f t="shared" ref="AJ517:AJ580" si="154">IF(OR(X517="INM",X517="N/A"),"",IF(AE517="L","Baixa",IF(AE517="A","Média",IF(AE517="","","Alta"))))</f>
        <v/>
      </c>
      <c r="AK517" s="237" t="str">
        <f t="shared" si="143"/>
        <v/>
      </c>
      <c r="AL517" s="237" t="str">
        <f t="shared" ref="AL517:AL580" si="155">IFERROR(IF(OR(ISBLANK(V517),V517="NOK"),"",IF(X517="INM",(1*AH517)*AD517,AK517*AH517)),"")</f>
        <v/>
      </c>
      <c r="AM517" s="192" t="e">
        <f t="shared" si="144"/>
        <v>#VALUE!</v>
      </c>
      <c r="AN517" s="193" t="e">
        <f t="shared" si="145"/>
        <v>#VALUE!</v>
      </c>
      <c r="AO517" s="193" t="e">
        <f t="shared" si="146"/>
        <v>#VALUE!</v>
      </c>
      <c r="AP517" s="193"/>
      <c r="AQ517" s="204"/>
      <c r="AR517" s="204"/>
      <c r="AS517" s="204"/>
      <c r="AT517" s="205"/>
      <c r="AU517"/>
    </row>
    <row r="518" spans="2:47" ht="15" customHeight="1" x14ac:dyDescent="0.25">
      <c r="B518" s="206"/>
      <c r="C518" s="185"/>
      <c r="D518" s="164"/>
      <c r="E518" s="174"/>
      <c r="F518" s="164"/>
      <c r="G518" s="174"/>
      <c r="H518" s="164"/>
      <c r="I518" s="174"/>
      <c r="J518" s="184"/>
      <c r="K518" s="186"/>
      <c r="L518" s="187" t="str">
        <f t="shared" si="147"/>
        <v/>
      </c>
      <c r="M518" s="187" t="str">
        <f t="shared" si="148"/>
        <v/>
      </c>
      <c r="N518" s="187" t="str">
        <f t="shared" si="140"/>
        <v>D</v>
      </c>
      <c r="O518" s="187" t="str">
        <f t="shared" si="149"/>
        <v>D</v>
      </c>
      <c r="P518" s="187">
        <f t="shared" si="150"/>
        <v>1</v>
      </c>
      <c r="Q518" s="187">
        <f>IFERROR(VLOOKUP(E518,Tabela_Deflator:E$43,5,FALSE),1)</f>
        <v>1</v>
      </c>
      <c r="R518" s="188" t="str">
        <f t="shared" si="151"/>
        <v/>
      </c>
      <c r="S518" s="237" t="str">
        <f t="shared" si="141"/>
        <v/>
      </c>
      <c r="T518" s="237" t="str">
        <f t="shared" ref="T518:T581" si="156" xml:space="preserve"> IF(D518="N/A","",IF(D518="","",IF(D518="INM",(1*P518)*J518,S518*P518)))</f>
        <v/>
      </c>
      <c r="U518" s="189"/>
      <c r="V518" s="167"/>
      <c r="W518" s="165"/>
      <c r="X518" s="164"/>
      <c r="Y518" s="164"/>
      <c r="Z518" s="164"/>
      <c r="AA518" s="174"/>
      <c r="AB518" s="164"/>
      <c r="AC518" s="174"/>
      <c r="AD518" s="184"/>
      <c r="AE518" s="190" t="str">
        <f t="shared" si="152"/>
        <v/>
      </c>
      <c r="AF518" s="190" t="str">
        <f t="shared" si="153"/>
        <v/>
      </c>
      <c r="AG518" s="190" t="str">
        <f t="shared" si="142"/>
        <v>D</v>
      </c>
      <c r="AH518" s="190">
        <f>IFERROR(VLOOKUP(Y518,SISP_Deflatores_e_INMs!B$4:F$49,3,FALSE),1)</f>
        <v>1</v>
      </c>
      <c r="AI518" s="190">
        <f>IFERROR(VLOOKUP(Y518,SISP_Deflatores_e_INMs!B$4:G$49,5,FALSE),1)</f>
        <v>1</v>
      </c>
      <c r="AJ518" s="191" t="str">
        <f t="shared" si="154"/>
        <v/>
      </c>
      <c r="AK518" s="237" t="str">
        <f t="shared" si="143"/>
        <v/>
      </c>
      <c r="AL518" s="237" t="str">
        <f t="shared" si="155"/>
        <v/>
      </c>
      <c r="AM518" s="192" t="e">
        <f t="shared" si="144"/>
        <v>#VALUE!</v>
      </c>
      <c r="AN518" s="193" t="e">
        <f t="shared" si="145"/>
        <v>#VALUE!</v>
      </c>
      <c r="AO518" s="193" t="e">
        <f t="shared" si="146"/>
        <v>#VALUE!</v>
      </c>
      <c r="AP518" s="193"/>
      <c r="AQ518" s="204"/>
      <c r="AR518" s="204"/>
      <c r="AS518" s="204"/>
      <c r="AT518" s="205"/>
      <c r="AU518"/>
    </row>
    <row r="519" spans="2:47" ht="15" customHeight="1" x14ac:dyDescent="0.25">
      <c r="B519" s="206"/>
      <c r="C519" s="185"/>
      <c r="D519" s="164"/>
      <c r="E519" s="174"/>
      <c r="F519" s="164"/>
      <c r="G519" s="174"/>
      <c r="H519" s="164"/>
      <c r="I519" s="174"/>
      <c r="J519" s="184"/>
      <c r="K519" s="186"/>
      <c r="L519" s="187" t="str">
        <f t="shared" si="147"/>
        <v/>
      </c>
      <c r="M519" s="187" t="str">
        <f t="shared" si="148"/>
        <v/>
      </c>
      <c r="N519" s="187" t="str">
        <f t="shared" si="140"/>
        <v>D</v>
      </c>
      <c r="O519" s="187" t="str">
        <f t="shared" si="149"/>
        <v>D</v>
      </c>
      <c r="P519" s="187">
        <f t="shared" si="150"/>
        <v>1</v>
      </c>
      <c r="Q519" s="187">
        <f>IFERROR(VLOOKUP(E519,Tabela_Deflator:E$43,5,FALSE),1)</f>
        <v>1</v>
      </c>
      <c r="R519" s="188" t="str">
        <f t="shared" si="151"/>
        <v/>
      </c>
      <c r="S519" s="237" t="str">
        <f t="shared" si="141"/>
        <v/>
      </c>
      <c r="T519" s="237" t="str">
        <f t="shared" si="156"/>
        <v/>
      </c>
      <c r="U519" s="189"/>
      <c r="V519" s="167"/>
      <c r="W519" s="165"/>
      <c r="X519" s="164"/>
      <c r="Y519" s="164"/>
      <c r="Z519" s="164"/>
      <c r="AA519" s="174"/>
      <c r="AB519" s="164"/>
      <c r="AC519" s="174"/>
      <c r="AD519" s="184"/>
      <c r="AE519" s="190" t="str">
        <f t="shared" si="152"/>
        <v/>
      </c>
      <c r="AF519" s="190" t="str">
        <f t="shared" si="153"/>
        <v/>
      </c>
      <c r="AG519" s="190" t="str">
        <f t="shared" si="142"/>
        <v>D</v>
      </c>
      <c r="AH519" s="190">
        <f>IFERROR(VLOOKUP(Y519,SISP_Deflatores_e_INMs!B$4:F$49,3,FALSE),1)</f>
        <v>1</v>
      </c>
      <c r="AI519" s="190">
        <f>IFERROR(VLOOKUP(Y519,SISP_Deflatores_e_INMs!B$4:G$49,5,FALSE),1)</f>
        <v>1</v>
      </c>
      <c r="AJ519" s="191" t="str">
        <f t="shared" si="154"/>
        <v/>
      </c>
      <c r="AK519" s="237" t="str">
        <f t="shared" si="143"/>
        <v/>
      </c>
      <c r="AL519" s="237" t="str">
        <f t="shared" si="155"/>
        <v/>
      </c>
      <c r="AM519" s="192" t="e">
        <f t="shared" si="144"/>
        <v>#VALUE!</v>
      </c>
      <c r="AN519" s="193" t="e">
        <f t="shared" si="145"/>
        <v>#VALUE!</v>
      </c>
      <c r="AO519" s="193" t="e">
        <f t="shared" si="146"/>
        <v>#VALUE!</v>
      </c>
      <c r="AP519" s="193"/>
      <c r="AQ519" s="204"/>
      <c r="AR519" s="204"/>
      <c r="AS519" s="204"/>
      <c r="AT519" s="205"/>
      <c r="AU519"/>
    </row>
    <row r="520" spans="2:47" ht="15" customHeight="1" x14ac:dyDescent="0.25">
      <c r="B520" s="206"/>
      <c r="C520" s="185"/>
      <c r="D520" s="164"/>
      <c r="E520" s="174"/>
      <c r="F520" s="164"/>
      <c r="G520" s="174"/>
      <c r="H520" s="164"/>
      <c r="I520" s="174"/>
      <c r="J520" s="184"/>
      <c r="K520" s="186"/>
      <c r="L520" s="187" t="str">
        <f t="shared" si="147"/>
        <v/>
      </c>
      <c r="M520" s="187" t="str">
        <f t="shared" si="148"/>
        <v/>
      </c>
      <c r="N520" s="187" t="str">
        <f t="shared" si="140"/>
        <v>D</v>
      </c>
      <c r="O520" s="187" t="str">
        <f t="shared" si="149"/>
        <v>D</v>
      </c>
      <c r="P520" s="187">
        <f t="shared" si="150"/>
        <v>1</v>
      </c>
      <c r="Q520" s="187">
        <f>IFERROR(VLOOKUP(E520,Tabela_Deflator:E$43,5,FALSE),1)</f>
        <v>1</v>
      </c>
      <c r="R520" s="188" t="str">
        <f t="shared" si="151"/>
        <v/>
      </c>
      <c r="S520" s="237" t="str">
        <f t="shared" si="141"/>
        <v/>
      </c>
      <c r="T520" s="237" t="str">
        <f t="shared" si="156"/>
        <v/>
      </c>
      <c r="U520" s="189"/>
      <c r="V520" s="167"/>
      <c r="W520" s="165"/>
      <c r="X520" s="164"/>
      <c r="Y520" s="164"/>
      <c r="Z520" s="164"/>
      <c r="AA520" s="174"/>
      <c r="AB520" s="164"/>
      <c r="AC520" s="174"/>
      <c r="AD520" s="184"/>
      <c r="AE520" s="190" t="str">
        <f t="shared" si="152"/>
        <v/>
      </c>
      <c r="AF520" s="190" t="str">
        <f t="shared" si="153"/>
        <v/>
      </c>
      <c r="AG520" s="190" t="str">
        <f t="shared" si="142"/>
        <v>D</v>
      </c>
      <c r="AH520" s="190">
        <f>IFERROR(VLOOKUP(Y520,SISP_Deflatores_e_INMs!B$4:F$49,3,FALSE),1)</f>
        <v>1</v>
      </c>
      <c r="AI520" s="190">
        <f>IFERROR(VLOOKUP(Y520,SISP_Deflatores_e_INMs!B$4:G$49,5,FALSE),1)</f>
        <v>1</v>
      </c>
      <c r="AJ520" s="191" t="str">
        <f t="shared" si="154"/>
        <v/>
      </c>
      <c r="AK520" s="237" t="str">
        <f t="shared" si="143"/>
        <v/>
      </c>
      <c r="AL520" s="237" t="str">
        <f t="shared" si="155"/>
        <v/>
      </c>
      <c r="AM520" s="192" t="e">
        <f t="shared" si="144"/>
        <v>#VALUE!</v>
      </c>
      <c r="AN520" s="193" t="e">
        <f t="shared" si="145"/>
        <v>#VALUE!</v>
      </c>
      <c r="AO520" s="193" t="e">
        <f t="shared" si="146"/>
        <v>#VALUE!</v>
      </c>
      <c r="AP520" s="193"/>
      <c r="AQ520" s="204"/>
      <c r="AR520" s="204"/>
      <c r="AS520" s="204"/>
      <c r="AT520" s="205"/>
      <c r="AU520"/>
    </row>
    <row r="521" spans="2:47" ht="15" customHeight="1" x14ac:dyDescent="0.25">
      <c r="B521" s="206"/>
      <c r="C521" s="185"/>
      <c r="D521" s="164"/>
      <c r="E521" s="174"/>
      <c r="F521" s="164"/>
      <c r="G521" s="174"/>
      <c r="H521" s="164"/>
      <c r="I521" s="174"/>
      <c r="J521" s="184"/>
      <c r="K521" s="186"/>
      <c r="L521" s="187" t="str">
        <f t="shared" si="147"/>
        <v/>
      </c>
      <c r="M521" s="187" t="str">
        <f t="shared" si="148"/>
        <v/>
      </c>
      <c r="N521" s="187" t="str">
        <f t="shared" si="140"/>
        <v>D</v>
      </c>
      <c r="O521" s="187" t="str">
        <f t="shared" si="149"/>
        <v>D</v>
      </c>
      <c r="P521" s="187">
        <f t="shared" si="150"/>
        <v>1</v>
      </c>
      <c r="Q521" s="187">
        <f>IFERROR(VLOOKUP(E521,Tabela_Deflator:E$43,5,FALSE),1)</f>
        <v>1</v>
      </c>
      <c r="R521" s="188" t="str">
        <f t="shared" si="151"/>
        <v/>
      </c>
      <c r="S521" s="237" t="str">
        <f t="shared" si="141"/>
        <v/>
      </c>
      <c r="T521" s="237" t="str">
        <f t="shared" si="156"/>
        <v/>
      </c>
      <c r="U521" s="189"/>
      <c r="V521" s="167"/>
      <c r="W521" s="165"/>
      <c r="X521" s="164"/>
      <c r="Y521" s="164"/>
      <c r="Z521" s="164"/>
      <c r="AA521" s="174"/>
      <c r="AB521" s="164"/>
      <c r="AC521" s="174"/>
      <c r="AD521" s="184"/>
      <c r="AE521" s="190" t="str">
        <f t="shared" si="152"/>
        <v/>
      </c>
      <c r="AF521" s="190" t="str">
        <f t="shared" si="153"/>
        <v/>
      </c>
      <c r="AG521" s="190" t="str">
        <f t="shared" si="142"/>
        <v>D</v>
      </c>
      <c r="AH521" s="190">
        <f>IFERROR(VLOOKUP(Y521,SISP_Deflatores_e_INMs!B$4:F$49,3,FALSE),1)</f>
        <v>1</v>
      </c>
      <c r="AI521" s="190">
        <f>IFERROR(VLOOKUP(Y521,SISP_Deflatores_e_INMs!B$4:G$49,5,FALSE),1)</f>
        <v>1</v>
      </c>
      <c r="AJ521" s="191" t="str">
        <f t="shared" si="154"/>
        <v/>
      </c>
      <c r="AK521" s="237" t="str">
        <f t="shared" si="143"/>
        <v/>
      </c>
      <c r="AL521" s="237" t="str">
        <f t="shared" si="155"/>
        <v/>
      </c>
      <c r="AM521" s="192" t="e">
        <f t="shared" si="144"/>
        <v>#VALUE!</v>
      </c>
      <c r="AN521" s="193" t="e">
        <f t="shared" si="145"/>
        <v>#VALUE!</v>
      </c>
      <c r="AO521" s="193" t="e">
        <f t="shared" si="146"/>
        <v>#VALUE!</v>
      </c>
      <c r="AP521" s="193"/>
      <c r="AQ521" s="204"/>
      <c r="AR521" s="204"/>
      <c r="AS521" s="204"/>
      <c r="AT521" s="205"/>
      <c r="AU521"/>
    </row>
    <row r="522" spans="2:47" ht="15" customHeight="1" x14ac:dyDescent="0.25">
      <c r="B522" s="206"/>
      <c r="C522" s="185"/>
      <c r="D522" s="164"/>
      <c r="E522" s="174"/>
      <c r="F522" s="164"/>
      <c r="G522" s="174"/>
      <c r="H522" s="164"/>
      <c r="I522" s="174"/>
      <c r="J522" s="184"/>
      <c r="K522" s="186"/>
      <c r="L522" s="187" t="str">
        <f t="shared" si="147"/>
        <v/>
      </c>
      <c r="M522" s="187" t="str">
        <f t="shared" si="148"/>
        <v/>
      </c>
      <c r="N522" s="187" t="str">
        <f t="shared" si="140"/>
        <v>D</v>
      </c>
      <c r="O522" s="187" t="str">
        <f t="shared" si="149"/>
        <v>D</v>
      </c>
      <c r="P522" s="187">
        <f t="shared" si="150"/>
        <v>1</v>
      </c>
      <c r="Q522" s="187">
        <f>IFERROR(VLOOKUP(E522,Tabela_Deflator:E$43,5,FALSE),1)</f>
        <v>1</v>
      </c>
      <c r="R522" s="188" t="str">
        <f t="shared" si="151"/>
        <v/>
      </c>
      <c r="S522" s="237" t="str">
        <f t="shared" si="141"/>
        <v/>
      </c>
      <c r="T522" s="237" t="str">
        <f t="shared" si="156"/>
        <v/>
      </c>
      <c r="U522" s="189"/>
      <c r="V522" s="167"/>
      <c r="W522" s="165"/>
      <c r="X522" s="164"/>
      <c r="Y522" s="164"/>
      <c r="Z522" s="164"/>
      <c r="AA522" s="174"/>
      <c r="AB522" s="164"/>
      <c r="AC522" s="174"/>
      <c r="AD522" s="184"/>
      <c r="AE522" s="190" t="str">
        <f t="shared" si="152"/>
        <v/>
      </c>
      <c r="AF522" s="190" t="str">
        <f t="shared" si="153"/>
        <v/>
      </c>
      <c r="AG522" s="190" t="str">
        <f t="shared" si="142"/>
        <v>D</v>
      </c>
      <c r="AH522" s="190">
        <f>IFERROR(VLOOKUP(Y522,SISP_Deflatores_e_INMs!B$4:F$49,3,FALSE),1)</f>
        <v>1</v>
      </c>
      <c r="AI522" s="190">
        <f>IFERROR(VLOOKUP(Y522,SISP_Deflatores_e_INMs!B$4:G$49,5,FALSE),1)</f>
        <v>1</v>
      </c>
      <c r="AJ522" s="191" t="str">
        <f t="shared" si="154"/>
        <v/>
      </c>
      <c r="AK522" s="237" t="str">
        <f t="shared" si="143"/>
        <v/>
      </c>
      <c r="AL522" s="237" t="str">
        <f t="shared" si="155"/>
        <v/>
      </c>
      <c r="AM522" s="192" t="e">
        <f t="shared" si="144"/>
        <v>#VALUE!</v>
      </c>
      <c r="AN522" s="193" t="e">
        <f t="shared" si="145"/>
        <v>#VALUE!</v>
      </c>
      <c r="AO522" s="193" t="e">
        <f t="shared" si="146"/>
        <v>#VALUE!</v>
      </c>
      <c r="AP522" s="193"/>
      <c r="AQ522" s="204"/>
      <c r="AR522" s="204"/>
      <c r="AS522" s="204"/>
      <c r="AT522" s="205"/>
      <c r="AU522"/>
    </row>
    <row r="523" spans="2:47" ht="15" customHeight="1" x14ac:dyDescent="0.25">
      <c r="B523" s="206"/>
      <c r="C523" s="185"/>
      <c r="D523" s="164"/>
      <c r="E523" s="174"/>
      <c r="F523" s="164"/>
      <c r="G523" s="174"/>
      <c r="H523" s="164"/>
      <c r="I523" s="174"/>
      <c r="J523" s="184"/>
      <c r="K523" s="186"/>
      <c r="L523" s="187" t="str">
        <f t="shared" si="147"/>
        <v/>
      </c>
      <c r="M523" s="187" t="str">
        <f t="shared" si="148"/>
        <v/>
      </c>
      <c r="N523" s="187" t="str">
        <f t="shared" si="140"/>
        <v>D</v>
      </c>
      <c r="O523" s="187" t="str">
        <f t="shared" si="149"/>
        <v>D</v>
      </c>
      <c r="P523" s="187">
        <f t="shared" si="150"/>
        <v>1</v>
      </c>
      <c r="Q523" s="187">
        <f>IFERROR(VLOOKUP(E523,Tabela_Deflator:E$43,5,FALSE),1)</f>
        <v>1</v>
      </c>
      <c r="R523" s="188" t="str">
        <f t="shared" si="151"/>
        <v/>
      </c>
      <c r="S523" s="237" t="str">
        <f t="shared" si="141"/>
        <v/>
      </c>
      <c r="T523" s="237" t="str">
        <f t="shared" si="156"/>
        <v/>
      </c>
      <c r="U523" s="189"/>
      <c r="V523" s="167"/>
      <c r="W523" s="165"/>
      <c r="X523" s="164"/>
      <c r="Y523" s="164"/>
      <c r="Z523" s="164"/>
      <c r="AA523" s="174"/>
      <c r="AB523" s="164"/>
      <c r="AC523" s="174"/>
      <c r="AD523" s="184"/>
      <c r="AE523" s="190" t="str">
        <f t="shared" si="152"/>
        <v/>
      </c>
      <c r="AF523" s="190" t="str">
        <f t="shared" si="153"/>
        <v/>
      </c>
      <c r="AG523" s="190" t="str">
        <f t="shared" si="142"/>
        <v>D</v>
      </c>
      <c r="AH523" s="190">
        <f>IFERROR(VLOOKUP(Y523,SISP_Deflatores_e_INMs!B$4:F$49,3,FALSE),1)</f>
        <v>1</v>
      </c>
      <c r="AI523" s="190">
        <f>IFERROR(VLOOKUP(Y523,SISP_Deflatores_e_INMs!B$4:G$49,5,FALSE),1)</f>
        <v>1</v>
      </c>
      <c r="AJ523" s="191" t="str">
        <f t="shared" si="154"/>
        <v/>
      </c>
      <c r="AK523" s="237" t="str">
        <f t="shared" si="143"/>
        <v/>
      </c>
      <c r="AL523" s="237" t="str">
        <f t="shared" si="155"/>
        <v/>
      </c>
      <c r="AM523" s="192" t="e">
        <f t="shared" si="144"/>
        <v>#VALUE!</v>
      </c>
      <c r="AN523" s="193" t="e">
        <f t="shared" si="145"/>
        <v>#VALUE!</v>
      </c>
      <c r="AO523" s="193" t="e">
        <f t="shared" si="146"/>
        <v>#VALUE!</v>
      </c>
      <c r="AP523" s="193"/>
      <c r="AQ523" s="204"/>
      <c r="AR523" s="204"/>
      <c r="AS523" s="204"/>
      <c r="AT523" s="205"/>
      <c r="AU523"/>
    </row>
    <row r="524" spans="2:47" ht="15" customHeight="1" x14ac:dyDescent="0.25">
      <c r="B524" s="206"/>
      <c r="C524" s="185"/>
      <c r="D524" s="164"/>
      <c r="E524" s="174"/>
      <c r="F524" s="164"/>
      <c r="G524" s="174"/>
      <c r="H524" s="164"/>
      <c r="I524" s="174"/>
      <c r="J524" s="184"/>
      <c r="K524" s="186"/>
      <c r="L524" s="187" t="str">
        <f t="shared" si="147"/>
        <v/>
      </c>
      <c r="M524" s="187" t="str">
        <f t="shared" si="148"/>
        <v/>
      </c>
      <c r="N524" s="187" t="str">
        <f t="shared" si="140"/>
        <v>D</v>
      </c>
      <c r="O524" s="187" t="str">
        <f t="shared" si="149"/>
        <v>D</v>
      </c>
      <c r="P524" s="187">
        <f t="shared" si="150"/>
        <v>1</v>
      </c>
      <c r="Q524" s="187">
        <f>IFERROR(VLOOKUP(E524,Tabela_Deflator:E$43,5,FALSE),1)</f>
        <v>1</v>
      </c>
      <c r="R524" s="188" t="str">
        <f t="shared" si="151"/>
        <v/>
      </c>
      <c r="S524" s="237" t="str">
        <f t="shared" si="141"/>
        <v/>
      </c>
      <c r="T524" s="237" t="str">
        <f t="shared" si="156"/>
        <v/>
      </c>
      <c r="U524" s="189"/>
      <c r="V524" s="167"/>
      <c r="W524" s="165"/>
      <c r="X524" s="164"/>
      <c r="Y524" s="164"/>
      <c r="Z524" s="164"/>
      <c r="AA524" s="174"/>
      <c r="AB524" s="164"/>
      <c r="AC524" s="174"/>
      <c r="AD524" s="184"/>
      <c r="AE524" s="190" t="str">
        <f t="shared" si="152"/>
        <v/>
      </c>
      <c r="AF524" s="190" t="str">
        <f t="shared" si="153"/>
        <v/>
      </c>
      <c r="AG524" s="190" t="str">
        <f t="shared" si="142"/>
        <v>D</v>
      </c>
      <c r="AH524" s="190">
        <f>IFERROR(VLOOKUP(Y524,SISP_Deflatores_e_INMs!B$4:F$49,3,FALSE),1)</f>
        <v>1</v>
      </c>
      <c r="AI524" s="190">
        <f>IFERROR(VLOOKUP(Y524,SISP_Deflatores_e_INMs!B$4:G$49,5,FALSE),1)</f>
        <v>1</v>
      </c>
      <c r="AJ524" s="191" t="str">
        <f t="shared" si="154"/>
        <v/>
      </c>
      <c r="AK524" s="237" t="str">
        <f t="shared" si="143"/>
        <v/>
      </c>
      <c r="AL524" s="237" t="str">
        <f t="shared" si="155"/>
        <v/>
      </c>
      <c r="AM524" s="192" t="e">
        <f t="shared" si="144"/>
        <v>#VALUE!</v>
      </c>
      <c r="AN524" s="193" t="e">
        <f t="shared" si="145"/>
        <v>#VALUE!</v>
      </c>
      <c r="AO524" s="193" t="e">
        <f t="shared" si="146"/>
        <v>#VALUE!</v>
      </c>
      <c r="AP524" s="193"/>
      <c r="AQ524" s="204"/>
      <c r="AR524" s="204"/>
      <c r="AS524" s="204"/>
      <c r="AT524" s="205"/>
      <c r="AU524"/>
    </row>
    <row r="525" spans="2:47" ht="15" customHeight="1" x14ac:dyDescent="0.25">
      <c r="B525" s="206"/>
      <c r="C525" s="185"/>
      <c r="D525" s="164"/>
      <c r="E525" s="174"/>
      <c r="F525" s="164"/>
      <c r="G525" s="174"/>
      <c r="H525" s="164"/>
      <c r="I525" s="174"/>
      <c r="J525" s="184"/>
      <c r="K525" s="186"/>
      <c r="L525" s="187" t="str">
        <f t="shared" si="147"/>
        <v/>
      </c>
      <c r="M525" s="187" t="str">
        <f t="shared" si="148"/>
        <v/>
      </c>
      <c r="N525" s="187" t="str">
        <f t="shared" si="140"/>
        <v>D</v>
      </c>
      <c r="O525" s="187" t="str">
        <f t="shared" si="149"/>
        <v>D</v>
      </c>
      <c r="P525" s="187">
        <f t="shared" si="150"/>
        <v>1</v>
      </c>
      <c r="Q525" s="187">
        <f>IFERROR(VLOOKUP(E525,Tabela_Deflator:E$43,5,FALSE),1)</f>
        <v>1</v>
      </c>
      <c r="R525" s="188" t="str">
        <f t="shared" si="151"/>
        <v/>
      </c>
      <c r="S525" s="237" t="str">
        <f t="shared" si="141"/>
        <v/>
      </c>
      <c r="T525" s="237" t="str">
        <f t="shared" si="156"/>
        <v/>
      </c>
      <c r="U525" s="189"/>
      <c r="V525" s="167"/>
      <c r="W525" s="165"/>
      <c r="X525" s="164"/>
      <c r="Y525" s="164"/>
      <c r="Z525" s="164"/>
      <c r="AA525" s="174"/>
      <c r="AB525" s="164"/>
      <c r="AC525" s="174"/>
      <c r="AD525" s="184"/>
      <c r="AE525" s="190" t="str">
        <f t="shared" si="152"/>
        <v/>
      </c>
      <c r="AF525" s="190" t="str">
        <f t="shared" si="153"/>
        <v/>
      </c>
      <c r="AG525" s="190" t="str">
        <f t="shared" si="142"/>
        <v>D</v>
      </c>
      <c r="AH525" s="190">
        <f>IFERROR(VLOOKUP(Y525,SISP_Deflatores_e_INMs!B$4:F$49,3,FALSE),1)</f>
        <v>1</v>
      </c>
      <c r="AI525" s="190">
        <f>IFERROR(VLOOKUP(Y525,SISP_Deflatores_e_INMs!B$4:G$49,5,FALSE),1)</f>
        <v>1</v>
      </c>
      <c r="AJ525" s="191" t="str">
        <f t="shared" si="154"/>
        <v/>
      </c>
      <c r="AK525" s="237" t="str">
        <f t="shared" si="143"/>
        <v/>
      </c>
      <c r="AL525" s="237" t="str">
        <f t="shared" si="155"/>
        <v/>
      </c>
      <c r="AM525" s="192" t="e">
        <f t="shared" si="144"/>
        <v>#VALUE!</v>
      </c>
      <c r="AN525" s="193" t="e">
        <f t="shared" si="145"/>
        <v>#VALUE!</v>
      </c>
      <c r="AO525" s="193" t="e">
        <f t="shared" si="146"/>
        <v>#VALUE!</v>
      </c>
      <c r="AP525" s="193"/>
      <c r="AQ525" s="204"/>
      <c r="AR525" s="204"/>
      <c r="AS525" s="204"/>
      <c r="AT525" s="205"/>
      <c r="AU525"/>
    </row>
    <row r="526" spans="2:47" ht="15" customHeight="1" x14ac:dyDescent="0.25">
      <c r="B526" s="206"/>
      <c r="C526" s="185"/>
      <c r="D526" s="164"/>
      <c r="E526" s="174"/>
      <c r="F526" s="164"/>
      <c r="G526" s="174"/>
      <c r="H526" s="164"/>
      <c r="I526" s="174"/>
      <c r="J526" s="184"/>
      <c r="K526" s="186"/>
      <c r="L526" s="187" t="str">
        <f t="shared" si="147"/>
        <v/>
      </c>
      <c r="M526" s="187" t="str">
        <f t="shared" si="148"/>
        <v/>
      </c>
      <c r="N526" s="187" t="str">
        <f t="shared" si="140"/>
        <v>D</v>
      </c>
      <c r="O526" s="187" t="str">
        <f t="shared" si="149"/>
        <v>D</v>
      </c>
      <c r="P526" s="187">
        <f t="shared" si="150"/>
        <v>1</v>
      </c>
      <c r="Q526" s="187">
        <f>IFERROR(VLOOKUP(E526,Tabela_Deflator:E$43,5,FALSE),1)</f>
        <v>1</v>
      </c>
      <c r="R526" s="188" t="str">
        <f t="shared" si="151"/>
        <v/>
      </c>
      <c r="S526" s="237" t="str">
        <f t="shared" si="141"/>
        <v/>
      </c>
      <c r="T526" s="237" t="str">
        <f t="shared" si="156"/>
        <v/>
      </c>
      <c r="U526" s="189"/>
      <c r="V526" s="167"/>
      <c r="W526" s="165"/>
      <c r="X526" s="164"/>
      <c r="Y526" s="164"/>
      <c r="Z526" s="164"/>
      <c r="AA526" s="174"/>
      <c r="AB526" s="164"/>
      <c r="AC526" s="174"/>
      <c r="AD526" s="184"/>
      <c r="AE526" s="190" t="str">
        <f t="shared" si="152"/>
        <v/>
      </c>
      <c r="AF526" s="190" t="str">
        <f t="shared" si="153"/>
        <v/>
      </c>
      <c r="AG526" s="190" t="str">
        <f t="shared" si="142"/>
        <v>D</v>
      </c>
      <c r="AH526" s="190">
        <f>IFERROR(VLOOKUP(Y526,SISP_Deflatores_e_INMs!B$4:F$49,3,FALSE),1)</f>
        <v>1</v>
      </c>
      <c r="AI526" s="190">
        <f>IFERROR(VLOOKUP(Y526,SISP_Deflatores_e_INMs!B$4:G$49,5,FALSE),1)</f>
        <v>1</v>
      </c>
      <c r="AJ526" s="191" t="str">
        <f t="shared" si="154"/>
        <v/>
      </c>
      <c r="AK526" s="237" t="str">
        <f t="shared" si="143"/>
        <v/>
      </c>
      <c r="AL526" s="237" t="str">
        <f t="shared" si="155"/>
        <v/>
      </c>
      <c r="AM526" s="192" t="e">
        <f t="shared" si="144"/>
        <v>#VALUE!</v>
      </c>
      <c r="AN526" s="193" t="e">
        <f t="shared" si="145"/>
        <v>#VALUE!</v>
      </c>
      <c r="AO526" s="193" t="e">
        <f t="shared" si="146"/>
        <v>#VALUE!</v>
      </c>
      <c r="AP526" s="193"/>
      <c r="AQ526" s="204"/>
      <c r="AR526" s="204"/>
      <c r="AS526" s="204"/>
      <c r="AT526" s="205"/>
      <c r="AU526"/>
    </row>
    <row r="527" spans="2:47" ht="15" customHeight="1" x14ac:dyDescent="0.25">
      <c r="B527" s="206"/>
      <c r="C527" s="185"/>
      <c r="D527" s="164"/>
      <c r="E527" s="174"/>
      <c r="F527" s="164"/>
      <c r="G527" s="174"/>
      <c r="H527" s="164"/>
      <c r="I527" s="174"/>
      <c r="J527" s="184"/>
      <c r="K527" s="186"/>
      <c r="L527" s="187" t="str">
        <f t="shared" si="147"/>
        <v/>
      </c>
      <c r="M527" s="187" t="str">
        <f t="shared" si="148"/>
        <v/>
      </c>
      <c r="N527" s="187" t="str">
        <f t="shared" si="140"/>
        <v>D</v>
      </c>
      <c r="O527" s="187" t="str">
        <f t="shared" si="149"/>
        <v>D</v>
      </c>
      <c r="P527" s="187">
        <f t="shared" si="150"/>
        <v>1</v>
      </c>
      <c r="Q527" s="187">
        <f>IFERROR(VLOOKUP(E527,Tabela_Deflator:E$43,5,FALSE),1)</f>
        <v>1</v>
      </c>
      <c r="R527" s="188" t="str">
        <f t="shared" si="151"/>
        <v/>
      </c>
      <c r="S527" s="237" t="str">
        <f t="shared" si="141"/>
        <v/>
      </c>
      <c r="T527" s="237" t="str">
        <f t="shared" si="156"/>
        <v/>
      </c>
      <c r="U527" s="189"/>
      <c r="V527" s="167"/>
      <c r="W527" s="165"/>
      <c r="X527" s="164"/>
      <c r="Y527" s="164"/>
      <c r="Z527" s="164"/>
      <c r="AA527" s="174"/>
      <c r="AB527" s="164"/>
      <c r="AC527" s="174"/>
      <c r="AD527" s="184"/>
      <c r="AE527" s="190" t="str">
        <f t="shared" si="152"/>
        <v/>
      </c>
      <c r="AF527" s="190" t="str">
        <f t="shared" si="153"/>
        <v/>
      </c>
      <c r="AG527" s="190" t="str">
        <f t="shared" si="142"/>
        <v>D</v>
      </c>
      <c r="AH527" s="190">
        <f>IFERROR(VLOOKUP(Y527,SISP_Deflatores_e_INMs!B$4:F$49,3,FALSE),1)</f>
        <v>1</v>
      </c>
      <c r="AI527" s="190">
        <f>IFERROR(VLOOKUP(Y527,SISP_Deflatores_e_INMs!B$4:G$49,5,FALSE),1)</f>
        <v>1</v>
      </c>
      <c r="AJ527" s="191" t="str">
        <f t="shared" si="154"/>
        <v/>
      </c>
      <c r="AK527" s="237" t="str">
        <f t="shared" si="143"/>
        <v/>
      </c>
      <c r="AL527" s="237" t="str">
        <f t="shared" si="155"/>
        <v/>
      </c>
      <c r="AM527" s="192" t="e">
        <f t="shared" si="144"/>
        <v>#VALUE!</v>
      </c>
      <c r="AN527" s="193" t="e">
        <f t="shared" si="145"/>
        <v>#VALUE!</v>
      </c>
      <c r="AO527" s="193" t="e">
        <f t="shared" si="146"/>
        <v>#VALUE!</v>
      </c>
      <c r="AP527" s="193"/>
      <c r="AQ527" s="204"/>
      <c r="AR527" s="204"/>
      <c r="AS527" s="204"/>
      <c r="AT527" s="205"/>
      <c r="AU527"/>
    </row>
    <row r="528" spans="2:47" ht="15" customHeight="1" x14ac:dyDescent="0.25">
      <c r="B528" s="206"/>
      <c r="C528" s="185"/>
      <c r="D528" s="164"/>
      <c r="E528" s="174"/>
      <c r="F528" s="164"/>
      <c r="G528" s="174"/>
      <c r="H528" s="164"/>
      <c r="I528" s="174"/>
      <c r="J528" s="184"/>
      <c r="K528" s="186"/>
      <c r="L528" s="187" t="str">
        <f t="shared" si="147"/>
        <v/>
      </c>
      <c r="M528" s="187" t="str">
        <f t="shared" si="148"/>
        <v/>
      </c>
      <c r="N528" s="187" t="str">
        <f t="shared" si="140"/>
        <v>D</v>
      </c>
      <c r="O528" s="187" t="str">
        <f t="shared" si="149"/>
        <v>D</v>
      </c>
      <c r="P528" s="187">
        <f t="shared" si="150"/>
        <v>1</v>
      </c>
      <c r="Q528" s="187">
        <f>IFERROR(VLOOKUP(E528,Tabela_Deflator:E$43,5,FALSE),1)</f>
        <v>1</v>
      </c>
      <c r="R528" s="188" t="str">
        <f t="shared" si="151"/>
        <v/>
      </c>
      <c r="S528" s="237" t="str">
        <f t="shared" si="141"/>
        <v/>
      </c>
      <c r="T528" s="237" t="str">
        <f t="shared" si="156"/>
        <v/>
      </c>
      <c r="U528" s="189"/>
      <c r="V528" s="167"/>
      <c r="W528" s="165"/>
      <c r="X528" s="164"/>
      <c r="Y528" s="164"/>
      <c r="Z528" s="164"/>
      <c r="AA528" s="174"/>
      <c r="AB528" s="164"/>
      <c r="AC528" s="174"/>
      <c r="AD528" s="184"/>
      <c r="AE528" s="190" t="str">
        <f t="shared" si="152"/>
        <v/>
      </c>
      <c r="AF528" s="190" t="str">
        <f t="shared" si="153"/>
        <v/>
      </c>
      <c r="AG528" s="190" t="str">
        <f t="shared" si="142"/>
        <v>D</v>
      </c>
      <c r="AH528" s="190">
        <f>IFERROR(VLOOKUP(Y528,SISP_Deflatores_e_INMs!B$4:F$49,3,FALSE),1)</f>
        <v>1</v>
      </c>
      <c r="AI528" s="190">
        <f>IFERROR(VLOOKUP(Y528,SISP_Deflatores_e_INMs!B$4:G$49,5,FALSE),1)</f>
        <v>1</v>
      </c>
      <c r="AJ528" s="191" t="str">
        <f t="shared" si="154"/>
        <v/>
      </c>
      <c r="AK528" s="237" t="str">
        <f t="shared" si="143"/>
        <v/>
      </c>
      <c r="AL528" s="237" t="str">
        <f t="shared" si="155"/>
        <v/>
      </c>
      <c r="AM528" s="192" t="e">
        <f t="shared" si="144"/>
        <v>#VALUE!</v>
      </c>
      <c r="AN528" s="193" t="e">
        <f t="shared" si="145"/>
        <v>#VALUE!</v>
      </c>
      <c r="AO528" s="193" t="e">
        <f t="shared" si="146"/>
        <v>#VALUE!</v>
      </c>
      <c r="AP528" s="193"/>
      <c r="AQ528" s="204"/>
      <c r="AR528" s="204"/>
      <c r="AS528" s="204"/>
      <c r="AT528" s="205"/>
      <c r="AU528"/>
    </row>
    <row r="529" spans="2:47" ht="15" customHeight="1" x14ac:dyDescent="0.25">
      <c r="B529" s="206"/>
      <c r="C529" s="185"/>
      <c r="D529" s="164"/>
      <c r="E529" s="174"/>
      <c r="F529" s="164"/>
      <c r="G529" s="174"/>
      <c r="H529" s="164"/>
      <c r="I529" s="174"/>
      <c r="J529" s="184"/>
      <c r="K529" s="186"/>
      <c r="L529" s="187" t="str">
        <f t="shared" si="147"/>
        <v/>
      </c>
      <c r="M529" s="187" t="str">
        <f t="shared" si="148"/>
        <v/>
      </c>
      <c r="N529" s="187" t="str">
        <f t="shared" si="140"/>
        <v>D</v>
      </c>
      <c r="O529" s="187" t="str">
        <f t="shared" si="149"/>
        <v>D</v>
      </c>
      <c r="P529" s="187">
        <f t="shared" si="150"/>
        <v>1</v>
      </c>
      <c r="Q529" s="187">
        <f>IFERROR(VLOOKUP(E529,Tabela_Deflator:E$43,5,FALSE),1)</f>
        <v>1</v>
      </c>
      <c r="R529" s="188" t="str">
        <f t="shared" si="151"/>
        <v/>
      </c>
      <c r="S529" s="237" t="str">
        <f t="shared" si="141"/>
        <v/>
      </c>
      <c r="T529" s="237" t="str">
        <f t="shared" si="156"/>
        <v/>
      </c>
      <c r="U529" s="189"/>
      <c r="V529" s="167"/>
      <c r="W529" s="165"/>
      <c r="X529" s="164"/>
      <c r="Y529" s="164"/>
      <c r="Z529" s="164"/>
      <c r="AA529" s="174"/>
      <c r="AB529" s="164"/>
      <c r="AC529" s="174"/>
      <c r="AD529" s="184"/>
      <c r="AE529" s="190" t="str">
        <f t="shared" si="152"/>
        <v/>
      </c>
      <c r="AF529" s="190" t="str">
        <f t="shared" si="153"/>
        <v/>
      </c>
      <c r="AG529" s="190" t="str">
        <f t="shared" si="142"/>
        <v>D</v>
      </c>
      <c r="AH529" s="190">
        <f>IFERROR(VLOOKUP(Y529,SISP_Deflatores_e_INMs!B$4:F$49,3,FALSE),1)</f>
        <v>1</v>
      </c>
      <c r="AI529" s="190">
        <f>IFERROR(VLOOKUP(Y529,SISP_Deflatores_e_INMs!B$4:G$49,5,FALSE),1)</f>
        <v>1</v>
      </c>
      <c r="AJ529" s="191" t="str">
        <f t="shared" si="154"/>
        <v/>
      </c>
      <c r="AK529" s="237" t="str">
        <f t="shared" si="143"/>
        <v/>
      </c>
      <c r="AL529" s="237" t="str">
        <f t="shared" si="155"/>
        <v/>
      </c>
      <c r="AM529" s="192" t="e">
        <f t="shared" si="144"/>
        <v>#VALUE!</v>
      </c>
      <c r="AN529" s="193" t="e">
        <f t="shared" si="145"/>
        <v>#VALUE!</v>
      </c>
      <c r="AO529" s="193" t="e">
        <f t="shared" si="146"/>
        <v>#VALUE!</v>
      </c>
      <c r="AP529" s="193"/>
      <c r="AQ529" s="204"/>
      <c r="AR529" s="204"/>
      <c r="AS529" s="204"/>
      <c r="AT529" s="205"/>
      <c r="AU529"/>
    </row>
    <row r="530" spans="2:47" ht="15" customHeight="1" x14ac:dyDescent="0.25">
      <c r="B530" s="206"/>
      <c r="C530" s="185"/>
      <c r="D530" s="164"/>
      <c r="E530" s="174"/>
      <c r="F530" s="164"/>
      <c r="G530" s="174"/>
      <c r="H530" s="164"/>
      <c r="I530" s="174"/>
      <c r="J530" s="184"/>
      <c r="K530" s="186"/>
      <c r="L530" s="187" t="str">
        <f t="shared" si="147"/>
        <v/>
      </c>
      <c r="M530" s="187" t="str">
        <f t="shared" si="148"/>
        <v/>
      </c>
      <c r="N530" s="187" t="str">
        <f t="shared" si="140"/>
        <v>D</v>
      </c>
      <c r="O530" s="187" t="str">
        <f t="shared" si="149"/>
        <v>D</v>
      </c>
      <c r="P530" s="187">
        <f t="shared" si="150"/>
        <v>1</v>
      </c>
      <c r="Q530" s="187">
        <f>IFERROR(VLOOKUP(E530,Tabela_Deflator:E$43,5,FALSE),1)</f>
        <v>1</v>
      </c>
      <c r="R530" s="188" t="str">
        <f t="shared" si="151"/>
        <v/>
      </c>
      <c r="S530" s="237" t="str">
        <f t="shared" si="141"/>
        <v/>
      </c>
      <c r="T530" s="237" t="str">
        <f t="shared" si="156"/>
        <v/>
      </c>
      <c r="U530" s="189"/>
      <c r="V530" s="167"/>
      <c r="W530" s="165"/>
      <c r="X530" s="164"/>
      <c r="Y530" s="164"/>
      <c r="Z530" s="164"/>
      <c r="AA530" s="174"/>
      <c r="AB530" s="164"/>
      <c r="AC530" s="174"/>
      <c r="AD530" s="184"/>
      <c r="AE530" s="190" t="str">
        <f t="shared" si="152"/>
        <v/>
      </c>
      <c r="AF530" s="190" t="str">
        <f t="shared" si="153"/>
        <v/>
      </c>
      <c r="AG530" s="190" t="str">
        <f t="shared" si="142"/>
        <v>D</v>
      </c>
      <c r="AH530" s="190">
        <f>IFERROR(VLOOKUP(Y530,SISP_Deflatores_e_INMs!B$4:F$49,3,FALSE),1)</f>
        <v>1</v>
      </c>
      <c r="AI530" s="190">
        <f>IFERROR(VLOOKUP(Y530,SISP_Deflatores_e_INMs!B$4:G$49,5,FALSE),1)</f>
        <v>1</v>
      </c>
      <c r="AJ530" s="191" t="str">
        <f t="shared" si="154"/>
        <v/>
      </c>
      <c r="AK530" s="237" t="str">
        <f t="shared" si="143"/>
        <v/>
      </c>
      <c r="AL530" s="237" t="str">
        <f t="shared" si="155"/>
        <v/>
      </c>
      <c r="AM530" s="192" t="e">
        <f t="shared" si="144"/>
        <v>#VALUE!</v>
      </c>
      <c r="AN530" s="193" t="e">
        <f t="shared" si="145"/>
        <v>#VALUE!</v>
      </c>
      <c r="AO530" s="193" t="e">
        <f t="shared" si="146"/>
        <v>#VALUE!</v>
      </c>
      <c r="AP530" s="193"/>
      <c r="AQ530" s="204"/>
      <c r="AR530" s="204"/>
      <c r="AS530" s="204"/>
      <c r="AT530" s="205"/>
      <c r="AU530"/>
    </row>
    <row r="531" spans="2:47" ht="15" customHeight="1" x14ac:dyDescent="0.25">
      <c r="B531" s="206"/>
      <c r="C531" s="185"/>
      <c r="D531" s="164"/>
      <c r="E531" s="174"/>
      <c r="F531" s="164"/>
      <c r="G531" s="174"/>
      <c r="H531" s="164"/>
      <c r="I531" s="174"/>
      <c r="J531" s="184"/>
      <c r="K531" s="186"/>
      <c r="L531" s="187" t="str">
        <f t="shared" si="147"/>
        <v/>
      </c>
      <c r="M531" s="187" t="str">
        <f t="shared" si="148"/>
        <v/>
      </c>
      <c r="N531" s="187" t="str">
        <f t="shared" si="140"/>
        <v>D</v>
      </c>
      <c r="O531" s="187" t="str">
        <f t="shared" si="149"/>
        <v>D</v>
      </c>
      <c r="P531" s="187">
        <f t="shared" si="150"/>
        <v>1</v>
      </c>
      <c r="Q531" s="187">
        <f>IFERROR(VLOOKUP(E531,Tabela_Deflator:E$43,5,FALSE),1)</f>
        <v>1</v>
      </c>
      <c r="R531" s="188" t="str">
        <f t="shared" si="151"/>
        <v/>
      </c>
      <c r="S531" s="237" t="str">
        <f t="shared" si="141"/>
        <v/>
      </c>
      <c r="T531" s="237" t="str">
        <f t="shared" si="156"/>
        <v/>
      </c>
      <c r="U531" s="189"/>
      <c r="V531" s="167"/>
      <c r="W531" s="165"/>
      <c r="X531" s="164"/>
      <c r="Y531" s="164"/>
      <c r="Z531" s="164"/>
      <c r="AA531" s="174"/>
      <c r="AB531" s="164"/>
      <c r="AC531" s="174"/>
      <c r="AD531" s="184"/>
      <c r="AE531" s="190" t="str">
        <f t="shared" si="152"/>
        <v/>
      </c>
      <c r="AF531" s="190" t="str">
        <f t="shared" si="153"/>
        <v/>
      </c>
      <c r="AG531" s="190" t="str">
        <f t="shared" si="142"/>
        <v>D</v>
      </c>
      <c r="AH531" s="190">
        <f>IFERROR(VLOOKUP(Y531,SISP_Deflatores_e_INMs!B$4:F$49,3,FALSE),1)</f>
        <v>1</v>
      </c>
      <c r="AI531" s="190">
        <f>IFERROR(VLOOKUP(Y531,SISP_Deflatores_e_INMs!B$4:G$49,5,FALSE),1)</f>
        <v>1</v>
      </c>
      <c r="AJ531" s="191" t="str">
        <f t="shared" si="154"/>
        <v/>
      </c>
      <c r="AK531" s="237" t="str">
        <f t="shared" si="143"/>
        <v/>
      </c>
      <c r="AL531" s="237" t="str">
        <f t="shared" si="155"/>
        <v/>
      </c>
      <c r="AM531" s="192" t="e">
        <f t="shared" si="144"/>
        <v>#VALUE!</v>
      </c>
      <c r="AN531" s="193" t="e">
        <f t="shared" si="145"/>
        <v>#VALUE!</v>
      </c>
      <c r="AO531" s="193" t="e">
        <f t="shared" si="146"/>
        <v>#VALUE!</v>
      </c>
      <c r="AP531" s="193"/>
      <c r="AQ531" s="204"/>
      <c r="AR531" s="204"/>
      <c r="AS531" s="204"/>
      <c r="AT531" s="205"/>
      <c r="AU531"/>
    </row>
    <row r="532" spans="2:47" ht="15" customHeight="1" x14ac:dyDescent="0.25">
      <c r="B532" s="206"/>
      <c r="C532" s="185"/>
      <c r="D532" s="164"/>
      <c r="E532" s="174"/>
      <c r="F532" s="164"/>
      <c r="G532" s="174"/>
      <c r="H532" s="164"/>
      <c r="I532" s="174"/>
      <c r="J532" s="184"/>
      <c r="K532" s="186"/>
      <c r="L532" s="187" t="str">
        <f t="shared" si="147"/>
        <v/>
      </c>
      <c r="M532" s="187" t="str">
        <f t="shared" si="148"/>
        <v/>
      </c>
      <c r="N532" s="187" t="str">
        <f t="shared" si="140"/>
        <v>D</v>
      </c>
      <c r="O532" s="187" t="str">
        <f t="shared" si="149"/>
        <v>D</v>
      </c>
      <c r="P532" s="187">
        <f t="shared" si="150"/>
        <v>1</v>
      </c>
      <c r="Q532" s="187">
        <f>IFERROR(VLOOKUP(E532,Tabela_Deflator:E$43,5,FALSE),1)</f>
        <v>1</v>
      </c>
      <c r="R532" s="188" t="str">
        <f t="shared" si="151"/>
        <v/>
      </c>
      <c r="S532" s="237" t="str">
        <f t="shared" si="141"/>
        <v/>
      </c>
      <c r="T532" s="237" t="str">
        <f t="shared" si="156"/>
        <v/>
      </c>
      <c r="U532" s="189"/>
      <c r="V532" s="167"/>
      <c r="W532" s="165"/>
      <c r="X532" s="164"/>
      <c r="Y532" s="164"/>
      <c r="Z532" s="164"/>
      <c r="AA532" s="174"/>
      <c r="AB532" s="164"/>
      <c r="AC532" s="174"/>
      <c r="AD532" s="184"/>
      <c r="AE532" s="190" t="str">
        <f t="shared" si="152"/>
        <v/>
      </c>
      <c r="AF532" s="190" t="str">
        <f t="shared" si="153"/>
        <v/>
      </c>
      <c r="AG532" s="190" t="str">
        <f t="shared" si="142"/>
        <v>D</v>
      </c>
      <c r="AH532" s="190">
        <f>IFERROR(VLOOKUP(Y532,SISP_Deflatores_e_INMs!B$4:F$49,3,FALSE),1)</f>
        <v>1</v>
      </c>
      <c r="AI532" s="190">
        <f>IFERROR(VLOOKUP(Y532,SISP_Deflatores_e_INMs!B$4:G$49,5,FALSE),1)</f>
        <v>1</v>
      </c>
      <c r="AJ532" s="191" t="str">
        <f t="shared" si="154"/>
        <v/>
      </c>
      <c r="AK532" s="237" t="str">
        <f t="shared" si="143"/>
        <v/>
      </c>
      <c r="AL532" s="237" t="str">
        <f t="shared" si="155"/>
        <v/>
      </c>
      <c r="AM532" s="192" t="e">
        <f t="shared" si="144"/>
        <v>#VALUE!</v>
      </c>
      <c r="AN532" s="193" t="e">
        <f t="shared" si="145"/>
        <v>#VALUE!</v>
      </c>
      <c r="AO532" s="193" t="e">
        <f t="shared" si="146"/>
        <v>#VALUE!</v>
      </c>
      <c r="AP532" s="193"/>
      <c r="AQ532" s="204"/>
      <c r="AR532" s="204"/>
      <c r="AS532" s="204"/>
      <c r="AT532" s="205"/>
      <c r="AU532"/>
    </row>
    <row r="533" spans="2:47" ht="15" customHeight="1" x14ac:dyDescent="0.25">
      <c r="B533" s="206"/>
      <c r="C533" s="185"/>
      <c r="D533" s="164"/>
      <c r="E533" s="174"/>
      <c r="F533" s="164"/>
      <c r="G533" s="174"/>
      <c r="H533" s="164"/>
      <c r="I533" s="174"/>
      <c r="J533" s="184"/>
      <c r="K533" s="186"/>
      <c r="L533" s="187" t="str">
        <f t="shared" si="147"/>
        <v/>
      </c>
      <c r="M533" s="187" t="str">
        <f t="shared" si="148"/>
        <v/>
      </c>
      <c r="N533" s="187" t="str">
        <f t="shared" si="140"/>
        <v>D</v>
      </c>
      <c r="O533" s="187" t="str">
        <f t="shared" si="149"/>
        <v>D</v>
      </c>
      <c r="P533" s="187">
        <f t="shared" si="150"/>
        <v>1</v>
      </c>
      <c r="Q533" s="187">
        <f>IFERROR(VLOOKUP(E533,Tabela_Deflator:E$43,5,FALSE),1)</f>
        <v>1</v>
      </c>
      <c r="R533" s="188" t="str">
        <f t="shared" si="151"/>
        <v/>
      </c>
      <c r="S533" s="237" t="str">
        <f t="shared" si="141"/>
        <v/>
      </c>
      <c r="T533" s="237" t="str">
        <f t="shared" si="156"/>
        <v/>
      </c>
      <c r="U533" s="189"/>
      <c r="V533" s="167"/>
      <c r="W533" s="165"/>
      <c r="X533" s="164"/>
      <c r="Y533" s="164"/>
      <c r="Z533" s="164"/>
      <c r="AA533" s="174"/>
      <c r="AB533" s="164"/>
      <c r="AC533" s="174"/>
      <c r="AD533" s="184"/>
      <c r="AE533" s="190" t="str">
        <f t="shared" si="152"/>
        <v/>
      </c>
      <c r="AF533" s="190" t="str">
        <f t="shared" si="153"/>
        <v/>
      </c>
      <c r="AG533" s="190" t="str">
        <f t="shared" si="142"/>
        <v>D</v>
      </c>
      <c r="AH533" s="190">
        <f>IFERROR(VLOOKUP(Y533,SISP_Deflatores_e_INMs!B$4:F$49,3,FALSE),1)</f>
        <v>1</v>
      </c>
      <c r="AI533" s="190">
        <f>IFERROR(VLOOKUP(Y533,SISP_Deflatores_e_INMs!B$4:G$49,5,FALSE),1)</f>
        <v>1</v>
      </c>
      <c r="AJ533" s="191" t="str">
        <f t="shared" si="154"/>
        <v/>
      </c>
      <c r="AK533" s="237" t="str">
        <f t="shared" si="143"/>
        <v/>
      </c>
      <c r="AL533" s="237" t="str">
        <f t="shared" si="155"/>
        <v/>
      </c>
      <c r="AM533" s="192" t="e">
        <f t="shared" si="144"/>
        <v>#VALUE!</v>
      </c>
      <c r="AN533" s="193" t="e">
        <f t="shared" si="145"/>
        <v>#VALUE!</v>
      </c>
      <c r="AO533" s="193" t="e">
        <f t="shared" si="146"/>
        <v>#VALUE!</v>
      </c>
      <c r="AP533" s="193"/>
      <c r="AQ533" s="204"/>
      <c r="AR533" s="204"/>
      <c r="AS533" s="204"/>
      <c r="AT533" s="205"/>
      <c r="AU533"/>
    </row>
    <row r="534" spans="2:47" ht="15" customHeight="1" x14ac:dyDescent="0.25">
      <c r="B534" s="206"/>
      <c r="C534" s="185"/>
      <c r="D534" s="164"/>
      <c r="E534" s="174"/>
      <c r="F534" s="164"/>
      <c r="G534" s="174"/>
      <c r="H534" s="164"/>
      <c r="I534" s="174"/>
      <c r="J534" s="184"/>
      <c r="K534" s="186"/>
      <c r="L534" s="187" t="str">
        <f t="shared" si="147"/>
        <v/>
      </c>
      <c r="M534" s="187" t="str">
        <f t="shared" si="148"/>
        <v/>
      </c>
      <c r="N534" s="187" t="str">
        <f t="shared" si="140"/>
        <v>D</v>
      </c>
      <c r="O534" s="187" t="str">
        <f t="shared" si="149"/>
        <v>D</v>
      </c>
      <c r="P534" s="187">
        <f t="shared" si="150"/>
        <v>1</v>
      </c>
      <c r="Q534" s="187">
        <f>IFERROR(VLOOKUP(E534,Tabela_Deflator:E$43,5,FALSE),1)</f>
        <v>1</v>
      </c>
      <c r="R534" s="188" t="str">
        <f t="shared" si="151"/>
        <v/>
      </c>
      <c r="S534" s="237" t="str">
        <f t="shared" si="141"/>
        <v/>
      </c>
      <c r="T534" s="237" t="str">
        <f t="shared" si="156"/>
        <v/>
      </c>
      <c r="U534" s="189"/>
      <c r="V534" s="167"/>
      <c r="W534" s="165"/>
      <c r="X534" s="164"/>
      <c r="Y534" s="164"/>
      <c r="Z534" s="164"/>
      <c r="AA534" s="174"/>
      <c r="AB534" s="164"/>
      <c r="AC534" s="174"/>
      <c r="AD534" s="184"/>
      <c r="AE534" s="190" t="str">
        <f t="shared" si="152"/>
        <v/>
      </c>
      <c r="AF534" s="190" t="str">
        <f t="shared" si="153"/>
        <v/>
      </c>
      <c r="AG534" s="190" t="str">
        <f t="shared" si="142"/>
        <v>D</v>
      </c>
      <c r="AH534" s="190">
        <f>IFERROR(VLOOKUP(Y534,SISP_Deflatores_e_INMs!B$4:F$49,3,FALSE),1)</f>
        <v>1</v>
      </c>
      <c r="AI534" s="190">
        <f>IFERROR(VLOOKUP(Y534,SISP_Deflatores_e_INMs!B$4:G$49,5,FALSE),1)</f>
        <v>1</v>
      </c>
      <c r="AJ534" s="191" t="str">
        <f t="shared" si="154"/>
        <v/>
      </c>
      <c r="AK534" s="237" t="str">
        <f t="shared" si="143"/>
        <v/>
      </c>
      <c r="AL534" s="237" t="str">
        <f t="shared" si="155"/>
        <v/>
      </c>
      <c r="AM534" s="192" t="e">
        <f t="shared" si="144"/>
        <v>#VALUE!</v>
      </c>
      <c r="AN534" s="193" t="e">
        <f t="shared" si="145"/>
        <v>#VALUE!</v>
      </c>
      <c r="AO534" s="193" t="e">
        <f t="shared" si="146"/>
        <v>#VALUE!</v>
      </c>
      <c r="AP534" s="193"/>
      <c r="AQ534" s="204"/>
      <c r="AR534" s="204"/>
      <c r="AS534" s="204"/>
      <c r="AT534" s="205"/>
      <c r="AU534"/>
    </row>
    <row r="535" spans="2:47" ht="15" customHeight="1" x14ac:dyDescent="0.25">
      <c r="B535" s="206"/>
      <c r="C535" s="185"/>
      <c r="D535" s="164"/>
      <c r="E535" s="174"/>
      <c r="F535" s="164"/>
      <c r="G535" s="174"/>
      <c r="H535" s="164"/>
      <c r="I535" s="174"/>
      <c r="J535" s="184"/>
      <c r="K535" s="186"/>
      <c r="L535" s="187" t="str">
        <f t="shared" si="147"/>
        <v/>
      </c>
      <c r="M535" s="187" t="str">
        <f t="shared" si="148"/>
        <v/>
      </c>
      <c r="N535" s="187" t="str">
        <f t="shared" si="140"/>
        <v>D</v>
      </c>
      <c r="O535" s="187" t="str">
        <f t="shared" si="149"/>
        <v>D</v>
      </c>
      <c r="P535" s="187">
        <f t="shared" si="150"/>
        <v>1</v>
      </c>
      <c r="Q535" s="187">
        <f>IFERROR(VLOOKUP(E535,Tabela_Deflator:E$43,5,FALSE),1)</f>
        <v>1</v>
      </c>
      <c r="R535" s="188" t="str">
        <f t="shared" si="151"/>
        <v/>
      </c>
      <c r="S535" s="237" t="str">
        <f t="shared" si="141"/>
        <v/>
      </c>
      <c r="T535" s="237" t="str">
        <f t="shared" si="156"/>
        <v/>
      </c>
      <c r="U535" s="189"/>
      <c r="V535" s="167"/>
      <c r="W535" s="165"/>
      <c r="X535" s="164"/>
      <c r="Y535" s="164"/>
      <c r="Z535" s="164"/>
      <c r="AA535" s="174"/>
      <c r="AB535" s="164"/>
      <c r="AC535" s="174"/>
      <c r="AD535" s="184"/>
      <c r="AE535" s="190" t="str">
        <f t="shared" si="152"/>
        <v/>
      </c>
      <c r="AF535" s="190" t="str">
        <f t="shared" si="153"/>
        <v/>
      </c>
      <c r="AG535" s="190" t="str">
        <f t="shared" si="142"/>
        <v>D</v>
      </c>
      <c r="AH535" s="190">
        <f>IFERROR(VLOOKUP(Y535,SISP_Deflatores_e_INMs!B$4:F$49,3,FALSE),1)</f>
        <v>1</v>
      </c>
      <c r="AI535" s="190">
        <f>IFERROR(VLOOKUP(Y535,SISP_Deflatores_e_INMs!B$4:G$49,5,FALSE),1)</f>
        <v>1</v>
      </c>
      <c r="AJ535" s="191" t="str">
        <f t="shared" si="154"/>
        <v/>
      </c>
      <c r="AK535" s="237" t="str">
        <f t="shared" si="143"/>
        <v/>
      </c>
      <c r="AL535" s="237" t="str">
        <f t="shared" si="155"/>
        <v/>
      </c>
      <c r="AM535" s="192" t="e">
        <f t="shared" si="144"/>
        <v>#VALUE!</v>
      </c>
      <c r="AN535" s="193" t="e">
        <f t="shared" si="145"/>
        <v>#VALUE!</v>
      </c>
      <c r="AO535" s="193" t="e">
        <f t="shared" si="146"/>
        <v>#VALUE!</v>
      </c>
      <c r="AP535" s="193"/>
      <c r="AQ535" s="204"/>
      <c r="AR535" s="204"/>
      <c r="AS535" s="204"/>
      <c r="AT535" s="205"/>
      <c r="AU535"/>
    </row>
    <row r="536" spans="2:47" ht="15" customHeight="1" x14ac:dyDescent="0.25">
      <c r="B536" s="206"/>
      <c r="C536" s="185"/>
      <c r="D536" s="164"/>
      <c r="E536" s="174"/>
      <c r="F536" s="164"/>
      <c r="G536" s="174"/>
      <c r="H536" s="164"/>
      <c r="I536" s="174"/>
      <c r="J536" s="184"/>
      <c r="K536" s="186"/>
      <c r="L536" s="187" t="str">
        <f t="shared" si="147"/>
        <v/>
      </c>
      <c r="M536" s="187" t="str">
        <f t="shared" si="148"/>
        <v/>
      </c>
      <c r="N536" s="187" t="str">
        <f t="shared" si="140"/>
        <v>D</v>
      </c>
      <c r="O536" s="187" t="str">
        <f t="shared" si="149"/>
        <v>D</v>
      </c>
      <c r="P536" s="187">
        <f t="shared" si="150"/>
        <v>1</v>
      </c>
      <c r="Q536" s="187">
        <f>IFERROR(VLOOKUP(E536,Tabela_Deflator:E$43,5,FALSE),1)</f>
        <v>1</v>
      </c>
      <c r="R536" s="188" t="str">
        <f t="shared" si="151"/>
        <v/>
      </c>
      <c r="S536" s="237" t="str">
        <f t="shared" si="141"/>
        <v/>
      </c>
      <c r="T536" s="237" t="str">
        <f t="shared" si="156"/>
        <v/>
      </c>
      <c r="U536" s="189"/>
      <c r="V536" s="167"/>
      <c r="W536" s="165"/>
      <c r="X536" s="164"/>
      <c r="Y536" s="164"/>
      <c r="Z536" s="164"/>
      <c r="AA536" s="174"/>
      <c r="AB536" s="164"/>
      <c r="AC536" s="174"/>
      <c r="AD536" s="184"/>
      <c r="AE536" s="190" t="str">
        <f t="shared" si="152"/>
        <v/>
      </c>
      <c r="AF536" s="190" t="str">
        <f t="shared" si="153"/>
        <v/>
      </c>
      <c r="AG536" s="190" t="str">
        <f t="shared" si="142"/>
        <v>D</v>
      </c>
      <c r="AH536" s="190">
        <f>IFERROR(VLOOKUP(Y536,SISP_Deflatores_e_INMs!B$4:F$49,3,FALSE),1)</f>
        <v>1</v>
      </c>
      <c r="AI536" s="190">
        <f>IFERROR(VLOOKUP(Y536,SISP_Deflatores_e_INMs!B$4:G$49,5,FALSE),1)</f>
        <v>1</v>
      </c>
      <c r="AJ536" s="191" t="str">
        <f t="shared" si="154"/>
        <v/>
      </c>
      <c r="AK536" s="237" t="str">
        <f t="shared" si="143"/>
        <v/>
      </c>
      <c r="AL536" s="237" t="str">
        <f t="shared" si="155"/>
        <v/>
      </c>
      <c r="AM536" s="192" t="e">
        <f t="shared" si="144"/>
        <v>#VALUE!</v>
      </c>
      <c r="AN536" s="193" t="e">
        <f t="shared" si="145"/>
        <v>#VALUE!</v>
      </c>
      <c r="AO536" s="193" t="e">
        <f t="shared" si="146"/>
        <v>#VALUE!</v>
      </c>
      <c r="AP536" s="193"/>
      <c r="AQ536" s="204"/>
      <c r="AR536" s="204"/>
      <c r="AS536" s="204"/>
      <c r="AT536" s="205"/>
      <c r="AU536"/>
    </row>
    <row r="537" spans="2:47" ht="15" customHeight="1" x14ac:dyDescent="0.25">
      <c r="B537" s="206"/>
      <c r="C537" s="185"/>
      <c r="D537" s="164"/>
      <c r="E537" s="174"/>
      <c r="F537" s="164"/>
      <c r="G537" s="174"/>
      <c r="H537" s="164"/>
      <c r="I537" s="174"/>
      <c r="J537" s="184"/>
      <c r="K537" s="186"/>
      <c r="L537" s="187" t="str">
        <f t="shared" si="147"/>
        <v/>
      </c>
      <c r="M537" s="187" t="str">
        <f t="shared" si="148"/>
        <v/>
      </c>
      <c r="N537" s="187" t="str">
        <f t="shared" si="140"/>
        <v>D</v>
      </c>
      <c r="O537" s="187" t="str">
        <f t="shared" si="149"/>
        <v>D</v>
      </c>
      <c r="P537" s="187">
        <f t="shared" si="150"/>
        <v>1</v>
      </c>
      <c r="Q537" s="187">
        <f>IFERROR(VLOOKUP(E537,Tabela_Deflator:E$43,5,FALSE),1)</f>
        <v>1</v>
      </c>
      <c r="R537" s="188" t="str">
        <f t="shared" si="151"/>
        <v/>
      </c>
      <c r="S537" s="237" t="str">
        <f t="shared" si="141"/>
        <v/>
      </c>
      <c r="T537" s="237" t="str">
        <f t="shared" si="156"/>
        <v/>
      </c>
      <c r="U537" s="189"/>
      <c r="V537" s="167"/>
      <c r="W537" s="165"/>
      <c r="X537" s="164"/>
      <c r="Y537" s="164"/>
      <c r="Z537" s="164"/>
      <c r="AA537" s="174"/>
      <c r="AB537" s="164"/>
      <c r="AC537" s="174"/>
      <c r="AD537" s="184"/>
      <c r="AE537" s="190" t="str">
        <f t="shared" si="152"/>
        <v/>
      </c>
      <c r="AF537" s="190" t="str">
        <f t="shared" si="153"/>
        <v/>
      </c>
      <c r="AG537" s="190" t="str">
        <f t="shared" si="142"/>
        <v>D</v>
      </c>
      <c r="AH537" s="190">
        <f>IFERROR(VLOOKUP(Y537,SISP_Deflatores_e_INMs!B$4:F$49,3,FALSE),1)</f>
        <v>1</v>
      </c>
      <c r="AI537" s="190">
        <f>IFERROR(VLOOKUP(Y537,SISP_Deflatores_e_INMs!B$4:G$49,5,FALSE),1)</f>
        <v>1</v>
      </c>
      <c r="AJ537" s="191" t="str">
        <f t="shared" si="154"/>
        <v/>
      </c>
      <c r="AK537" s="237" t="str">
        <f t="shared" si="143"/>
        <v/>
      </c>
      <c r="AL537" s="237" t="str">
        <f t="shared" si="155"/>
        <v/>
      </c>
      <c r="AM537" s="192" t="e">
        <f t="shared" si="144"/>
        <v>#VALUE!</v>
      </c>
      <c r="AN537" s="193" t="e">
        <f t="shared" si="145"/>
        <v>#VALUE!</v>
      </c>
      <c r="AO537" s="193" t="e">
        <f t="shared" si="146"/>
        <v>#VALUE!</v>
      </c>
      <c r="AP537" s="193"/>
      <c r="AQ537" s="204"/>
      <c r="AR537" s="204"/>
      <c r="AS537" s="204"/>
      <c r="AT537" s="205"/>
      <c r="AU537"/>
    </row>
    <row r="538" spans="2:47" ht="15" customHeight="1" x14ac:dyDescent="0.25">
      <c r="B538" s="206"/>
      <c r="C538" s="185"/>
      <c r="D538" s="164"/>
      <c r="E538" s="174"/>
      <c r="F538" s="164"/>
      <c r="G538" s="174"/>
      <c r="H538" s="164"/>
      <c r="I538" s="174"/>
      <c r="J538" s="184"/>
      <c r="K538" s="186"/>
      <c r="L538" s="187" t="str">
        <f t="shared" si="147"/>
        <v/>
      </c>
      <c r="M538" s="187" t="str">
        <f t="shared" si="148"/>
        <v/>
      </c>
      <c r="N538" s="187" t="str">
        <f t="shared" si="140"/>
        <v>D</v>
      </c>
      <c r="O538" s="187" t="str">
        <f t="shared" si="149"/>
        <v>D</v>
      </c>
      <c r="P538" s="187">
        <f t="shared" si="150"/>
        <v>1</v>
      </c>
      <c r="Q538" s="187">
        <f>IFERROR(VLOOKUP(E538,Tabela_Deflator:E$43,5,FALSE),1)</f>
        <v>1</v>
      </c>
      <c r="R538" s="188" t="str">
        <f t="shared" si="151"/>
        <v/>
      </c>
      <c r="S538" s="237" t="str">
        <f t="shared" si="141"/>
        <v/>
      </c>
      <c r="T538" s="237" t="str">
        <f t="shared" si="156"/>
        <v/>
      </c>
      <c r="U538" s="189"/>
      <c r="V538" s="167"/>
      <c r="W538" s="165"/>
      <c r="X538" s="164"/>
      <c r="Y538" s="164"/>
      <c r="Z538" s="164"/>
      <c r="AA538" s="174"/>
      <c r="AB538" s="164"/>
      <c r="AC538" s="174"/>
      <c r="AD538" s="184"/>
      <c r="AE538" s="190" t="str">
        <f t="shared" si="152"/>
        <v/>
      </c>
      <c r="AF538" s="190" t="str">
        <f t="shared" si="153"/>
        <v/>
      </c>
      <c r="AG538" s="190" t="str">
        <f t="shared" si="142"/>
        <v>D</v>
      </c>
      <c r="AH538" s="190">
        <f>IFERROR(VLOOKUP(Y538,SISP_Deflatores_e_INMs!B$4:F$49,3,FALSE),1)</f>
        <v>1</v>
      </c>
      <c r="AI538" s="190">
        <f>IFERROR(VLOOKUP(Y538,SISP_Deflatores_e_INMs!B$4:G$49,5,FALSE),1)</f>
        <v>1</v>
      </c>
      <c r="AJ538" s="191" t="str">
        <f t="shared" si="154"/>
        <v/>
      </c>
      <c r="AK538" s="237" t="str">
        <f t="shared" si="143"/>
        <v/>
      </c>
      <c r="AL538" s="237" t="str">
        <f t="shared" si="155"/>
        <v/>
      </c>
      <c r="AM538" s="192" t="e">
        <f t="shared" si="144"/>
        <v>#VALUE!</v>
      </c>
      <c r="AN538" s="193" t="e">
        <f t="shared" si="145"/>
        <v>#VALUE!</v>
      </c>
      <c r="AO538" s="193" t="e">
        <f t="shared" si="146"/>
        <v>#VALUE!</v>
      </c>
      <c r="AP538" s="193"/>
      <c r="AQ538" s="204"/>
      <c r="AR538" s="204"/>
      <c r="AS538" s="204"/>
      <c r="AT538" s="205"/>
      <c r="AU538"/>
    </row>
    <row r="539" spans="2:47" ht="15" customHeight="1" x14ac:dyDescent="0.25">
      <c r="B539" s="206"/>
      <c r="C539" s="185"/>
      <c r="D539" s="164"/>
      <c r="E539" s="174"/>
      <c r="F539" s="164"/>
      <c r="G539" s="174"/>
      <c r="H539" s="164"/>
      <c r="I539" s="174"/>
      <c r="J539" s="184"/>
      <c r="K539" s="186"/>
      <c r="L539" s="187" t="str">
        <f t="shared" si="147"/>
        <v/>
      </c>
      <c r="M539" s="187" t="str">
        <f t="shared" si="148"/>
        <v/>
      </c>
      <c r="N539" s="187" t="str">
        <f t="shared" si="140"/>
        <v>D</v>
      </c>
      <c r="O539" s="187" t="str">
        <f t="shared" si="149"/>
        <v>D</v>
      </c>
      <c r="P539" s="187">
        <f t="shared" si="150"/>
        <v>1</v>
      </c>
      <c r="Q539" s="187">
        <f>IFERROR(VLOOKUP(E539,Tabela_Deflator:E$43,5,FALSE),1)</f>
        <v>1</v>
      </c>
      <c r="R539" s="188" t="str">
        <f t="shared" si="151"/>
        <v/>
      </c>
      <c r="S539" s="237" t="str">
        <f t="shared" si="141"/>
        <v/>
      </c>
      <c r="T539" s="237" t="str">
        <f t="shared" si="156"/>
        <v/>
      </c>
      <c r="U539" s="189"/>
      <c r="V539" s="167"/>
      <c r="W539" s="165"/>
      <c r="X539" s="164"/>
      <c r="Y539" s="164"/>
      <c r="Z539" s="164"/>
      <c r="AA539" s="174"/>
      <c r="AB539" s="164"/>
      <c r="AC539" s="174"/>
      <c r="AD539" s="184"/>
      <c r="AE539" s="190" t="str">
        <f t="shared" si="152"/>
        <v/>
      </c>
      <c r="AF539" s="190" t="str">
        <f t="shared" si="153"/>
        <v/>
      </c>
      <c r="AG539" s="190" t="str">
        <f t="shared" si="142"/>
        <v>D</v>
      </c>
      <c r="AH539" s="190">
        <f>IFERROR(VLOOKUP(Y539,SISP_Deflatores_e_INMs!B$4:F$49,3,FALSE),1)</f>
        <v>1</v>
      </c>
      <c r="AI539" s="190">
        <f>IFERROR(VLOOKUP(Y539,SISP_Deflatores_e_INMs!B$4:G$49,5,FALSE),1)</f>
        <v>1</v>
      </c>
      <c r="AJ539" s="191" t="str">
        <f t="shared" si="154"/>
        <v/>
      </c>
      <c r="AK539" s="237" t="str">
        <f t="shared" si="143"/>
        <v/>
      </c>
      <c r="AL539" s="237" t="str">
        <f t="shared" si="155"/>
        <v/>
      </c>
      <c r="AM539" s="192" t="e">
        <f t="shared" si="144"/>
        <v>#VALUE!</v>
      </c>
      <c r="AN539" s="193" t="e">
        <f t="shared" si="145"/>
        <v>#VALUE!</v>
      </c>
      <c r="AO539" s="193" t="e">
        <f t="shared" si="146"/>
        <v>#VALUE!</v>
      </c>
      <c r="AP539" s="193"/>
      <c r="AQ539" s="204"/>
      <c r="AR539" s="204"/>
      <c r="AS539" s="204"/>
      <c r="AT539" s="205"/>
      <c r="AU539"/>
    </row>
    <row r="540" spans="2:47" ht="15" customHeight="1" x14ac:dyDescent="0.25">
      <c r="B540" s="206"/>
      <c r="C540" s="185"/>
      <c r="D540" s="164"/>
      <c r="E540" s="174"/>
      <c r="F540" s="164"/>
      <c r="G540" s="174"/>
      <c r="H540" s="164"/>
      <c r="I540" s="174"/>
      <c r="J540" s="184"/>
      <c r="K540" s="186"/>
      <c r="L540" s="187" t="str">
        <f t="shared" si="147"/>
        <v/>
      </c>
      <c r="M540" s="187" t="str">
        <f t="shared" si="148"/>
        <v/>
      </c>
      <c r="N540" s="187" t="str">
        <f t="shared" si="140"/>
        <v>D</v>
      </c>
      <c r="O540" s="187" t="str">
        <f t="shared" si="149"/>
        <v>D</v>
      </c>
      <c r="P540" s="187">
        <f t="shared" si="150"/>
        <v>1</v>
      </c>
      <c r="Q540" s="187">
        <f>IFERROR(VLOOKUP(E540,Tabela_Deflator:E$43,5,FALSE),1)</f>
        <v>1</v>
      </c>
      <c r="R540" s="188" t="str">
        <f t="shared" si="151"/>
        <v/>
      </c>
      <c r="S540" s="237" t="str">
        <f t="shared" si="141"/>
        <v/>
      </c>
      <c r="T540" s="237" t="str">
        <f t="shared" si="156"/>
        <v/>
      </c>
      <c r="U540" s="189"/>
      <c r="V540" s="167"/>
      <c r="W540" s="165"/>
      <c r="X540" s="164"/>
      <c r="Y540" s="164"/>
      <c r="Z540" s="164"/>
      <c r="AA540" s="174"/>
      <c r="AB540" s="164"/>
      <c r="AC540" s="174"/>
      <c r="AD540" s="184"/>
      <c r="AE540" s="190" t="str">
        <f t="shared" si="152"/>
        <v/>
      </c>
      <c r="AF540" s="190" t="str">
        <f t="shared" si="153"/>
        <v/>
      </c>
      <c r="AG540" s="190" t="str">
        <f t="shared" si="142"/>
        <v>D</v>
      </c>
      <c r="AH540" s="190">
        <f>IFERROR(VLOOKUP(Y540,SISP_Deflatores_e_INMs!B$4:F$49,3,FALSE),1)</f>
        <v>1</v>
      </c>
      <c r="AI540" s="190">
        <f>IFERROR(VLOOKUP(Y540,SISP_Deflatores_e_INMs!B$4:G$49,5,FALSE),1)</f>
        <v>1</v>
      </c>
      <c r="AJ540" s="191" t="str">
        <f t="shared" si="154"/>
        <v/>
      </c>
      <c r="AK540" s="237" t="str">
        <f t="shared" si="143"/>
        <v/>
      </c>
      <c r="AL540" s="237" t="str">
        <f t="shared" si="155"/>
        <v/>
      </c>
      <c r="AM540" s="192" t="e">
        <f t="shared" si="144"/>
        <v>#VALUE!</v>
      </c>
      <c r="AN540" s="193" t="e">
        <f t="shared" si="145"/>
        <v>#VALUE!</v>
      </c>
      <c r="AO540" s="193" t="e">
        <f t="shared" si="146"/>
        <v>#VALUE!</v>
      </c>
      <c r="AP540" s="193"/>
      <c r="AQ540" s="204"/>
      <c r="AR540" s="204"/>
      <c r="AS540" s="204"/>
      <c r="AT540" s="205"/>
      <c r="AU540"/>
    </row>
    <row r="541" spans="2:47" ht="15" customHeight="1" x14ac:dyDescent="0.25">
      <c r="B541" s="206"/>
      <c r="C541" s="185"/>
      <c r="D541" s="164"/>
      <c r="E541" s="174"/>
      <c r="F541" s="164"/>
      <c r="G541" s="174"/>
      <c r="H541" s="164"/>
      <c r="I541" s="174"/>
      <c r="J541" s="184"/>
      <c r="K541" s="186"/>
      <c r="L541" s="187" t="str">
        <f t="shared" si="147"/>
        <v/>
      </c>
      <c r="M541" s="187" t="str">
        <f t="shared" si="148"/>
        <v/>
      </c>
      <c r="N541" s="187" t="str">
        <f t="shared" si="140"/>
        <v>D</v>
      </c>
      <c r="O541" s="187" t="str">
        <f t="shared" si="149"/>
        <v>D</v>
      </c>
      <c r="P541" s="187">
        <f t="shared" si="150"/>
        <v>1</v>
      </c>
      <c r="Q541" s="187">
        <f>IFERROR(VLOOKUP(E541,Tabela_Deflator:E$43,5,FALSE),1)</f>
        <v>1</v>
      </c>
      <c r="R541" s="188" t="str">
        <f t="shared" si="151"/>
        <v/>
      </c>
      <c r="S541" s="237" t="str">
        <f t="shared" si="141"/>
        <v/>
      </c>
      <c r="T541" s="237" t="str">
        <f t="shared" si="156"/>
        <v/>
      </c>
      <c r="U541" s="189"/>
      <c r="V541" s="167"/>
      <c r="W541" s="165"/>
      <c r="X541" s="164"/>
      <c r="Y541" s="164"/>
      <c r="Z541" s="164"/>
      <c r="AA541" s="174"/>
      <c r="AB541" s="164"/>
      <c r="AC541" s="174"/>
      <c r="AD541" s="184"/>
      <c r="AE541" s="190" t="str">
        <f t="shared" si="152"/>
        <v/>
      </c>
      <c r="AF541" s="190" t="str">
        <f t="shared" si="153"/>
        <v/>
      </c>
      <c r="AG541" s="190" t="str">
        <f t="shared" si="142"/>
        <v>D</v>
      </c>
      <c r="AH541" s="190">
        <f>IFERROR(VLOOKUP(Y541,SISP_Deflatores_e_INMs!B$4:F$49,3,FALSE),1)</f>
        <v>1</v>
      </c>
      <c r="AI541" s="190">
        <f>IFERROR(VLOOKUP(Y541,SISP_Deflatores_e_INMs!B$4:G$49,5,FALSE),1)</f>
        <v>1</v>
      </c>
      <c r="AJ541" s="191" t="str">
        <f t="shared" si="154"/>
        <v/>
      </c>
      <c r="AK541" s="237" t="str">
        <f t="shared" si="143"/>
        <v/>
      </c>
      <c r="AL541" s="237" t="str">
        <f t="shared" si="155"/>
        <v/>
      </c>
      <c r="AM541" s="192" t="e">
        <f t="shared" si="144"/>
        <v>#VALUE!</v>
      </c>
      <c r="AN541" s="193" t="e">
        <f t="shared" si="145"/>
        <v>#VALUE!</v>
      </c>
      <c r="AO541" s="193" t="e">
        <f t="shared" si="146"/>
        <v>#VALUE!</v>
      </c>
      <c r="AP541" s="193"/>
      <c r="AQ541" s="204"/>
      <c r="AR541" s="204"/>
      <c r="AS541" s="204"/>
      <c r="AT541" s="205"/>
      <c r="AU541"/>
    </row>
    <row r="542" spans="2:47" ht="15" customHeight="1" x14ac:dyDescent="0.25">
      <c r="B542" s="206"/>
      <c r="C542" s="185"/>
      <c r="D542" s="164"/>
      <c r="E542" s="174"/>
      <c r="F542" s="164"/>
      <c r="G542" s="174"/>
      <c r="H542" s="164"/>
      <c r="I542" s="174"/>
      <c r="J542" s="184"/>
      <c r="K542" s="186"/>
      <c r="L542" s="187" t="str">
        <f t="shared" si="147"/>
        <v/>
      </c>
      <c r="M542" s="187" t="str">
        <f t="shared" si="148"/>
        <v/>
      </c>
      <c r="N542" s="187" t="str">
        <f t="shared" si="140"/>
        <v>D</v>
      </c>
      <c r="O542" s="187" t="str">
        <f t="shared" si="149"/>
        <v>D</v>
      </c>
      <c r="P542" s="187">
        <f t="shared" si="150"/>
        <v>1</v>
      </c>
      <c r="Q542" s="187">
        <f>IFERROR(VLOOKUP(E542,Tabela_Deflator:E$43,5,FALSE),1)</f>
        <v>1</v>
      </c>
      <c r="R542" s="188" t="str">
        <f t="shared" si="151"/>
        <v/>
      </c>
      <c r="S542" s="237" t="str">
        <f t="shared" si="141"/>
        <v/>
      </c>
      <c r="T542" s="237" t="str">
        <f t="shared" si="156"/>
        <v/>
      </c>
      <c r="U542" s="189"/>
      <c r="V542" s="167"/>
      <c r="W542" s="165"/>
      <c r="X542" s="164"/>
      <c r="Y542" s="164"/>
      <c r="Z542" s="164"/>
      <c r="AA542" s="174"/>
      <c r="AB542" s="164"/>
      <c r="AC542" s="174"/>
      <c r="AD542" s="184"/>
      <c r="AE542" s="190" t="str">
        <f t="shared" si="152"/>
        <v/>
      </c>
      <c r="AF542" s="190" t="str">
        <f t="shared" si="153"/>
        <v/>
      </c>
      <c r="AG542" s="190" t="str">
        <f t="shared" si="142"/>
        <v>D</v>
      </c>
      <c r="AH542" s="190">
        <f>IFERROR(VLOOKUP(Y542,SISP_Deflatores_e_INMs!B$4:F$49,3,FALSE),1)</f>
        <v>1</v>
      </c>
      <c r="AI542" s="190">
        <f>IFERROR(VLOOKUP(Y542,SISP_Deflatores_e_INMs!B$4:G$49,5,FALSE),1)</f>
        <v>1</v>
      </c>
      <c r="AJ542" s="191" t="str">
        <f t="shared" si="154"/>
        <v/>
      </c>
      <c r="AK542" s="237" t="str">
        <f t="shared" si="143"/>
        <v/>
      </c>
      <c r="AL542" s="237" t="str">
        <f t="shared" si="155"/>
        <v/>
      </c>
      <c r="AM542" s="192" t="e">
        <f t="shared" si="144"/>
        <v>#VALUE!</v>
      </c>
      <c r="AN542" s="193" t="e">
        <f t="shared" si="145"/>
        <v>#VALUE!</v>
      </c>
      <c r="AO542" s="193" t="e">
        <f t="shared" si="146"/>
        <v>#VALUE!</v>
      </c>
      <c r="AP542" s="193"/>
      <c r="AQ542" s="204"/>
      <c r="AR542" s="204"/>
      <c r="AS542" s="204"/>
      <c r="AT542" s="205"/>
      <c r="AU542"/>
    </row>
    <row r="543" spans="2:47" ht="15" customHeight="1" x14ac:dyDescent="0.25">
      <c r="B543" s="206"/>
      <c r="C543" s="185"/>
      <c r="D543" s="164"/>
      <c r="E543" s="174"/>
      <c r="F543" s="164"/>
      <c r="G543" s="174"/>
      <c r="H543" s="164"/>
      <c r="I543" s="174"/>
      <c r="J543" s="184"/>
      <c r="K543" s="186"/>
      <c r="L543" s="187" t="str">
        <f t="shared" si="147"/>
        <v/>
      </c>
      <c r="M543" s="187" t="str">
        <f t="shared" si="148"/>
        <v/>
      </c>
      <c r="N543" s="187" t="str">
        <f t="shared" si="140"/>
        <v>D</v>
      </c>
      <c r="O543" s="187" t="str">
        <f t="shared" si="149"/>
        <v>D</v>
      </c>
      <c r="P543" s="187">
        <f t="shared" si="150"/>
        <v>1</v>
      </c>
      <c r="Q543" s="187">
        <f>IFERROR(VLOOKUP(E543,Tabela_Deflator:E$43,5,FALSE),1)</f>
        <v>1</v>
      </c>
      <c r="R543" s="188" t="str">
        <f t="shared" si="151"/>
        <v/>
      </c>
      <c r="S543" s="237" t="str">
        <f t="shared" si="141"/>
        <v/>
      </c>
      <c r="T543" s="237" t="str">
        <f t="shared" si="156"/>
        <v/>
      </c>
      <c r="U543" s="189"/>
      <c r="V543" s="167"/>
      <c r="W543" s="165"/>
      <c r="X543" s="164"/>
      <c r="Y543" s="164"/>
      <c r="Z543" s="164"/>
      <c r="AA543" s="174"/>
      <c r="AB543" s="164"/>
      <c r="AC543" s="174"/>
      <c r="AD543" s="184"/>
      <c r="AE543" s="190" t="str">
        <f t="shared" si="152"/>
        <v/>
      </c>
      <c r="AF543" s="190" t="str">
        <f t="shared" si="153"/>
        <v/>
      </c>
      <c r="AG543" s="190" t="str">
        <f t="shared" si="142"/>
        <v>D</v>
      </c>
      <c r="AH543" s="190">
        <f>IFERROR(VLOOKUP(Y543,SISP_Deflatores_e_INMs!B$4:F$49,3,FALSE),1)</f>
        <v>1</v>
      </c>
      <c r="AI543" s="190">
        <f>IFERROR(VLOOKUP(Y543,SISP_Deflatores_e_INMs!B$4:G$49,5,FALSE),1)</f>
        <v>1</v>
      </c>
      <c r="AJ543" s="191" t="str">
        <f t="shared" si="154"/>
        <v/>
      </c>
      <c r="AK543" s="237" t="str">
        <f t="shared" si="143"/>
        <v/>
      </c>
      <c r="AL543" s="237" t="str">
        <f t="shared" si="155"/>
        <v/>
      </c>
      <c r="AM543" s="192" t="e">
        <f t="shared" si="144"/>
        <v>#VALUE!</v>
      </c>
      <c r="AN543" s="193" t="e">
        <f t="shared" si="145"/>
        <v>#VALUE!</v>
      </c>
      <c r="AO543" s="193" t="e">
        <f t="shared" si="146"/>
        <v>#VALUE!</v>
      </c>
      <c r="AP543" s="193"/>
      <c r="AQ543" s="204"/>
      <c r="AR543" s="204"/>
      <c r="AS543" s="204"/>
      <c r="AT543" s="205"/>
      <c r="AU543"/>
    </row>
    <row r="544" spans="2:47" ht="15" customHeight="1" x14ac:dyDescent="0.25">
      <c r="B544" s="206"/>
      <c r="C544" s="185"/>
      <c r="D544" s="164"/>
      <c r="E544" s="174"/>
      <c r="F544" s="164"/>
      <c r="G544" s="174"/>
      <c r="H544" s="164"/>
      <c r="I544" s="174"/>
      <c r="J544" s="184"/>
      <c r="K544" s="186"/>
      <c r="L544" s="187" t="str">
        <f t="shared" si="147"/>
        <v/>
      </c>
      <c r="M544" s="187" t="str">
        <f t="shared" si="148"/>
        <v/>
      </c>
      <c r="N544" s="187" t="str">
        <f t="shared" si="140"/>
        <v>D</v>
      </c>
      <c r="O544" s="187" t="str">
        <f t="shared" si="149"/>
        <v>D</v>
      </c>
      <c r="P544" s="187">
        <f t="shared" si="150"/>
        <v>1</v>
      </c>
      <c r="Q544" s="187">
        <f>IFERROR(VLOOKUP(E544,Tabela_Deflator:E$43,5,FALSE),1)</f>
        <v>1</v>
      </c>
      <c r="R544" s="188" t="str">
        <f t="shared" si="151"/>
        <v/>
      </c>
      <c r="S544" s="237" t="str">
        <f t="shared" si="141"/>
        <v/>
      </c>
      <c r="T544" s="237" t="str">
        <f t="shared" si="156"/>
        <v/>
      </c>
      <c r="U544" s="189"/>
      <c r="V544" s="167"/>
      <c r="W544" s="165"/>
      <c r="X544" s="164"/>
      <c r="Y544" s="164"/>
      <c r="Z544" s="164"/>
      <c r="AA544" s="174"/>
      <c r="AB544" s="164"/>
      <c r="AC544" s="174"/>
      <c r="AD544" s="184"/>
      <c r="AE544" s="190" t="str">
        <f t="shared" si="152"/>
        <v/>
      </c>
      <c r="AF544" s="190" t="str">
        <f t="shared" si="153"/>
        <v/>
      </c>
      <c r="AG544" s="190" t="str">
        <f t="shared" si="142"/>
        <v>D</v>
      </c>
      <c r="AH544" s="190">
        <f>IFERROR(VLOOKUP(Y544,SISP_Deflatores_e_INMs!B$4:F$49,3,FALSE),1)</f>
        <v>1</v>
      </c>
      <c r="AI544" s="190">
        <f>IFERROR(VLOOKUP(Y544,SISP_Deflatores_e_INMs!B$4:G$49,5,FALSE),1)</f>
        <v>1</v>
      </c>
      <c r="AJ544" s="191" t="str">
        <f t="shared" si="154"/>
        <v/>
      </c>
      <c r="AK544" s="237" t="str">
        <f t="shared" si="143"/>
        <v/>
      </c>
      <c r="AL544" s="237" t="str">
        <f t="shared" si="155"/>
        <v/>
      </c>
      <c r="AM544" s="192" t="e">
        <f t="shared" si="144"/>
        <v>#VALUE!</v>
      </c>
      <c r="AN544" s="193" t="e">
        <f t="shared" si="145"/>
        <v>#VALUE!</v>
      </c>
      <c r="AO544" s="193" t="e">
        <f t="shared" si="146"/>
        <v>#VALUE!</v>
      </c>
      <c r="AP544" s="193"/>
      <c r="AQ544" s="204"/>
      <c r="AR544" s="204"/>
      <c r="AS544" s="204"/>
      <c r="AT544" s="205"/>
      <c r="AU544"/>
    </row>
    <row r="545" spans="2:47" ht="15" customHeight="1" x14ac:dyDescent="0.25">
      <c r="B545" s="206"/>
      <c r="C545" s="185"/>
      <c r="D545" s="164"/>
      <c r="E545" s="174"/>
      <c r="F545" s="164"/>
      <c r="G545" s="174"/>
      <c r="H545" s="164"/>
      <c r="I545" s="174"/>
      <c r="J545" s="184"/>
      <c r="K545" s="186"/>
      <c r="L545" s="187" t="str">
        <f t="shared" si="147"/>
        <v/>
      </c>
      <c r="M545" s="187" t="str">
        <f t="shared" si="148"/>
        <v/>
      </c>
      <c r="N545" s="187" t="str">
        <f t="shared" si="140"/>
        <v>D</v>
      </c>
      <c r="O545" s="187" t="str">
        <f t="shared" si="149"/>
        <v>D</v>
      </c>
      <c r="P545" s="187">
        <f t="shared" si="150"/>
        <v>1</v>
      </c>
      <c r="Q545" s="187">
        <f>IFERROR(VLOOKUP(E545,Tabela_Deflator:E$43,5,FALSE),1)</f>
        <v>1</v>
      </c>
      <c r="R545" s="188" t="str">
        <f t="shared" si="151"/>
        <v/>
      </c>
      <c r="S545" s="237" t="str">
        <f t="shared" si="141"/>
        <v/>
      </c>
      <c r="T545" s="237" t="str">
        <f t="shared" si="156"/>
        <v/>
      </c>
      <c r="U545" s="189"/>
      <c r="V545" s="167"/>
      <c r="W545" s="165"/>
      <c r="X545" s="164"/>
      <c r="Y545" s="164"/>
      <c r="Z545" s="164"/>
      <c r="AA545" s="174"/>
      <c r="AB545" s="164"/>
      <c r="AC545" s="174"/>
      <c r="AD545" s="184"/>
      <c r="AE545" s="190" t="str">
        <f t="shared" si="152"/>
        <v/>
      </c>
      <c r="AF545" s="190" t="str">
        <f t="shared" si="153"/>
        <v/>
      </c>
      <c r="AG545" s="190" t="str">
        <f t="shared" si="142"/>
        <v>D</v>
      </c>
      <c r="AH545" s="190">
        <f>IFERROR(VLOOKUP(Y545,SISP_Deflatores_e_INMs!B$4:F$49,3,FALSE),1)</f>
        <v>1</v>
      </c>
      <c r="AI545" s="190">
        <f>IFERROR(VLOOKUP(Y545,SISP_Deflatores_e_INMs!B$4:G$49,5,FALSE),1)</f>
        <v>1</v>
      </c>
      <c r="AJ545" s="191" t="str">
        <f t="shared" si="154"/>
        <v/>
      </c>
      <c r="AK545" s="237" t="str">
        <f t="shared" si="143"/>
        <v/>
      </c>
      <c r="AL545" s="237" t="str">
        <f t="shared" si="155"/>
        <v/>
      </c>
      <c r="AM545" s="192" t="e">
        <f t="shared" si="144"/>
        <v>#VALUE!</v>
      </c>
      <c r="AN545" s="193" t="e">
        <f t="shared" si="145"/>
        <v>#VALUE!</v>
      </c>
      <c r="AO545" s="193" t="e">
        <f t="shared" si="146"/>
        <v>#VALUE!</v>
      </c>
      <c r="AP545" s="193"/>
      <c r="AQ545" s="204"/>
      <c r="AR545" s="204"/>
      <c r="AS545" s="204"/>
      <c r="AT545" s="205"/>
      <c r="AU545"/>
    </row>
    <row r="546" spans="2:47" ht="15" customHeight="1" x14ac:dyDescent="0.25">
      <c r="B546" s="206"/>
      <c r="C546" s="185"/>
      <c r="D546" s="164"/>
      <c r="E546" s="174"/>
      <c r="F546" s="164"/>
      <c r="G546" s="174"/>
      <c r="H546" s="164"/>
      <c r="I546" s="174"/>
      <c r="J546" s="184"/>
      <c r="K546" s="186"/>
      <c r="L546" s="187" t="str">
        <f t="shared" si="147"/>
        <v/>
      </c>
      <c r="M546" s="187" t="str">
        <f t="shared" si="148"/>
        <v/>
      </c>
      <c r="N546" s="187" t="str">
        <f t="shared" si="140"/>
        <v>D</v>
      </c>
      <c r="O546" s="187" t="str">
        <f t="shared" si="149"/>
        <v>D</v>
      </c>
      <c r="P546" s="187">
        <f t="shared" si="150"/>
        <v>1</v>
      </c>
      <c r="Q546" s="187">
        <f>IFERROR(VLOOKUP(E546,Tabela_Deflator:E$43,5,FALSE),1)</f>
        <v>1</v>
      </c>
      <c r="R546" s="188" t="str">
        <f t="shared" si="151"/>
        <v/>
      </c>
      <c r="S546" s="237" t="str">
        <f t="shared" si="141"/>
        <v/>
      </c>
      <c r="T546" s="237" t="str">
        <f t="shared" si="156"/>
        <v/>
      </c>
      <c r="U546" s="189"/>
      <c r="V546" s="167"/>
      <c r="W546" s="165"/>
      <c r="X546" s="164"/>
      <c r="Y546" s="164"/>
      <c r="Z546" s="164"/>
      <c r="AA546" s="174"/>
      <c r="AB546" s="164"/>
      <c r="AC546" s="174"/>
      <c r="AD546" s="184"/>
      <c r="AE546" s="190" t="str">
        <f t="shared" si="152"/>
        <v/>
      </c>
      <c r="AF546" s="190" t="str">
        <f t="shared" si="153"/>
        <v/>
      </c>
      <c r="AG546" s="190" t="str">
        <f t="shared" si="142"/>
        <v>D</v>
      </c>
      <c r="AH546" s="190">
        <f>IFERROR(VLOOKUP(Y546,SISP_Deflatores_e_INMs!B$4:F$49,3,FALSE),1)</f>
        <v>1</v>
      </c>
      <c r="AI546" s="190">
        <f>IFERROR(VLOOKUP(Y546,SISP_Deflatores_e_INMs!B$4:G$49,5,FALSE),1)</f>
        <v>1</v>
      </c>
      <c r="AJ546" s="191" t="str">
        <f t="shared" si="154"/>
        <v/>
      </c>
      <c r="AK546" s="237" t="str">
        <f t="shared" si="143"/>
        <v/>
      </c>
      <c r="AL546" s="237" t="str">
        <f t="shared" si="155"/>
        <v/>
      </c>
      <c r="AM546" s="192" t="e">
        <f t="shared" si="144"/>
        <v>#VALUE!</v>
      </c>
      <c r="AN546" s="193" t="e">
        <f t="shared" si="145"/>
        <v>#VALUE!</v>
      </c>
      <c r="AO546" s="193" t="e">
        <f t="shared" si="146"/>
        <v>#VALUE!</v>
      </c>
      <c r="AP546" s="193"/>
      <c r="AQ546" s="204"/>
      <c r="AR546" s="204"/>
      <c r="AS546" s="204"/>
      <c r="AT546" s="205"/>
      <c r="AU546"/>
    </row>
    <row r="547" spans="2:47" ht="15" customHeight="1" x14ac:dyDescent="0.25">
      <c r="B547" s="206"/>
      <c r="C547" s="185"/>
      <c r="D547" s="164"/>
      <c r="E547" s="174"/>
      <c r="F547" s="164"/>
      <c r="G547" s="174"/>
      <c r="H547" s="164"/>
      <c r="I547" s="174"/>
      <c r="J547" s="184"/>
      <c r="K547" s="186"/>
      <c r="L547" s="187" t="str">
        <f t="shared" si="147"/>
        <v/>
      </c>
      <c r="M547" s="187" t="str">
        <f t="shared" si="148"/>
        <v/>
      </c>
      <c r="N547" s="187" t="str">
        <f t="shared" si="140"/>
        <v>D</v>
      </c>
      <c r="O547" s="187" t="str">
        <f t="shared" si="149"/>
        <v>D</v>
      </c>
      <c r="P547" s="187">
        <f t="shared" si="150"/>
        <v>1</v>
      </c>
      <c r="Q547" s="187">
        <f>IFERROR(VLOOKUP(E547,Tabela_Deflator:E$43,5,FALSE),1)</f>
        <v>1</v>
      </c>
      <c r="R547" s="188" t="str">
        <f t="shared" si="151"/>
        <v/>
      </c>
      <c r="S547" s="237" t="str">
        <f t="shared" si="141"/>
        <v/>
      </c>
      <c r="T547" s="237" t="str">
        <f t="shared" si="156"/>
        <v/>
      </c>
      <c r="U547" s="189"/>
      <c r="V547" s="167"/>
      <c r="W547" s="165"/>
      <c r="X547" s="164"/>
      <c r="Y547" s="164"/>
      <c r="Z547" s="164"/>
      <c r="AA547" s="174"/>
      <c r="AB547" s="164"/>
      <c r="AC547" s="174"/>
      <c r="AD547" s="184"/>
      <c r="AE547" s="190" t="str">
        <f t="shared" si="152"/>
        <v/>
      </c>
      <c r="AF547" s="190" t="str">
        <f t="shared" si="153"/>
        <v/>
      </c>
      <c r="AG547" s="190" t="str">
        <f t="shared" si="142"/>
        <v>D</v>
      </c>
      <c r="AH547" s="190">
        <f>IFERROR(VLOOKUP(Y547,SISP_Deflatores_e_INMs!B$4:F$49,3,FALSE),1)</f>
        <v>1</v>
      </c>
      <c r="AI547" s="190">
        <f>IFERROR(VLOOKUP(Y547,SISP_Deflatores_e_INMs!B$4:G$49,5,FALSE),1)</f>
        <v>1</v>
      </c>
      <c r="AJ547" s="191" t="str">
        <f t="shared" si="154"/>
        <v/>
      </c>
      <c r="AK547" s="237" t="str">
        <f t="shared" si="143"/>
        <v/>
      </c>
      <c r="AL547" s="237" t="str">
        <f t="shared" si="155"/>
        <v/>
      </c>
      <c r="AM547" s="192" t="e">
        <f t="shared" si="144"/>
        <v>#VALUE!</v>
      </c>
      <c r="AN547" s="193" t="e">
        <f t="shared" si="145"/>
        <v>#VALUE!</v>
      </c>
      <c r="AO547" s="193" t="e">
        <f t="shared" si="146"/>
        <v>#VALUE!</v>
      </c>
      <c r="AP547" s="193"/>
      <c r="AQ547" s="204"/>
      <c r="AR547" s="204"/>
      <c r="AS547" s="204"/>
      <c r="AT547" s="205"/>
      <c r="AU547"/>
    </row>
    <row r="548" spans="2:47" ht="15" customHeight="1" x14ac:dyDescent="0.25">
      <c r="B548" s="206"/>
      <c r="C548" s="185"/>
      <c r="D548" s="164"/>
      <c r="E548" s="174"/>
      <c r="F548" s="164"/>
      <c r="G548" s="174"/>
      <c r="H548" s="164"/>
      <c r="I548" s="174"/>
      <c r="J548" s="184"/>
      <c r="K548" s="186"/>
      <c r="L548" s="187" t="str">
        <f t="shared" si="147"/>
        <v/>
      </c>
      <c r="M548" s="187" t="str">
        <f t="shared" si="148"/>
        <v/>
      </c>
      <c r="N548" s="187" t="str">
        <f t="shared" si="140"/>
        <v>D</v>
      </c>
      <c r="O548" s="187" t="str">
        <f t="shared" si="149"/>
        <v>D</v>
      </c>
      <c r="P548" s="187">
        <f t="shared" si="150"/>
        <v>1</v>
      </c>
      <c r="Q548" s="187">
        <f>IFERROR(VLOOKUP(E548,Tabela_Deflator:E$43,5,FALSE),1)</f>
        <v>1</v>
      </c>
      <c r="R548" s="188" t="str">
        <f t="shared" si="151"/>
        <v/>
      </c>
      <c r="S548" s="237" t="str">
        <f t="shared" si="141"/>
        <v/>
      </c>
      <c r="T548" s="237" t="str">
        <f t="shared" si="156"/>
        <v/>
      </c>
      <c r="U548" s="189"/>
      <c r="V548" s="167"/>
      <c r="W548" s="165"/>
      <c r="X548" s="164"/>
      <c r="Y548" s="164"/>
      <c r="Z548" s="164"/>
      <c r="AA548" s="174"/>
      <c r="AB548" s="164"/>
      <c r="AC548" s="174"/>
      <c r="AD548" s="184"/>
      <c r="AE548" s="190" t="str">
        <f t="shared" si="152"/>
        <v/>
      </c>
      <c r="AF548" s="190" t="str">
        <f t="shared" si="153"/>
        <v/>
      </c>
      <c r="AG548" s="190" t="str">
        <f t="shared" si="142"/>
        <v>D</v>
      </c>
      <c r="AH548" s="190">
        <f>IFERROR(VLOOKUP(Y548,SISP_Deflatores_e_INMs!B$4:F$49,3,FALSE),1)</f>
        <v>1</v>
      </c>
      <c r="AI548" s="190">
        <f>IFERROR(VLOOKUP(Y548,SISP_Deflatores_e_INMs!B$4:G$49,5,FALSE),1)</f>
        <v>1</v>
      </c>
      <c r="AJ548" s="191" t="str">
        <f t="shared" si="154"/>
        <v/>
      </c>
      <c r="AK548" s="237" t="str">
        <f t="shared" si="143"/>
        <v/>
      </c>
      <c r="AL548" s="237" t="str">
        <f t="shared" si="155"/>
        <v/>
      </c>
      <c r="AM548" s="192" t="e">
        <f t="shared" si="144"/>
        <v>#VALUE!</v>
      </c>
      <c r="AN548" s="193" t="e">
        <f t="shared" si="145"/>
        <v>#VALUE!</v>
      </c>
      <c r="AO548" s="193" t="e">
        <f t="shared" si="146"/>
        <v>#VALUE!</v>
      </c>
      <c r="AP548" s="193"/>
      <c r="AQ548" s="204"/>
      <c r="AR548" s="204"/>
      <c r="AS548" s="204"/>
      <c r="AT548" s="205"/>
      <c r="AU548"/>
    </row>
    <row r="549" spans="2:47" ht="15" customHeight="1" x14ac:dyDescent="0.25">
      <c r="B549" s="206"/>
      <c r="C549" s="185"/>
      <c r="D549" s="164"/>
      <c r="E549" s="174"/>
      <c r="F549" s="164"/>
      <c r="G549" s="174"/>
      <c r="H549" s="164"/>
      <c r="I549" s="174"/>
      <c r="J549" s="184"/>
      <c r="K549" s="186"/>
      <c r="L549" s="187" t="str">
        <f t="shared" si="147"/>
        <v/>
      </c>
      <c r="M549" s="187" t="str">
        <f t="shared" si="148"/>
        <v/>
      </c>
      <c r="N549" s="187" t="str">
        <f t="shared" si="140"/>
        <v>D</v>
      </c>
      <c r="O549" s="187" t="str">
        <f t="shared" si="149"/>
        <v>D</v>
      </c>
      <c r="P549" s="187">
        <f t="shared" si="150"/>
        <v>1</v>
      </c>
      <c r="Q549" s="187">
        <f>IFERROR(VLOOKUP(E549,Tabela_Deflator:E$43,5,FALSE),1)</f>
        <v>1</v>
      </c>
      <c r="R549" s="188" t="str">
        <f t="shared" si="151"/>
        <v/>
      </c>
      <c r="S549" s="237" t="str">
        <f t="shared" si="141"/>
        <v/>
      </c>
      <c r="T549" s="237" t="str">
        <f t="shared" si="156"/>
        <v/>
      </c>
      <c r="U549" s="189"/>
      <c r="V549" s="167"/>
      <c r="W549" s="165"/>
      <c r="X549" s="164"/>
      <c r="Y549" s="164"/>
      <c r="Z549" s="164"/>
      <c r="AA549" s="174"/>
      <c r="AB549" s="164"/>
      <c r="AC549" s="174"/>
      <c r="AD549" s="184"/>
      <c r="AE549" s="190" t="str">
        <f t="shared" si="152"/>
        <v/>
      </c>
      <c r="AF549" s="190" t="str">
        <f t="shared" si="153"/>
        <v/>
      </c>
      <c r="AG549" s="190" t="str">
        <f t="shared" si="142"/>
        <v>D</v>
      </c>
      <c r="AH549" s="190">
        <f>IFERROR(VLOOKUP(Y549,SISP_Deflatores_e_INMs!B$4:F$49,3,FALSE),1)</f>
        <v>1</v>
      </c>
      <c r="AI549" s="190">
        <f>IFERROR(VLOOKUP(Y549,SISP_Deflatores_e_INMs!B$4:G$49,5,FALSE),1)</f>
        <v>1</v>
      </c>
      <c r="AJ549" s="191" t="str">
        <f t="shared" si="154"/>
        <v/>
      </c>
      <c r="AK549" s="237" t="str">
        <f t="shared" si="143"/>
        <v/>
      </c>
      <c r="AL549" s="237" t="str">
        <f t="shared" si="155"/>
        <v/>
      </c>
      <c r="AM549" s="192" t="e">
        <f t="shared" si="144"/>
        <v>#VALUE!</v>
      </c>
      <c r="AN549" s="193" t="e">
        <f t="shared" si="145"/>
        <v>#VALUE!</v>
      </c>
      <c r="AO549" s="193" t="e">
        <f t="shared" si="146"/>
        <v>#VALUE!</v>
      </c>
      <c r="AP549" s="193"/>
      <c r="AQ549" s="204"/>
      <c r="AR549" s="204"/>
      <c r="AS549" s="204"/>
      <c r="AT549" s="205"/>
      <c r="AU549"/>
    </row>
    <row r="550" spans="2:47" ht="15" customHeight="1" x14ac:dyDescent="0.25">
      <c r="B550" s="206"/>
      <c r="C550" s="185"/>
      <c r="D550" s="164"/>
      <c r="E550" s="174"/>
      <c r="F550" s="164"/>
      <c r="G550" s="174"/>
      <c r="H550" s="164"/>
      <c r="I550" s="174"/>
      <c r="J550" s="184"/>
      <c r="K550" s="186"/>
      <c r="L550" s="187" t="str">
        <f t="shared" si="147"/>
        <v/>
      </c>
      <c r="M550" s="187" t="str">
        <f t="shared" si="148"/>
        <v/>
      </c>
      <c r="N550" s="187" t="str">
        <f t="shared" si="140"/>
        <v>D</v>
      </c>
      <c r="O550" s="187" t="str">
        <f t="shared" si="149"/>
        <v>D</v>
      </c>
      <c r="P550" s="187">
        <f t="shared" si="150"/>
        <v>1</v>
      </c>
      <c r="Q550" s="187">
        <f>IFERROR(VLOOKUP(E550,Tabela_Deflator:E$43,5,FALSE),1)</f>
        <v>1</v>
      </c>
      <c r="R550" s="188" t="str">
        <f t="shared" si="151"/>
        <v/>
      </c>
      <c r="S550" s="237" t="str">
        <f t="shared" si="141"/>
        <v/>
      </c>
      <c r="T550" s="237" t="str">
        <f t="shared" si="156"/>
        <v/>
      </c>
      <c r="U550" s="189"/>
      <c r="V550" s="167"/>
      <c r="W550" s="165"/>
      <c r="X550" s="164"/>
      <c r="Y550" s="164"/>
      <c r="Z550" s="164"/>
      <c r="AA550" s="174"/>
      <c r="AB550" s="164"/>
      <c r="AC550" s="174"/>
      <c r="AD550" s="184"/>
      <c r="AE550" s="190" t="str">
        <f t="shared" si="152"/>
        <v/>
      </c>
      <c r="AF550" s="190" t="str">
        <f t="shared" si="153"/>
        <v/>
      </c>
      <c r="AG550" s="190" t="str">
        <f t="shared" si="142"/>
        <v>D</v>
      </c>
      <c r="AH550" s="190">
        <f>IFERROR(VLOOKUP(Y550,SISP_Deflatores_e_INMs!B$4:F$49,3,FALSE),1)</f>
        <v>1</v>
      </c>
      <c r="AI550" s="190">
        <f>IFERROR(VLOOKUP(Y550,SISP_Deflatores_e_INMs!B$4:G$49,5,FALSE),1)</f>
        <v>1</v>
      </c>
      <c r="AJ550" s="191" t="str">
        <f t="shared" si="154"/>
        <v/>
      </c>
      <c r="AK550" s="237" t="str">
        <f t="shared" si="143"/>
        <v/>
      </c>
      <c r="AL550" s="237" t="str">
        <f t="shared" si="155"/>
        <v/>
      </c>
      <c r="AM550" s="192" t="e">
        <f t="shared" si="144"/>
        <v>#VALUE!</v>
      </c>
      <c r="AN550" s="193" t="e">
        <f t="shared" si="145"/>
        <v>#VALUE!</v>
      </c>
      <c r="AO550" s="193" t="e">
        <f t="shared" si="146"/>
        <v>#VALUE!</v>
      </c>
      <c r="AP550" s="193"/>
      <c r="AQ550" s="204"/>
      <c r="AR550" s="204"/>
      <c r="AS550" s="204"/>
      <c r="AT550" s="205"/>
      <c r="AU550"/>
    </row>
    <row r="551" spans="2:47" ht="15" customHeight="1" x14ac:dyDescent="0.25">
      <c r="B551" s="206"/>
      <c r="C551" s="185"/>
      <c r="D551" s="164"/>
      <c r="E551" s="174"/>
      <c r="F551" s="164"/>
      <c r="G551" s="174"/>
      <c r="H551" s="164"/>
      <c r="I551" s="174"/>
      <c r="J551" s="184"/>
      <c r="K551" s="186"/>
      <c r="L551" s="187" t="str">
        <f t="shared" si="147"/>
        <v/>
      </c>
      <c r="M551" s="187" t="str">
        <f t="shared" si="148"/>
        <v/>
      </c>
      <c r="N551" s="187" t="str">
        <f t="shared" si="140"/>
        <v>D</v>
      </c>
      <c r="O551" s="187" t="str">
        <f t="shared" si="149"/>
        <v>D</v>
      </c>
      <c r="P551" s="187">
        <f t="shared" si="150"/>
        <v>1</v>
      </c>
      <c r="Q551" s="187">
        <f>IFERROR(VLOOKUP(E551,Tabela_Deflator:E$43,5,FALSE),1)</f>
        <v>1</v>
      </c>
      <c r="R551" s="188" t="str">
        <f t="shared" si="151"/>
        <v/>
      </c>
      <c r="S551" s="237" t="str">
        <f t="shared" si="141"/>
        <v/>
      </c>
      <c r="T551" s="237" t="str">
        <f t="shared" si="156"/>
        <v/>
      </c>
      <c r="U551" s="189"/>
      <c r="V551" s="167"/>
      <c r="W551" s="165"/>
      <c r="X551" s="164"/>
      <c r="Y551" s="164"/>
      <c r="Z551" s="164"/>
      <c r="AA551" s="174"/>
      <c r="AB551" s="164"/>
      <c r="AC551" s="174"/>
      <c r="AD551" s="184"/>
      <c r="AE551" s="190" t="str">
        <f t="shared" si="152"/>
        <v/>
      </c>
      <c r="AF551" s="190" t="str">
        <f t="shared" si="153"/>
        <v/>
      </c>
      <c r="AG551" s="190" t="str">
        <f t="shared" si="142"/>
        <v>D</v>
      </c>
      <c r="AH551" s="190">
        <f>IFERROR(VLOOKUP(Y551,SISP_Deflatores_e_INMs!B$4:F$49,3,FALSE),1)</f>
        <v>1</v>
      </c>
      <c r="AI551" s="190">
        <f>IFERROR(VLOOKUP(Y551,SISP_Deflatores_e_INMs!B$4:G$49,5,FALSE),1)</f>
        <v>1</v>
      </c>
      <c r="AJ551" s="191" t="str">
        <f t="shared" si="154"/>
        <v/>
      </c>
      <c r="AK551" s="237" t="str">
        <f t="shared" si="143"/>
        <v/>
      </c>
      <c r="AL551" s="237" t="str">
        <f t="shared" si="155"/>
        <v/>
      </c>
      <c r="AM551" s="192" t="e">
        <f t="shared" si="144"/>
        <v>#VALUE!</v>
      </c>
      <c r="AN551" s="193" t="e">
        <f t="shared" si="145"/>
        <v>#VALUE!</v>
      </c>
      <c r="AO551" s="193" t="e">
        <f t="shared" si="146"/>
        <v>#VALUE!</v>
      </c>
      <c r="AP551" s="193"/>
      <c r="AQ551" s="204"/>
      <c r="AR551" s="204"/>
      <c r="AS551" s="204"/>
      <c r="AT551" s="205"/>
      <c r="AU551"/>
    </row>
    <row r="552" spans="2:47" ht="15" customHeight="1" x14ac:dyDescent="0.25">
      <c r="B552" s="206"/>
      <c r="C552" s="185"/>
      <c r="D552" s="164"/>
      <c r="E552" s="174"/>
      <c r="F552" s="164"/>
      <c r="G552" s="174"/>
      <c r="H552" s="164"/>
      <c r="I552" s="174"/>
      <c r="J552" s="184"/>
      <c r="K552" s="186"/>
      <c r="L552" s="187" t="str">
        <f t="shared" si="147"/>
        <v/>
      </c>
      <c r="M552" s="187" t="str">
        <f t="shared" si="148"/>
        <v/>
      </c>
      <c r="N552" s="187" t="str">
        <f t="shared" si="140"/>
        <v>D</v>
      </c>
      <c r="O552" s="187" t="str">
        <f t="shared" si="149"/>
        <v>D</v>
      </c>
      <c r="P552" s="187">
        <f t="shared" si="150"/>
        <v>1</v>
      </c>
      <c r="Q552" s="187">
        <f>IFERROR(VLOOKUP(E552,Tabela_Deflator:E$43,5,FALSE),1)</f>
        <v>1</v>
      </c>
      <c r="R552" s="188" t="str">
        <f t="shared" si="151"/>
        <v/>
      </c>
      <c r="S552" s="237" t="str">
        <f t="shared" si="141"/>
        <v/>
      </c>
      <c r="T552" s="237" t="str">
        <f t="shared" si="156"/>
        <v/>
      </c>
      <c r="U552" s="189"/>
      <c r="V552" s="167"/>
      <c r="W552" s="165"/>
      <c r="X552" s="164"/>
      <c r="Y552" s="164"/>
      <c r="Z552" s="164"/>
      <c r="AA552" s="174"/>
      <c r="AB552" s="164"/>
      <c r="AC552" s="174"/>
      <c r="AD552" s="184"/>
      <c r="AE552" s="190" t="str">
        <f t="shared" si="152"/>
        <v/>
      </c>
      <c r="AF552" s="190" t="str">
        <f t="shared" si="153"/>
        <v/>
      </c>
      <c r="AG552" s="190" t="str">
        <f t="shared" si="142"/>
        <v>D</v>
      </c>
      <c r="AH552" s="190">
        <f>IFERROR(VLOOKUP(Y552,SISP_Deflatores_e_INMs!B$4:F$49,3,FALSE),1)</f>
        <v>1</v>
      </c>
      <c r="AI552" s="190">
        <f>IFERROR(VLOOKUP(Y552,SISP_Deflatores_e_INMs!B$4:G$49,5,FALSE),1)</f>
        <v>1</v>
      </c>
      <c r="AJ552" s="191" t="str">
        <f t="shared" si="154"/>
        <v/>
      </c>
      <c r="AK552" s="237" t="str">
        <f t="shared" si="143"/>
        <v/>
      </c>
      <c r="AL552" s="237" t="str">
        <f t="shared" si="155"/>
        <v/>
      </c>
      <c r="AM552" s="192" t="e">
        <f t="shared" si="144"/>
        <v>#VALUE!</v>
      </c>
      <c r="AN552" s="193" t="e">
        <f t="shared" si="145"/>
        <v>#VALUE!</v>
      </c>
      <c r="AO552" s="193" t="e">
        <f t="shared" si="146"/>
        <v>#VALUE!</v>
      </c>
      <c r="AP552" s="193"/>
      <c r="AQ552" s="204"/>
      <c r="AR552" s="204"/>
      <c r="AS552" s="204"/>
      <c r="AT552" s="205"/>
      <c r="AU552"/>
    </row>
    <row r="553" spans="2:47" ht="15" customHeight="1" x14ac:dyDescent="0.25">
      <c r="B553" s="206"/>
      <c r="C553" s="185"/>
      <c r="D553" s="164"/>
      <c r="E553" s="174"/>
      <c r="F553" s="164"/>
      <c r="G553" s="174"/>
      <c r="H553" s="164"/>
      <c r="I553" s="174"/>
      <c r="J553" s="184"/>
      <c r="K553" s="186"/>
      <c r="L553" s="187" t="str">
        <f t="shared" si="147"/>
        <v/>
      </c>
      <c r="M553" s="187" t="str">
        <f t="shared" si="148"/>
        <v/>
      </c>
      <c r="N553" s="187" t="str">
        <f t="shared" si="140"/>
        <v>D</v>
      </c>
      <c r="O553" s="187" t="str">
        <f t="shared" si="149"/>
        <v>D</v>
      </c>
      <c r="P553" s="187">
        <f t="shared" si="150"/>
        <v>1</v>
      </c>
      <c r="Q553" s="187">
        <f>IFERROR(VLOOKUP(E553,Tabela_Deflator:E$43,5,FALSE),1)</f>
        <v>1</v>
      </c>
      <c r="R553" s="188" t="str">
        <f t="shared" si="151"/>
        <v/>
      </c>
      <c r="S553" s="237" t="str">
        <f t="shared" si="141"/>
        <v/>
      </c>
      <c r="T553" s="237" t="str">
        <f t="shared" si="156"/>
        <v/>
      </c>
      <c r="U553" s="189"/>
      <c r="V553" s="167"/>
      <c r="W553" s="165"/>
      <c r="X553" s="164"/>
      <c r="Y553" s="164"/>
      <c r="Z553" s="164"/>
      <c r="AA553" s="174"/>
      <c r="AB553" s="164"/>
      <c r="AC553" s="174"/>
      <c r="AD553" s="184"/>
      <c r="AE553" s="190" t="str">
        <f t="shared" si="152"/>
        <v/>
      </c>
      <c r="AF553" s="190" t="str">
        <f t="shared" si="153"/>
        <v/>
      </c>
      <c r="AG553" s="190" t="str">
        <f t="shared" si="142"/>
        <v>D</v>
      </c>
      <c r="AH553" s="190">
        <f>IFERROR(VLOOKUP(Y553,SISP_Deflatores_e_INMs!B$4:F$49,3,FALSE),1)</f>
        <v>1</v>
      </c>
      <c r="AI553" s="190">
        <f>IFERROR(VLOOKUP(Y553,SISP_Deflatores_e_INMs!B$4:G$49,5,FALSE),1)</f>
        <v>1</v>
      </c>
      <c r="AJ553" s="191" t="str">
        <f t="shared" si="154"/>
        <v/>
      </c>
      <c r="AK553" s="237" t="str">
        <f t="shared" si="143"/>
        <v/>
      </c>
      <c r="AL553" s="237" t="str">
        <f t="shared" si="155"/>
        <v/>
      </c>
      <c r="AM553" s="192" t="e">
        <f t="shared" si="144"/>
        <v>#VALUE!</v>
      </c>
      <c r="AN553" s="193" t="e">
        <f t="shared" si="145"/>
        <v>#VALUE!</v>
      </c>
      <c r="AO553" s="193" t="e">
        <f t="shared" si="146"/>
        <v>#VALUE!</v>
      </c>
      <c r="AP553" s="193"/>
      <c r="AQ553" s="204"/>
      <c r="AR553" s="204"/>
      <c r="AS553" s="204"/>
      <c r="AT553" s="205"/>
      <c r="AU553"/>
    </row>
    <row r="554" spans="2:47" ht="15" customHeight="1" x14ac:dyDescent="0.25">
      <c r="B554" s="206"/>
      <c r="C554" s="185"/>
      <c r="D554" s="164"/>
      <c r="E554" s="174"/>
      <c r="F554" s="164"/>
      <c r="G554" s="174"/>
      <c r="H554" s="164"/>
      <c r="I554" s="174"/>
      <c r="J554" s="184"/>
      <c r="K554" s="186"/>
      <c r="L554" s="187" t="str">
        <f t="shared" si="147"/>
        <v/>
      </c>
      <c r="M554" s="187" t="str">
        <f t="shared" si="148"/>
        <v/>
      </c>
      <c r="N554" s="187" t="str">
        <f t="shared" si="140"/>
        <v>D</v>
      </c>
      <c r="O554" s="187" t="str">
        <f t="shared" si="149"/>
        <v>D</v>
      </c>
      <c r="P554" s="187">
        <f t="shared" si="150"/>
        <v>1</v>
      </c>
      <c r="Q554" s="187">
        <f>IFERROR(VLOOKUP(E554,Tabela_Deflator:E$43,5,FALSE),1)</f>
        <v>1</v>
      </c>
      <c r="R554" s="188" t="str">
        <f t="shared" si="151"/>
        <v/>
      </c>
      <c r="S554" s="237" t="str">
        <f t="shared" si="141"/>
        <v/>
      </c>
      <c r="T554" s="237" t="str">
        <f t="shared" si="156"/>
        <v/>
      </c>
      <c r="U554" s="189"/>
      <c r="V554" s="167"/>
      <c r="W554" s="165"/>
      <c r="X554" s="164"/>
      <c r="Y554" s="164"/>
      <c r="Z554" s="164"/>
      <c r="AA554" s="174"/>
      <c r="AB554" s="164"/>
      <c r="AC554" s="174"/>
      <c r="AD554" s="184"/>
      <c r="AE554" s="190" t="str">
        <f t="shared" si="152"/>
        <v/>
      </c>
      <c r="AF554" s="190" t="str">
        <f t="shared" si="153"/>
        <v/>
      </c>
      <c r="AG554" s="190" t="str">
        <f t="shared" si="142"/>
        <v>D</v>
      </c>
      <c r="AH554" s="190">
        <f>IFERROR(VLOOKUP(Y554,SISP_Deflatores_e_INMs!B$4:F$49,3,FALSE),1)</f>
        <v>1</v>
      </c>
      <c r="AI554" s="190">
        <f>IFERROR(VLOOKUP(Y554,SISP_Deflatores_e_INMs!B$4:G$49,5,FALSE),1)</f>
        <v>1</v>
      </c>
      <c r="AJ554" s="191" t="str">
        <f t="shared" si="154"/>
        <v/>
      </c>
      <c r="AK554" s="237" t="str">
        <f t="shared" si="143"/>
        <v/>
      </c>
      <c r="AL554" s="237" t="str">
        <f t="shared" si="155"/>
        <v/>
      </c>
      <c r="AM554" s="192" t="e">
        <f t="shared" si="144"/>
        <v>#VALUE!</v>
      </c>
      <c r="AN554" s="193" t="e">
        <f t="shared" si="145"/>
        <v>#VALUE!</v>
      </c>
      <c r="AO554" s="193" t="e">
        <f t="shared" si="146"/>
        <v>#VALUE!</v>
      </c>
      <c r="AP554" s="193"/>
      <c r="AQ554" s="204"/>
      <c r="AR554" s="204"/>
      <c r="AS554" s="204"/>
      <c r="AT554" s="205"/>
      <c r="AU554"/>
    </row>
    <row r="555" spans="2:47" ht="15" customHeight="1" x14ac:dyDescent="0.25">
      <c r="B555" s="206"/>
      <c r="C555" s="185"/>
      <c r="D555" s="164"/>
      <c r="E555" s="174"/>
      <c r="F555" s="164"/>
      <c r="G555" s="174"/>
      <c r="H555" s="164"/>
      <c r="I555" s="174"/>
      <c r="J555" s="184"/>
      <c r="K555" s="186"/>
      <c r="L555" s="187" t="str">
        <f t="shared" si="147"/>
        <v/>
      </c>
      <c r="M555" s="187" t="str">
        <f t="shared" si="148"/>
        <v/>
      </c>
      <c r="N555" s="187" t="str">
        <f t="shared" si="140"/>
        <v>D</v>
      </c>
      <c r="O555" s="187" t="str">
        <f t="shared" si="149"/>
        <v>D</v>
      </c>
      <c r="P555" s="187">
        <f t="shared" si="150"/>
        <v>1</v>
      </c>
      <c r="Q555" s="187">
        <f>IFERROR(VLOOKUP(E555,Tabela_Deflator:E$43,5,FALSE),1)</f>
        <v>1</v>
      </c>
      <c r="R555" s="188" t="str">
        <f t="shared" si="151"/>
        <v/>
      </c>
      <c r="S555" s="237" t="str">
        <f t="shared" si="141"/>
        <v/>
      </c>
      <c r="T555" s="237" t="str">
        <f t="shared" si="156"/>
        <v/>
      </c>
      <c r="U555" s="189"/>
      <c r="V555" s="167"/>
      <c r="W555" s="165"/>
      <c r="X555" s="164"/>
      <c r="Y555" s="164"/>
      <c r="Z555" s="164"/>
      <c r="AA555" s="174"/>
      <c r="AB555" s="164"/>
      <c r="AC555" s="174"/>
      <c r="AD555" s="184"/>
      <c r="AE555" s="190" t="str">
        <f t="shared" si="152"/>
        <v/>
      </c>
      <c r="AF555" s="190" t="str">
        <f t="shared" si="153"/>
        <v/>
      </c>
      <c r="AG555" s="190" t="str">
        <f t="shared" si="142"/>
        <v>D</v>
      </c>
      <c r="AH555" s="190">
        <f>IFERROR(VLOOKUP(Y555,SISP_Deflatores_e_INMs!B$4:F$49,3,FALSE),1)</f>
        <v>1</v>
      </c>
      <c r="AI555" s="190">
        <f>IFERROR(VLOOKUP(Y555,SISP_Deflatores_e_INMs!B$4:G$49,5,FALSE),1)</f>
        <v>1</v>
      </c>
      <c r="AJ555" s="191" t="str">
        <f t="shared" si="154"/>
        <v/>
      </c>
      <c r="AK555" s="237" t="str">
        <f t="shared" si="143"/>
        <v/>
      </c>
      <c r="AL555" s="237" t="str">
        <f t="shared" si="155"/>
        <v/>
      </c>
      <c r="AM555" s="192" t="e">
        <f t="shared" si="144"/>
        <v>#VALUE!</v>
      </c>
      <c r="AN555" s="193" t="e">
        <f t="shared" si="145"/>
        <v>#VALUE!</v>
      </c>
      <c r="AO555" s="193" t="e">
        <f t="shared" si="146"/>
        <v>#VALUE!</v>
      </c>
      <c r="AP555" s="193"/>
      <c r="AQ555" s="204"/>
      <c r="AR555" s="204"/>
      <c r="AS555" s="204"/>
      <c r="AT555" s="205"/>
      <c r="AU555"/>
    </row>
    <row r="556" spans="2:47" ht="15" customHeight="1" x14ac:dyDescent="0.25">
      <c r="B556" s="206"/>
      <c r="C556" s="185"/>
      <c r="D556" s="164"/>
      <c r="E556" s="174"/>
      <c r="F556" s="164"/>
      <c r="G556" s="174"/>
      <c r="H556" s="164"/>
      <c r="I556" s="174"/>
      <c r="J556" s="184"/>
      <c r="K556" s="186"/>
      <c r="L556" s="187" t="str">
        <f t="shared" si="147"/>
        <v/>
      </c>
      <c r="M556" s="187" t="str">
        <f t="shared" si="148"/>
        <v/>
      </c>
      <c r="N556" s="187" t="str">
        <f t="shared" si="140"/>
        <v>D</v>
      </c>
      <c r="O556" s="187" t="str">
        <f t="shared" si="149"/>
        <v>D</v>
      </c>
      <c r="P556" s="187">
        <f t="shared" si="150"/>
        <v>1</v>
      </c>
      <c r="Q556" s="187">
        <f>IFERROR(VLOOKUP(E556,Tabela_Deflator:E$43,5,FALSE),1)</f>
        <v>1</v>
      </c>
      <c r="R556" s="188" t="str">
        <f t="shared" si="151"/>
        <v/>
      </c>
      <c r="S556" s="237" t="str">
        <f t="shared" si="141"/>
        <v/>
      </c>
      <c r="T556" s="237" t="str">
        <f t="shared" si="156"/>
        <v/>
      </c>
      <c r="U556" s="189"/>
      <c r="V556" s="167"/>
      <c r="W556" s="165"/>
      <c r="X556" s="164"/>
      <c r="Y556" s="164"/>
      <c r="Z556" s="164"/>
      <c r="AA556" s="174"/>
      <c r="AB556" s="164"/>
      <c r="AC556" s="174"/>
      <c r="AD556" s="184"/>
      <c r="AE556" s="190" t="str">
        <f t="shared" si="152"/>
        <v/>
      </c>
      <c r="AF556" s="190" t="str">
        <f t="shared" si="153"/>
        <v/>
      </c>
      <c r="AG556" s="190" t="str">
        <f t="shared" si="142"/>
        <v>D</v>
      </c>
      <c r="AH556" s="190">
        <f>IFERROR(VLOOKUP(Y556,SISP_Deflatores_e_INMs!B$4:F$49,3,FALSE),1)</f>
        <v>1</v>
      </c>
      <c r="AI556" s="190">
        <f>IFERROR(VLOOKUP(Y556,SISP_Deflatores_e_INMs!B$4:G$49,5,FALSE),1)</f>
        <v>1</v>
      </c>
      <c r="AJ556" s="191" t="str">
        <f t="shared" si="154"/>
        <v/>
      </c>
      <c r="AK556" s="237" t="str">
        <f t="shared" si="143"/>
        <v/>
      </c>
      <c r="AL556" s="237" t="str">
        <f t="shared" si="155"/>
        <v/>
      </c>
      <c r="AM556" s="192" t="e">
        <f t="shared" si="144"/>
        <v>#VALUE!</v>
      </c>
      <c r="AN556" s="193" t="e">
        <f t="shared" si="145"/>
        <v>#VALUE!</v>
      </c>
      <c r="AO556" s="193" t="e">
        <f t="shared" si="146"/>
        <v>#VALUE!</v>
      </c>
      <c r="AP556" s="193"/>
      <c r="AQ556" s="204"/>
      <c r="AR556" s="204"/>
      <c r="AS556" s="204"/>
      <c r="AT556" s="205"/>
      <c r="AU556"/>
    </row>
    <row r="557" spans="2:47" ht="15" customHeight="1" x14ac:dyDescent="0.25">
      <c r="B557" s="206"/>
      <c r="C557" s="185"/>
      <c r="D557" s="164"/>
      <c r="E557" s="174"/>
      <c r="F557" s="164"/>
      <c r="G557" s="174"/>
      <c r="H557" s="164"/>
      <c r="I557" s="174"/>
      <c r="J557" s="184"/>
      <c r="K557" s="186"/>
      <c r="L557" s="187" t="str">
        <f t="shared" si="147"/>
        <v/>
      </c>
      <c r="M557" s="187" t="str">
        <f t="shared" si="148"/>
        <v/>
      </c>
      <c r="N557" s="187" t="str">
        <f t="shared" si="140"/>
        <v>D</v>
      </c>
      <c r="O557" s="187" t="str">
        <f t="shared" si="149"/>
        <v>D</v>
      </c>
      <c r="P557" s="187">
        <f t="shared" si="150"/>
        <v>1</v>
      </c>
      <c r="Q557" s="187">
        <f>IFERROR(VLOOKUP(E557,Tabela_Deflator:E$43,5,FALSE),1)</f>
        <v>1</v>
      </c>
      <c r="R557" s="188" t="str">
        <f t="shared" si="151"/>
        <v/>
      </c>
      <c r="S557" s="237" t="str">
        <f t="shared" si="141"/>
        <v/>
      </c>
      <c r="T557" s="237" t="str">
        <f t="shared" si="156"/>
        <v/>
      </c>
      <c r="U557" s="189"/>
      <c r="V557" s="167"/>
      <c r="W557" s="165"/>
      <c r="X557" s="164"/>
      <c r="Y557" s="164"/>
      <c r="Z557" s="164"/>
      <c r="AA557" s="174"/>
      <c r="AB557" s="164"/>
      <c r="AC557" s="174"/>
      <c r="AD557" s="184"/>
      <c r="AE557" s="190" t="str">
        <f t="shared" si="152"/>
        <v/>
      </c>
      <c r="AF557" s="190" t="str">
        <f t="shared" si="153"/>
        <v/>
      </c>
      <c r="AG557" s="190" t="str">
        <f t="shared" si="142"/>
        <v>D</v>
      </c>
      <c r="AH557" s="190">
        <f>IFERROR(VLOOKUP(Y557,SISP_Deflatores_e_INMs!B$4:F$49,3,FALSE),1)</f>
        <v>1</v>
      </c>
      <c r="AI557" s="190">
        <f>IFERROR(VLOOKUP(Y557,SISP_Deflatores_e_INMs!B$4:G$49,5,FALSE),1)</f>
        <v>1</v>
      </c>
      <c r="AJ557" s="191" t="str">
        <f t="shared" si="154"/>
        <v/>
      </c>
      <c r="AK557" s="237" t="str">
        <f t="shared" si="143"/>
        <v/>
      </c>
      <c r="AL557" s="237" t="str">
        <f t="shared" si="155"/>
        <v/>
      </c>
      <c r="AM557" s="192" t="e">
        <f t="shared" si="144"/>
        <v>#VALUE!</v>
      </c>
      <c r="AN557" s="193" t="e">
        <f t="shared" si="145"/>
        <v>#VALUE!</v>
      </c>
      <c r="AO557" s="193" t="e">
        <f t="shared" si="146"/>
        <v>#VALUE!</v>
      </c>
      <c r="AP557" s="193"/>
      <c r="AQ557" s="204"/>
      <c r="AR557" s="204"/>
      <c r="AS557" s="204"/>
      <c r="AT557" s="205"/>
      <c r="AU557"/>
    </row>
    <row r="558" spans="2:47" ht="15" customHeight="1" x14ac:dyDescent="0.25">
      <c r="B558" s="206"/>
      <c r="C558" s="185"/>
      <c r="D558" s="164"/>
      <c r="E558" s="174"/>
      <c r="F558" s="164"/>
      <c r="G558" s="174"/>
      <c r="H558" s="164"/>
      <c r="I558" s="174"/>
      <c r="J558" s="184"/>
      <c r="K558" s="186"/>
      <c r="L558" s="187" t="str">
        <f t="shared" si="147"/>
        <v/>
      </c>
      <c r="M558" s="187" t="str">
        <f t="shared" si="148"/>
        <v/>
      </c>
      <c r="N558" s="187" t="str">
        <f t="shared" si="140"/>
        <v>D</v>
      </c>
      <c r="O558" s="187" t="str">
        <f t="shared" si="149"/>
        <v>D</v>
      </c>
      <c r="P558" s="187">
        <f t="shared" si="150"/>
        <v>1</v>
      </c>
      <c r="Q558" s="187">
        <f>IFERROR(VLOOKUP(E558,Tabela_Deflator:E$43,5,FALSE),1)</f>
        <v>1</v>
      </c>
      <c r="R558" s="188" t="str">
        <f t="shared" si="151"/>
        <v/>
      </c>
      <c r="S558" s="237" t="str">
        <f t="shared" si="141"/>
        <v/>
      </c>
      <c r="T558" s="237" t="str">
        <f t="shared" si="156"/>
        <v/>
      </c>
      <c r="U558" s="189"/>
      <c r="V558" s="167"/>
      <c r="W558" s="165"/>
      <c r="X558" s="164"/>
      <c r="Y558" s="164"/>
      <c r="Z558" s="164"/>
      <c r="AA558" s="174"/>
      <c r="AB558" s="164"/>
      <c r="AC558" s="174"/>
      <c r="AD558" s="184"/>
      <c r="AE558" s="190" t="str">
        <f t="shared" si="152"/>
        <v/>
      </c>
      <c r="AF558" s="190" t="str">
        <f t="shared" si="153"/>
        <v/>
      </c>
      <c r="AG558" s="190" t="str">
        <f t="shared" si="142"/>
        <v>D</v>
      </c>
      <c r="AH558" s="190">
        <f>IFERROR(VLOOKUP(Y558,SISP_Deflatores_e_INMs!B$4:F$49,3,FALSE),1)</f>
        <v>1</v>
      </c>
      <c r="AI558" s="190">
        <f>IFERROR(VLOOKUP(Y558,SISP_Deflatores_e_INMs!B$4:G$49,5,FALSE),1)</f>
        <v>1</v>
      </c>
      <c r="AJ558" s="191" t="str">
        <f t="shared" si="154"/>
        <v/>
      </c>
      <c r="AK558" s="237" t="str">
        <f t="shared" si="143"/>
        <v/>
      </c>
      <c r="AL558" s="237" t="str">
        <f t="shared" si="155"/>
        <v/>
      </c>
      <c r="AM558" s="192" t="e">
        <f t="shared" si="144"/>
        <v>#VALUE!</v>
      </c>
      <c r="AN558" s="193" t="e">
        <f t="shared" si="145"/>
        <v>#VALUE!</v>
      </c>
      <c r="AO558" s="193" t="e">
        <f t="shared" si="146"/>
        <v>#VALUE!</v>
      </c>
      <c r="AP558" s="193"/>
      <c r="AQ558" s="204"/>
      <c r="AR558" s="204"/>
      <c r="AS558" s="204"/>
      <c r="AT558" s="205"/>
      <c r="AU558"/>
    </row>
    <row r="559" spans="2:47" ht="15" customHeight="1" x14ac:dyDescent="0.25">
      <c r="B559" s="206"/>
      <c r="C559" s="185"/>
      <c r="D559" s="164"/>
      <c r="E559" s="174"/>
      <c r="F559" s="164"/>
      <c r="G559" s="174"/>
      <c r="H559" s="164"/>
      <c r="I559" s="174"/>
      <c r="J559" s="184"/>
      <c r="K559" s="186"/>
      <c r="L559" s="187" t="str">
        <f t="shared" si="147"/>
        <v/>
      </c>
      <c r="M559" s="187" t="str">
        <f t="shared" si="148"/>
        <v/>
      </c>
      <c r="N559" s="187" t="str">
        <f t="shared" si="140"/>
        <v>D</v>
      </c>
      <c r="O559" s="187" t="str">
        <f t="shared" si="149"/>
        <v>D</v>
      </c>
      <c r="P559" s="187">
        <f t="shared" si="150"/>
        <v>1</v>
      </c>
      <c r="Q559" s="187">
        <f>IFERROR(VLOOKUP(E559,Tabela_Deflator:E$43,5,FALSE),1)</f>
        <v>1</v>
      </c>
      <c r="R559" s="188" t="str">
        <f t="shared" si="151"/>
        <v/>
      </c>
      <c r="S559" s="237" t="str">
        <f t="shared" si="141"/>
        <v/>
      </c>
      <c r="T559" s="237" t="str">
        <f t="shared" si="156"/>
        <v/>
      </c>
      <c r="U559" s="189"/>
      <c r="V559" s="167"/>
      <c r="W559" s="165"/>
      <c r="X559" s="164"/>
      <c r="Y559" s="164"/>
      <c r="Z559" s="164"/>
      <c r="AA559" s="174"/>
      <c r="AB559" s="164"/>
      <c r="AC559" s="174"/>
      <c r="AD559" s="184"/>
      <c r="AE559" s="190" t="str">
        <f t="shared" si="152"/>
        <v/>
      </c>
      <c r="AF559" s="190" t="str">
        <f t="shared" si="153"/>
        <v/>
      </c>
      <c r="AG559" s="190" t="str">
        <f t="shared" si="142"/>
        <v>D</v>
      </c>
      <c r="AH559" s="190">
        <f>IFERROR(VLOOKUP(Y559,SISP_Deflatores_e_INMs!B$4:F$49,3,FALSE),1)</f>
        <v>1</v>
      </c>
      <c r="AI559" s="190">
        <f>IFERROR(VLOOKUP(Y559,SISP_Deflatores_e_INMs!B$4:G$49,5,FALSE),1)</f>
        <v>1</v>
      </c>
      <c r="AJ559" s="191" t="str">
        <f t="shared" si="154"/>
        <v/>
      </c>
      <c r="AK559" s="237" t="str">
        <f t="shared" si="143"/>
        <v/>
      </c>
      <c r="AL559" s="237" t="str">
        <f t="shared" si="155"/>
        <v/>
      </c>
      <c r="AM559" s="192" t="e">
        <f t="shared" si="144"/>
        <v>#VALUE!</v>
      </c>
      <c r="AN559" s="193" t="e">
        <f t="shared" si="145"/>
        <v>#VALUE!</v>
      </c>
      <c r="AO559" s="193" t="e">
        <f t="shared" si="146"/>
        <v>#VALUE!</v>
      </c>
      <c r="AP559" s="193"/>
      <c r="AQ559" s="204"/>
      <c r="AR559" s="204"/>
      <c r="AS559" s="204"/>
      <c r="AT559" s="205"/>
      <c r="AU559"/>
    </row>
    <row r="560" spans="2:47" ht="15" customHeight="1" x14ac:dyDescent="0.25">
      <c r="B560" s="206"/>
      <c r="C560" s="185"/>
      <c r="D560" s="164"/>
      <c r="E560" s="174"/>
      <c r="F560" s="164"/>
      <c r="G560" s="174"/>
      <c r="H560" s="164"/>
      <c r="I560" s="174"/>
      <c r="J560" s="184"/>
      <c r="K560" s="186"/>
      <c r="L560" s="187" t="str">
        <f t="shared" si="147"/>
        <v/>
      </c>
      <c r="M560" s="187" t="str">
        <f t="shared" si="148"/>
        <v/>
      </c>
      <c r="N560" s="187" t="str">
        <f t="shared" si="140"/>
        <v>D</v>
      </c>
      <c r="O560" s="187" t="str">
        <f t="shared" si="149"/>
        <v>D</v>
      </c>
      <c r="P560" s="187">
        <f t="shared" si="150"/>
        <v>1</v>
      </c>
      <c r="Q560" s="187">
        <f>IFERROR(VLOOKUP(E560,Tabela_Deflator:E$43,5,FALSE),1)</f>
        <v>1</v>
      </c>
      <c r="R560" s="188" t="str">
        <f t="shared" si="151"/>
        <v/>
      </c>
      <c r="S560" s="237" t="str">
        <f t="shared" si="141"/>
        <v/>
      </c>
      <c r="T560" s="237" t="str">
        <f t="shared" si="156"/>
        <v/>
      </c>
      <c r="U560" s="189"/>
      <c r="V560" s="167"/>
      <c r="W560" s="165"/>
      <c r="X560" s="164"/>
      <c r="Y560" s="164"/>
      <c r="Z560" s="164"/>
      <c r="AA560" s="174"/>
      <c r="AB560" s="164"/>
      <c r="AC560" s="174"/>
      <c r="AD560" s="184"/>
      <c r="AE560" s="190" t="str">
        <f t="shared" si="152"/>
        <v/>
      </c>
      <c r="AF560" s="190" t="str">
        <f t="shared" si="153"/>
        <v/>
      </c>
      <c r="AG560" s="190" t="str">
        <f t="shared" si="142"/>
        <v>D</v>
      </c>
      <c r="AH560" s="190">
        <f>IFERROR(VLOOKUP(Y560,SISP_Deflatores_e_INMs!B$4:F$49,3,FALSE),1)</f>
        <v>1</v>
      </c>
      <c r="AI560" s="190">
        <f>IFERROR(VLOOKUP(Y560,SISP_Deflatores_e_INMs!B$4:G$49,5,FALSE),1)</f>
        <v>1</v>
      </c>
      <c r="AJ560" s="191" t="str">
        <f t="shared" si="154"/>
        <v/>
      </c>
      <c r="AK560" s="237" t="str">
        <f t="shared" si="143"/>
        <v/>
      </c>
      <c r="AL560" s="237" t="str">
        <f t="shared" si="155"/>
        <v/>
      </c>
      <c r="AM560" s="192" t="e">
        <f t="shared" si="144"/>
        <v>#VALUE!</v>
      </c>
      <c r="AN560" s="193" t="e">
        <f t="shared" si="145"/>
        <v>#VALUE!</v>
      </c>
      <c r="AO560" s="193" t="e">
        <f t="shared" si="146"/>
        <v>#VALUE!</v>
      </c>
      <c r="AP560" s="193"/>
      <c r="AQ560" s="204"/>
      <c r="AR560" s="204"/>
      <c r="AS560" s="204"/>
      <c r="AT560" s="205"/>
      <c r="AU560"/>
    </row>
    <row r="561" spans="2:47" ht="15" customHeight="1" x14ac:dyDescent="0.25">
      <c r="B561" s="206"/>
      <c r="C561" s="185"/>
      <c r="D561" s="164"/>
      <c r="E561" s="174"/>
      <c r="F561" s="164"/>
      <c r="G561" s="174"/>
      <c r="H561" s="164"/>
      <c r="I561" s="174"/>
      <c r="J561" s="184"/>
      <c r="K561" s="186"/>
      <c r="L561" s="187" t="str">
        <f t="shared" si="147"/>
        <v/>
      </c>
      <c r="M561" s="187" t="str">
        <f t="shared" si="148"/>
        <v/>
      </c>
      <c r="N561" s="187" t="str">
        <f t="shared" si="140"/>
        <v>D</v>
      </c>
      <c r="O561" s="187" t="str">
        <f t="shared" si="149"/>
        <v>D</v>
      </c>
      <c r="P561" s="187">
        <f t="shared" si="150"/>
        <v>1</v>
      </c>
      <c r="Q561" s="187">
        <f>IFERROR(VLOOKUP(E561,Tabela_Deflator:E$43,5,FALSE),1)</f>
        <v>1</v>
      </c>
      <c r="R561" s="188" t="str">
        <f t="shared" si="151"/>
        <v/>
      </c>
      <c r="S561" s="237" t="str">
        <f t="shared" si="141"/>
        <v/>
      </c>
      <c r="T561" s="237" t="str">
        <f t="shared" si="156"/>
        <v/>
      </c>
      <c r="U561" s="189"/>
      <c r="V561" s="167"/>
      <c r="W561" s="165"/>
      <c r="X561" s="164"/>
      <c r="Y561" s="164"/>
      <c r="Z561" s="164"/>
      <c r="AA561" s="174"/>
      <c r="AB561" s="164"/>
      <c r="AC561" s="174"/>
      <c r="AD561" s="184"/>
      <c r="AE561" s="190" t="str">
        <f t="shared" si="152"/>
        <v/>
      </c>
      <c r="AF561" s="190" t="str">
        <f t="shared" si="153"/>
        <v/>
      </c>
      <c r="AG561" s="190" t="str">
        <f t="shared" si="142"/>
        <v>D</v>
      </c>
      <c r="AH561" s="190">
        <f>IFERROR(VLOOKUP(Y561,SISP_Deflatores_e_INMs!B$4:F$49,3,FALSE),1)</f>
        <v>1</v>
      </c>
      <c r="AI561" s="190">
        <f>IFERROR(VLOOKUP(Y561,SISP_Deflatores_e_INMs!B$4:G$49,5,FALSE),1)</f>
        <v>1</v>
      </c>
      <c r="AJ561" s="191" t="str">
        <f t="shared" si="154"/>
        <v/>
      </c>
      <c r="AK561" s="237" t="str">
        <f t="shared" si="143"/>
        <v/>
      </c>
      <c r="AL561" s="237" t="str">
        <f t="shared" si="155"/>
        <v/>
      </c>
      <c r="AM561" s="192" t="e">
        <f t="shared" si="144"/>
        <v>#VALUE!</v>
      </c>
      <c r="AN561" s="193" t="e">
        <f t="shared" si="145"/>
        <v>#VALUE!</v>
      </c>
      <c r="AO561" s="193" t="e">
        <f t="shared" si="146"/>
        <v>#VALUE!</v>
      </c>
      <c r="AP561" s="193"/>
      <c r="AQ561" s="204"/>
      <c r="AR561" s="204"/>
      <c r="AS561" s="204"/>
      <c r="AT561" s="205"/>
      <c r="AU561"/>
    </row>
    <row r="562" spans="2:47" ht="15" customHeight="1" x14ac:dyDescent="0.25">
      <c r="B562" s="206"/>
      <c r="C562" s="185"/>
      <c r="D562" s="164"/>
      <c r="E562" s="174"/>
      <c r="F562" s="164"/>
      <c r="G562" s="174"/>
      <c r="H562" s="164"/>
      <c r="I562" s="174"/>
      <c r="J562" s="184"/>
      <c r="K562" s="186"/>
      <c r="L562" s="187" t="str">
        <f t="shared" si="147"/>
        <v/>
      </c>
      <c r="M562" s="187" t="str">
        <f t="shared" si="148"/>
        <v/>
      </c>
      <c r="N562" s="187" t="str">
        <f t="shared" si="140"/>
        <v>D</v>
      </c>
      <c r="O562" s="187" t="str">
        <f t="shared" si="149"/>
        <v>D</v>
      </c>
      <c r="P562" s="187">
        <f t="shared" si="150"/>
        <v>1</v>
      </c>
      <c r="Q562" s="187">
        <f>IFERROR(VLOOKUP(E562,Tabela_Deflator:E$43,5,FALSE),1)</f>
        <v>1</v>
      </c>
      <c r="R562" s="188" t="str">
        <f t="shared" si="151"/>
        <v/>
      </c>
      <c r="S562" s="237" t="str">
        <f t="shared" si="141"/>
        <v/>
      </c>
      <c r="T562" s="237" t="str">
        <f t="shared" si="156"/>
        <v/>
      </c>
      <c r="U562" s="189"/>
      <c r="V562" s="167"/>
      <c r="W562" s="165"/>
      <c r="X562" s="164"/>
      <c r="Y562" s="164"/>
      <c r="Z562" s="164"/>
      <c r="AA562" s="174"/>
      <c r="AB562" s="164"/>
      <c r="AC562" s="174"/>
      <c r="AD562" s="184"/>
      <c r="AE562" s="190" t="str">
        <f t="shared" si="152"/>
        <v/>
      </c>
      <c r="AF562" s="190" t="str">
        <f t="shared" si="153"/>
        <v/>
      </c>
      <c r="AG562" s="190" t="str">
        <f t="shared" si="142"/>
        <v>D</v>
      </c>
      <c r="AH562" s="190">
        <f>IFERROR(VLOOKUP(Y562,SISP_Deflatores_e_INMs!B$4:F$49,3,FALSE),1)</f>
        <v>1</v>
      </c>
      <c r="AI562" s="190">
        <f>IFERROR(VLOOKUP(Y562,SISP_Deflatores_e_INMs!B$4:G$49,5,FALSE),1)</f>
        <v>1</v>
      </c>
      <c r="AJ562" s="191" t="str">
        <f t="shared" si="154"/>
        <v/>
      </c>
      <c r="AK562" s="237" t="str">
        <f t="shared" si="143"/>
        <v/>
      </c>
      <c r="AL562" s="237" t="str">
        <f t="shared" si="155"/>
        <v/>
      </c>
      <c r="AM562" s="192" t="e">
        <f t="shared" si="144"/>
        <v>#VALUE!</v>
      </c>
      <c r="AN562" s="193" t="e">
        <f t="shared" si="145"/>
        <v>#VALUE!</v>
      </c>
      <c r="AO562" s="193" t="e">
        <f t="shared" si="146"/>
        <v>#VALUE!</v>
      </c>
      <c r="AP562" s="193"/>
      <c r="AQ562" s="204"/>
      <c r="AR562" s="204"/>
      <c r="AS562" s="204"/>
      <c r="AT562" s="205"/>
      <c r="AU562"/>
    </row>
    <row r="563" spans="2:47" ht="15" customHeight="1" x14ac:dyDescent="0.25">
      <c r="B563" s="206"/>
      <c r="C563" s="185"/>
      <c r="D563" s="164"/>
      <c r="E563" s="174"/>
      <c r="F563" s="164"/>
      <c r="G563" s="174"/>
      <c r="H563" s="164"/>
      <c r="I563" s="174"/>
      <c r="J563" s="184"/>
      <c r="K563" s="186"/>
      <c r="L563" s="187" t="str">
        <f t="shared" si="147"/>
        <v/>
      </c>
      <c r="M563" s="187" t="str">
        <f t="shared" si="148"/>
        <v/>
      </c>
      <c r="N563" s="187" t="str">
        <f t="shared" si="140"/>
        <v>D</v>
      </c>
      <c r="O563" s="187" t="str">
        <f t="shared" si="149"/>
        <v>D</v>
      </c>
      <c r="P563" s="187">
        <f t="shared" si="150"/>
        <v>1</v>
      </c>
      <c r="Q563" s="187">
        <f>IFERROR(VLOOKUP(E563,Tabela_Deflator:E$43,5,FALSE),1)</f>
        <v>1</v>
      </c>
      <c r="R563" s="188" t="str">
        <f t="shared" si="151"/>
        <v/>
      </c>
      <c r="S563" s="237" t="str">
        <f t="shared" si="141"/>
        <v/>
      </c>
      <c r="T563" s="237" t="str">
        <f t="shared" si="156"/>
        <v/>
      </c>
      <c r="U563" s="189"/>
      <c r="V563" s="167"/>
      <c r="W563" s="165"/>
      <c r="X563" s="164"/>
      <c r="Y563" s="164"/>
      <c r="Z563" s="164"/>
      <c r="AA563" s="174"/>
      <c r="AB563" s="164"/>
      <c r="AC563" s="174"/>
      <c r="AD563" s="184"/>
      <c r="AE563" s="190" t="str">
        <f t="shared" si="152"/>
        <v/>
      </c>
      <c r="AF563" s="190" t="str">
        <f t="shared" si="153"/>
        <v/>
      </c>
      <c r="AG563" s="190" t="str">
        <f t="shared" si="142"/>
        <v>D</v>
      </c>
      <c r="AH563" s="190">
        <f>IFERROR(VLOOKUP(Y563,SISP_Deflatores_e_INMs!B$4:F$49,3,FALSE),1)</f>
        <v>1</v>
      </c>
      <c r="AI563" s="190">
        <f>IFERROR(VLOOKUP(Y563,SISP_Deflatores_e_INMs!B$4:G$49,5,FALSE),1)</f>
        <v>1</v>
      </c>
      <c r="AJ563" s="191" t="str">
        <f t="shared" si="154"/>
        <v/>
      </c>
      <c r="AK563" s="237" t="str">
        <f t="shared" si="143"/>
        <v/>
      </c>
      <c r="AL563" s="237" t="str">
        <f t="shared" si="155"/>
        <v/>
      </c>
      <c r="AM563" s="192" t="e">
        <f t="shared" si="144"/>
        <v>#VALUE!</v>
      </c>
      <c r="AN563" s="193" t="e">
        <f t="shared" si="145"/>
        <v>#VALUE!</v>
      </c>
      <c r="AO563" s="193" t="e">
        <f t="shared" si="146"/>
        <v>#VALUE!</v>
      </c>
      <c r="AP563" s="193"/>
      <c r="AQ563" s="204"/>
      <c r="AR563" s="204"/>
      <c r="AS563" s="204"/>
      <c r="AT563" s="205"/>
      <c r="AU563"/>
    </row>
    <row r="564" spans="2:47" ht="15" customHeight="1" x14ac:dyDescent="0.25">
      <c r="B564" s="206"/>
      <c r="C564" s="185"/>
      <c r="D564" s="164"/>
      <c r="E564" s="174"/>
      <c r="F564" s="164"/>
      <c r="G564" s="174"/>
      <c r="H564" s="164"/>
      <c r="I564" s="174"/>
      <c r="J564" s="184"/>
      <c r="K564" s="186"/>
      <c r="L564" s="187" t="str">
        <f t="shared" si="147"/>
        <v/>
      </c>
      <c r="M564" s="187" t="str">
        <f t="shared" si="148"/>
        <v/>
      </c>
      <c r="N564" s="187" t="str">
        <f t="shared" si="140"/>
        <v>D</v>
      </c>
      <c r="O564" s="187" t="str">
        <f t="shared" si="149"/>
        <v>D</v>
      </c>
      <c r="P564" s="187">
        <f t="shared" si="150"/>
        <v>1</v>
      </c>
      <c r="Q564" s="187">
        <f>IFERROR(VLOOKUP(E564,Tabela_Deflator:E$43,5,FALSE),1)</f>
        <v>1</v>
      </c>
      <c r="R564" s="188" t="str">
        <f t="shared" si="151"/>
        <v/>
      </c>
      <c r="S564" s="237" t="str">
        <f t="shared" si="141"/>
        <v/>
      </c>
      <c r="T564" s="237" t="str">
        <f t="shared" si="156"/>
        <v/>
      </c>
      <c r="U564" s="189"/>
      <c r="V564" s="167"/>
      <c r="W564" s="165"/>
      <c r="X564" s="164"/>
      <c r="Y564" s="164"/>
      <c r="Z564" s="164"/>
      <c r="AA564" s="174"/>
      <c r="AB564" s="164"/>
      <c r="AC564" s="174"/>
      <c r="AD564" s="184"/>
      <c r="AE564" s="190" t="str">
        <f t="shared" si="152"/>
        <v/>
      </c>
      <c r="AF564" s="190" t="str">
        <f t="shared" si="153"/>
        <v/>
      </c>
      <c r="AG564" s="190" t="str">
        <f t="shared" si="142"/>
        <v>D</v>
      </c>
      <c r="AH564" s="190">
        <f>IFERROR(VLOOKUP(Y564,SISP_Deflatores_e_INMs!B$4:F$49,3,FALSE),1)</f>
        <v>1</v>
      </c>
      <c r="AI564" s="190">
        <f>IFERROR(VLOOKUP(Y564,SISP_Deflatores_e_INMs!B$4:G$49,5,FALSE),1)</f>
        <v>1</v>
      </c>
      <c r="AJ564" s="191" t="str">
        <f t="shared" si="154"/>
        <v/>
      </c>
      <c r="AK564" s="237" t="str">
        <f t="shared" si="143"/>
        <v/>
      </c>
      <c r="AL564" s="237" t="str">
        <f t="shared" si="155"/>
        <v/>
      </c>
      <c r="AM564" s="192" t="e">
        <f t="shared" si="144"/>
        <v>#VALUE!</v>
      </c>
      <c r="AN564" s="193" t="e">
        <f t="shared" si="145"/>
        <v>#VALUE!</v>
      </c>
      <c r="AO564" s="193" t="e">
        <f t="shared" si="146"/>
        <v>#VALUE!</v>
      </c>
      <c r="AP564" s="193"/>
      <c r="AQ564" s="204"/>
      <c r="AR564" s="204"/>
      <c r="AS564" s="204"/>
      <c r="AT564" s="205"/>
      <c r="AU564"/>
    </row>
    <row r="565" spans="2:47" ht="15" customHeight="1" x14ac:dyDescent="0.25">
      <c r="B565" s="206"/>
      <c r="C565" s="185"/>
      <c r="D565" s="164"/>
      <c r="E565" s="174"/>
      <c r="F565" s="164"/>
      <c r="G565" s="174"/>
      <c r="H565" s="164"/>
      <c r="I565" s="174"/>
      <c r="J565" s="184"/>
      <c r="K565" s="186"/>
      <c r="L565" s="187" t="str">
        <f t="shared" si="147"/>
        <v/>
      </c>
      <c r="M565" s="187" t="str">
        <f t="shared" si="148"/>
        <v/>
      </c>
      <c r="N565" s="187" t="str">
        <f t="shared" si="140"/>
        <v>D</v>
      </c>
      <c r="O565" s="187" t="str">
        <f t="shared" si="149"/>
        <v>D</v>
      </c>
      <c r="P565" s="187">
        <f t="shared" si="150"/>
        <v>1</v>
      </c>
      <c r="Q565" s="187">
        <f>IFERROR(VLOOKUP(E565,Tabela_Deflator:E$43,5,FALSE),1)</f>
        <v>1</v>
      </c>
      <c r="R565" s="188" t="str">
        <f t="shared" si="151"/>
        <v/>
      </c>
      <c r="S565" s="237" t="str">
        <f t="shared" si="141"/>
        <v/>
      </c>
      <c r="T565" s="237" t="str">
        <f t="shared" si="156"/>
        <v/>
      </c>
      <c r="U565" s="189"/>
      <c r="V565" s="167"/>
      <c r="W565" s="165"/>
      <c r="X565" s="164"/>
      <c r="Y565" s="164"/>
      <c r="Z565" s="164"/>
      <c r="AA565" s="174"/>
      <c r="AB565" s="164"/>
      <c r="AC565" s="174"/>
      <c r="AD565" s="184"/>
      <c r="AE565" s="190" t="str">
        <f t="shared" si="152"/>
        <v/>
      </c>
      <c r="AF565" s="190" t="str">
        <f t="shared" si="153"/>
        <v/>
      </c>
      <c r="AG565" s="190" t="str">
        <f t="shared" si="142"/>
        <v>D</v>
      </c>
      <c r="AH565" s="190">
        <f>IFERROR(VLOOKUP(Y565,SISP_Deflatores_e_INMs!B$4:F$49,3,FALSE),1)</f>
        <v>1</v>
      </c>
      <c r="AI565" s="190">
        <f>IFERROR(VLOOKUP(Y565,SISP_Deflatores_e_INMs!B$4:G$49,5,FALSE),1)</f>
        <v>1</v>
      </c>
      <c r="AJ565" s="191" t="str">
        <f t="shared" si="154"/>
        <v/>
      </c>
      <c r="AK565" s="237" t="str">
        <f t="shared" si="143"/>
        <v/>
      </c>
      <c r="AL565" s="237" t="str">
        <f t="shared" si="155"/>
        <v/>
      </c>
      <c r="AM565" s="192" t="e">
        <f t="shared" si="144"/>
        <v>#VALUE!</v>
      </c>
      <c r="AN565" s="193" t="e">
        <f t="shared" si="145"/>
        <v>#VALUE!</v>
      </c>
      <c r="AO565" s="193" t="e">
        <f t="shared" si="146"/>
        <v>#VALUE!</v>
      </c>
      <c r="AP565" s="193"/>
      <c r="AQ565" s="204"/>
      <c r="AR565" s="204"/>
      <c r="AS565" s="204"/>
      <c r="AT565" s="205"/>
      <c r="AU565"/>
    </row>
    <row r="566" spans="2:47" ht="15" customHeight="1" x14ac:dyDescent="0.25">
      <c r="B566" s="206"/>
      <c r="C566" s="185"/>
      <c r="D566" s="164"/>
      <c r="E566" s="174"/>
      <c r="F566" s="164"/>
      <c r="G566" s="174"/>
      <c r="H566" s="164"/>
      <c r="I566" s="174"/>
      <c r="J566" s="184"/>
      <c r="K566" s="186"/>
      <c r="L566" s="187" t="str">
        <f t="shared" si="147"/>
        <v/>
      </c>
      <c r="M566" s="187" t="str">
        <f t="shared" si="148"/>
        <v/>
      </c>
      <c r="N566" s="187" t="str">
        <f t="shared" si="140"/>
        <v>D</v>
      </c>
      <c r="O566" s="187" t="str">
        <f t="shared" si="149"/>
        <v>D</v>
      </c>
      <c r="P566" s="187">
        <f t="shared" si="150"/>
        <v>1</v>
      </c>
      <c r="Q566" s="187">
        <f>IFERROR(VLOOKUP(E566,Tabela_Deflator:E$43,5,FALSE),1)</f>
        <v>1</v>
      </c>
      <c r="R566" s="188" t="str">
        <f t="shared" si="151"/>
        <v/>
      </c>
      <c r="S566" s="237" t="str">
        <f t="shared" si="141"/>
        <v/>
      </c>
      <c r="T566" s="237" t="str">
        <f t="shared" si="156"/>
        <v/>
      </c>
      <c r="U566" s="189"/>
      <c r="V566" s="167"/>
      <c r="W566" s="165"/>
      <c r="X566" s="164"/>
      <c r="Y566" s="164"/>
      <c r="Z566" s="164"/>
      <c r="AA566" s="174"/>
      <c r="AB566" s="164"/>
      <c r="AC566" s="174"/>
      <c r="AD566" s="184"/>
      <c r="AE566" s="190" t="str">
        <f t="shared" si="152"/>
        <v/>
      </c>
      <c r="AF566" s="190" t="str">
        <f t="shared" si="153"/>
        <v/>
      </c>
      <c r="AG566" s="190" t="str">
        <f t="shared" si="142"/>
        <v>D</v>
      </c>
      <c r="AH566" s="190">
        <f>IFERROR(VLOOKUP(Y566,SISP_Deflatores_e_INMs!B$4:F$49,3,FALSE),1)</f>
        <v>1</v>
      </c>
      <c r="AI566" s="190">
        <f>IFERROR(VLOOKUP(Y566,SISP_Deflatores_e_INMs!B$4:G$49,5,FALSE),1)</f>
        <v>1</v>
      </c>
      <c r="AJ566" s="191" t="str">
        <f t="shared" si="154"/>
        <v/>
      </c>
      <c r="AK566" s="237" t="str">
        <f t="shared" si="143"/>
        <v/>
      </c>
      <c r="AL566" s="237" t="str">
        <f t="shared" si="155"/>
        <v/>
      </c>
      <c r="AM566" s="192" t="e">
        <f t="shared" si="144"/>
        <v>#VALUE!</v>
      </c>
      <c r="AN566" s="193" t="e">
        <f t="shared" si="145"/>
        <v>#VALUE!</v>
      </c>
      <c r="AO566" s="193" t="e">
        <f t="shared" si="146"/>
        <v>#VALUE!</v>
      </c>
      <c r="AP566" s="193"/>
      <c r="AQ566" s="204"/>
      <c r="AR566" s="204"/>
      <c r="AS566" s="204"/>
      <c r="AT566" s="205"/>
      <c r="AU566"/>
    </row>
    <row r="567" spans="2:47" ht="15" customHeight="1" x14ac:dyDescent="0.25">
      <c r="B567" s="206"/>
      <c r="C567" s="185"/>
      <c r="D567" s="164"/>
      <c r="E567" s="174"/>
      <c r="F567" s="164"/>
      <c r="G567" s="174"/>
      <c r="H567" s="164"/>
      <c r="I567" s="174"/>
      <c r="J567" s="184"/>
      <c r="K567" s="186"/>
      <c r="L567" s="187" t="str">
        <f t="shared" si="147"/>
        <v/>
      </c>
      <c r="M567" s="187" t="str">
        <f t="shared" si="148"/>
        <v/>
      </c>
      <c r="N567" s="187" t="str">
        <f t="shared" si="140"/>
        <v>D</v>
      </c>
      <c r="O567" s="187" t="str">
        <f t="shared" si="149"/>
        <v>D</v>
      </c>
      <c r="P567" s="187">
        <f t="shared" si="150"/>
        <v>1</v>
      </c>
      <c r="Q567" s="187">
        <f>IFERROR(VLOOKUP(E567,Tabela_Deflator:E$43,5,FALSE),1)</f>
        <v>1</v>
      </c>
      <c r="R567" s="188" t="str">
        <f t="shared" si="151"/>
        <v/>
      </c>
      <c r="S567" s="237" t="str">
        <f t="shared" si="141"/>
        <v/>
      </c>
      <c r="T567" s="237" t="str">
        <f t="shared" si="156"/>
        <v/>
      </c>
      <c r="U567" s="189"/>
      <c r="V567" s="167"/>
      <c r="W567" s="165"/>
      <c r="X567" s="164"/>
      <c r="Y567" s="164"/>
      <c r="Z567" s="164"/>
      <c r="AA567" s="174"/>
      <c r="AB567" s="164"/>
      <c r="AC567" s="174"/>
      <c r="AD567" s="184"/>
      <c r="AE567" s="190" t="str">
        <f t="shared" si="152"/>
        <v/>
      </c>
      <c r="AF567" s="190" t="str">
        <f t="shared" si="153"/>
        <v/>
      </c>
      <c r="AG567" s="190" t="str">
        <f t="shared" si="142"/>
        <v>D</v>
      </c>
      <c r="AH567" s="190">
        <f>IFERROR(VLOOKUP(Y567,SISP_Deflatores_e_INMs!B$4:F$49,3,FALSE),1)</f>
        <v>1</v>
      </c>
      <c r="AI567" s="190">
        <f>IFERROR(VLOOKUP(Y567,SISP_Deflatores_e_INMs!B$4:G$49,5,FALSE),1)</f>
        <v>1</v>
      </c>
      <c r="AJ567" s="191" t="str">
        <f t="shared" si="154"/>
        <v/>
      </c>
      <c r="AK567" s="237" t="str">
        <f t="shared" si="143"/>
        <v/>
      </c>
      <c r="AL567" s="237" t="str">
        <f t="shared" si="155"/>
        <v/>
      </c>
      <c r="AM567" s="192" t="e">
        <f t="shared" si="144"/>
        <v>#VALUE!</v>
      </c>
      <c r="AN567" s="193" t="e">
        <f t="shared" si="145"/>
        <v>#VALUE!</v>
      </c>
      <c r="AO567" s="193" t="e">
        <f t="shared" si="146"/>
        <v>#VALUE!</v>
      </c>
      <c r="AP567" s="193"/>
      <c r="AQ567" s="204"/>
      <c r="AR567" s="204"/>
      <c r="AS567" s="204"/>
      <c r="AT567" s="205"/>
      <c r="AU567"/>
    </row>
    <row r="568" spans="2:47" ht="15" customHeight="1" x14ac:dyDescent="0.25">
      <c r="B568" s="206"/>
      <c r="C568" s="185"/>
      <c r="D568" s="164"/>
      <c r="E568" s="174"/>
      <c r="F568" s="164"/>
      <c r="G568" s="174"/>
      <c r="H568" s="164"/>
      <c r="I568" s="174"/>
      <c r="J568" s="184"/>
      <c r="K568" s="186"/>
      <c r="L568" s="187" t="str">
        <f t="shared" si="147"/>
        <v/>
      </c>
      <c r="M568" s="187" t="str">
        <f t="shared" si="148"/>
        <v/>
      </c>
      <c r="N568" s="187" t="str">
        <f t="shared" si="140"/>
        <v>D</v>
      </c>
      <c r="O568" s="187" t="str">
        <f t="shared" si="149"/>
        <v>D</v>
      </c>
      <c r="P568" s="187">
        <f t="shared" si="150"/>
        <v>1</v>
      </c>
      <c r="Q568" s="187">
        <f>IFERROR(VLOOKUP(E568,Tabela_Deflator:E$43,5,FALSE),1)</f>
        <v>1</v>
      </c>
      <c r="R568" s="188" t="str">
        <f t="shared" si="151"/>
        <v/>
      </c>
      <c r="S568" s="237" t="str">
        <f t="shared" si="141"/>
        <v/>
      </c>
      <c r="T568" s="237" t="str">
        <f t="shared" si="156"/>
        <v/>
      </c>
      <c r="U568" s="189"/>
      <c r="V568" s="167"/>
      <c r="W568" s="165"/>
      <c r="X568" s="164"/>
      <c r="Y568" s="164"/>
      <c r="Z568" s="164"/>
      <c r="AA568" s="174"/>
      <c r="AB568" s="164"/>
      <c r="AC568" s="174"/>
      <c r="AD568" s="184"/>
      <c r="AE568" s="190" t="str">
        <f t="shared" si="152"/>
        <v/>
      </c>
      <c r="AF568" s="190" t="str">
        <f t="shared" si="153"/>
        <v/>
      </c>
      <c r="AG568" s="190" t="str">
        <f t="shared" si="142"/>
        <v>D</v>
      </c>
      <c r="AH568" s="190">
        <f>IFERROR(VLOOKUP(Y568,SISP_Deflatores_e_INMs!B$4:F$49,3,FALSE),1)</f>
        <v>1</v>
      </c>
      <c r="AI568" s="190">
        <f>IFERROR(VLOOKUP(Y568,SISP_Deflatores_e_INMs!B$4:G$49,5,FALSE),1)</f>
        <v>1</v>
      </c>
      <c r="AJ568" s="191" t="str">
        <f t="shared" si="154"/>
        <v/>
      </c>
      <c r="AK568" s="237" t="str">
        <f t="shared" si="143"/>
        <v/>
      </c>
      <c r="AL568" s="237" t="str">
        <f t="shared" si="155"/>
        <v/>
      </c>
      <c r="AM568" s="192" t="e">
        <f t="shared" si="144"/>
        <v>#VALUE!</v>
      </c>
      <c r="AN568" s="193" t="e">
        <f t="shared" si="145"/>
        <v>#VALUE!</v>
      </c>
      <c r="AO568" s="193" t="e">
        <f t="shared" si="146"/>
        <v>#VALUE!</v>
      </c>
      <c r="AP568" s="193"/>
      <c r="AQ568" s="204"/>
      <c r="AR568" s="204"/>
      <c r="AS568" s="204"/>
      <c r="AT568" s="205"/>
      <c r="AU568"/>
    </row>
    <row r="569" spans="2:47" ht="15" customHeight="1" x14ac:dyDescent="0.25">
      <c r="B569" s="206"/>
      <c r="C569" s="185"/>
      <c r="D569" s="164"/>
      <c r="E569" s="174"/>
      <c r="F569" s="164"/>
      <c r="G569" s="174"/>
      <c r="H569" s="164"/>
      <c r="I569" s="174"/>
      <c r="J569" s="184"/>
      <c r="K569" s="186"/>
      <c r="L569" s="187" t="str">
        <f t="shared" si="147"/>
        <v/>
      </c>
      <c r="M569" s="187" t="str">
        <f t="shared" si="148"/>
        <v/>
      </c>
      <c r="N569" s="187" t="str">
        <f t="shared" si="140"/>
        <v>D</v>
      </c>
      <c r="O569" s="187" t="str">
        <f t="shared" si="149"/>
        <v>D</v>
      </c>
      <c r="P569" s="187">
        <f t="shared" si="150"/>
        <v>1</v>
      </c>
      <c r="Q569" s="187">
        <f>IFERROR(VLOOKUP(E569,Tabela_Deflator:E$43,5,FALSE),1)</f>
        <v>1</v>
      </c>
      <c r="R569" s="188" t="str">
        <f t="shared" si="151"/>
        <v/>
      </c>
      <c r="S569" s="237" t="str">
        <f t="shared" si="141"/>
        <v/>
      </c>
      <c r="T569" s="237" t="str">
        <f t="shared" si="156"/>
        <v/>
      </c>
      <c r="U569" s="189"/>
      <c r="V569" s="167"/>
      <c r="W569" s="165"/>
      <c r="X569" s="164"/>
      <c r="Y569" s="164"/>
      <c r="Z569" s="164"/>
      <c r="AA569" s="174"/>
      <c r="AB569" s="164"/>
      <c r="AC569" s="174"/>
      <c r="AD569" s="184"/>
      <c r="AE569" s="190" t="str">
        <f t="shared" si="152"/>
        <v/>
      </c>
      <c r="AF569" s="190" t="str">
        <f t="shared" si="153"/>
        <v/>
      </c>
      <c r="AG569" s="190" t="str">
        <f t="shared" si="142"/>
        <v>D</v>
      </c>
      <c r="AH569" s="190">
        <f>IFERROR(VLOOKUP(Y569,SISP_Deflatores_e_INMs!B$4:F$49,3,FALSE),1)</f>
        <v>1</v>
      </c>
      <c r="AI569" s="190">
        <f>IFERROR(VLOOKUP(Y569,SISP_Deflatores_e_INMs!B$4:G$49,5,FALSE),1)</f>
        <v>1</v>
      </c>
      <c r="AJ569" s="191" t="str">
        <f t="shared" si="154"/>
        <v/>
      </c>
      <c r="AK569" s="237" t="str">
        <f t="shared" si="143"/>
        <v/>
      </c>
      <c r="AL569" s="237" t="str">
        <f t="shared" si="155"/>
        <v/>
      </c>
      <c r="AM569" s="192" t="e">
        <f t="shared" si="144"/>
        <v>#VALUE!</v>
      </c>
      <c r="AN569" s="193" t="e">
        <f t="shared" si="145"/>
        <v>#VALUE!</v>
      </c>
      <c r="AO569" s="193" t="e">
        <f t="shared" si="146"/>
        <v>#VALUE!</v>
      </c>
      <c r="AP569" s="193"/>
      <c r="AQ569" s="204"/>
      <c r="AR569" s="204"/>
      <c r="AS569" s="204"/>
      <c r="AT569" s="205"/>
      <c r="AU569"/>
    </row>
    <row r="570" spans="2:47" ht="15" customHeight="1" x14ac:dyDescent="0.25">
      <c r="B570" s="206"/>
      <c r="C570" s="185"/>
      <c r="D570" s="164"/>
      <c r="E570" s="174"/>
      <c r="F570" s="164"/>
      <c r="G570" s="174"/>
      <c r="H570" s="164"/>
      <c r="I570" s="174"/>
      <c r="J570" s="184"/>
      <c r="K570" s="186"/>
      <c r="L570" s="187" t="str">
        <f t="shared" si="147"/>
        <v/>
      </c>
      <c r="M570" s="187" t="str">
        <f t="shared" si="148"/>
        <v/>
      </c>
      <c r="N570" s="187" t="str">
        <f t="shared" si="140"/>
        <v>D</v>
      </c>
      <c r="O570" s="187" t="str">
        <f t="shared" si="149"/>
        <v>D</v>
      </c>
      <c r="P570" s="187">
        <f t="shared" si="150"/>
        <v>1</v>
      </c>
      <c r="Q570" s="187">
        <f>IFERROR(VLOOKUP(E570,Tabela_Deflator:E$43,5,FALSE),1)</f>
        <v>1</v>
      </c>
      <c r="R570" s="188" t="str">
        <f t="shared" si="151"/>
        <v/>
      </c>
      <c r="S570" s="237" t="str">
        <f t="shared" si="141"/>
        <v/>
      </c>
      <c r="T570" s="237" t="str">
        <f t="shared" si="156"/>
        <v/>
      </c>
      <c r="U570" s="189"/>
      <c r="V570" s="167"/>
      <c r="W570" s="165"/>
      <c r="X570" s="164"/>
      <c r="Y570" s="164"/>
      <c r="Z570" s="164"/>
      <c r="AA570" s="174"/>
      <c r="AB570" s="164"/>
      <c r="AC570" s="174"/>
      <c r="AD570" s="184"/>
      <c r="AE570" s="190" t="str">
        <f t="shared" si="152"/>
        <v/>
      </c>
      <c r="AF570" s="190" t="str">
        <f t="shared" si="153"/>
        <v/>
      </c>
      <c r="AG570" s="190" t="str">
        <f t="shared" si="142"/>
        <v>D</v>
      </c>
      <c r="AH570" s="190">
        <f>IFERROR(VLOOKUP(Y570,SISP_Deflatores_e_INMs!B$4:F$49,3,FALSE),1)</f>
        <v>1</v>
      </c>
      <c r="AI570" s="190">
        <f>IFERROR(VLOOKUP(Y570,SISP_Deflatores_e_INMs!B$4:G$49,5,FALSE),1)</f>
        <v>1</v>
      </c>
      <c r="AJ570" s="191" t="str">
        <f t="shared" si="154"/>
        <v/>
      </c>
      <c r="AK570" s="237" t="str">
        <f t="shared" si="143"/>
        <v/>
      </c>
      <c r="AL570" s="237" t="str">
        <f t="shared" si="155"/>
        <v/>
      </c>
      <c r="AM570" s="192" t="e">
        <f t="shared" si="144"/>
        <v>#VALUE!</v>
      </c>
      <c r="AN570" s="193" t="e">
        <f t="shared" si="145"/>
        <v>#VALUE!</v>
      </c>
      <c r="AO570" s="193" t="e">
        <f t="shared" si="146"/>
        <v>#VALUE!</v>
      </c>
      <c r="AP570" s="193"/>
      <c r="AQ570" s="204"/>
      <c r="AR570" s="204"/>
      <c r="AS570" s="204"/>
      <c r="AT570" s="205"/>
      <c r="AU570"/>
    </row>
    <row r="571" spans="2:47" ht="15" customHeight="1" x14ac:dyDescent="0.25">
      <c r="B571" s="206"/>
      <c r="C571" s="185"/>
      <c r="D571" s="164"/>
      <c r="E571" s="174"/>
      <c r="F571" s="164"/>
      <c r="G571" s="174"/>
      <c r="H571" s="164"/>
      <c r="I571" s="174"/>
      <c r="J571" s="184"/>
      <c r="K571" s="186"/>
      <c r="L571" s="187" t="str">
        <f t="shared" si="147"/>
        <v/>
      </c>
      <c r="M571" s="187" t="str">
        <f t="shared" si="148"/>
        <v/>
      </c>
      <c r="N571" s="187" t="str">
        <f t="shared" si="140"/>
        <v>D</v>
      </c>
      <c r="O571" s="187" t="str">
        <f t="shared" si="149"/>
        <v>D</v>
      </c>
      <c r="P571" s="187">
        <f t="shared" si="150"/>
        <v>1</v>
      </c>
      <c r="Q571" s="187">
        <f>IFERROR(VLOOKUP(E571,Tabela_Deflator:E$43,5,FALSE),1)</f>
        <v>1</v>
      </c>
      <c r="R571" s="188" t="str">
        <f t="shared" si="151"/>
        <v/>
      </c>
      <c r="S571" s="237" t="str">
        <f t="shared" si="141"/>
        <v/>
      </c>
      <c r="T571" s="237" t="str">
        <f t="shared" si="156"/>
        <v/>
      </c>
      <c r="U571" s="189"/>
      <c r="V571" s="167"/>
      <c r="W571" s="165"/>
      <c r="X571" s="164"/>
      <c r="Y571" s="164"/>
      <c r="Z571" s="164"/>
      <c r="AA571" s="174"/>
      <c r="AB571" s="164"/>
      <c r="AC571" s="174"/>
      <c r="AD571" s="184"/>
      <c r="AE571" s="190" t="str">
        <f t="shared" si="152"/>
        <v/>
      </c>
      <c r="AF571" s="190" t="str">
        <f t="shared" si="153"/>
        <v/>
      </c>
      <c r="AG571" s="190" t="str">
        <f t="shared" si="142"/>
        <v>D</v>
      </c>
      <c r="AH571" s="190">
        <f>IFERROR(VLOOKUP(Y571,SISP_Deflatores_e_INMs!B$4:F$49,3,FALSE),1)</f>
        <v>1</v>
      </c>
      <c r="AI571" s="190">
        <f>IFERROR(VLOOKUP(Y571,SISP_Deflatores_e_INMs!B$4:G$49,5,FALSE),1)</f>
        <v>1</v>
      </c>
      <c r="AJ571" s="191" t="str">
        <f t="shared" si="154"/>
        <v/>
      </c>
      <c r="AK571" s="237" t="str">
        <f t="shared" si="143"/>
        <v/>
      </c>
      <c r="AL571" s="237" t="str">
        <f t="shared" si="155"/>
        <v/>
      </c>
      <c r="AM571" s="192" t="e">
        <f t="shared" si="144"/>
        <v>#VALUE!</v>
      </c>
      <c r="AN571" s="193" t="e">
        <f t="shared" si="145"/>
        <v>#VALUE!</v>
      </c>
      <c r="AO571" s="193" t="e">
        <f t="shared" si="146"/>
        <v>#VALUE!</v>
      </c>
      <c r="AP571" s="193"/>
      <c r="AQ571" s="204"/>
      <c r="AR571" s="204"/>
      <c r="AS571" s="204"/>
      <c r="AT571" s="205"/>
      <c r="AU571"/>
    </row>
    <row r="572" spans="2:47" ht="15" customHeight="1" x14ac:dyDescent="0.25">
      <c r="B572" s="206"/>
      <c r="C572" s="185"/>
      <c r="D572" s="164"/>
      <c r="E572" s="174"/>
      <c r="F572" s="164"/>
      <c r="G572" s="174"/>
      <c r="H572" s="164"/>
      <c r="I572" s="174"/>
      <c r="J572" s="184"/>
      <c r="K572" s="186"/>
      <c r="L572" s="187" t="str">
        <f t="shared" si="147"/>
        <v/>
      </c>
      <c r="M572" s="187" t="str">
        <f t="shared" si="148"/>
        <v/>
      </c>
      <c r="N572" s="187" t="str">
        <f t="shared" si="140"/>
        <v>D</v>
      </c>
      <c r="O572" s="187" t="str">
        <f t="shared" si="149"/>
        <v>D</v>
      </c>
      <c r="P572" s="187">
        <f t="shared" si="150"/>
        <v>1</v>
      </c>
      <c r="Q572" s="187">
        <f>IFERROR(VLOOKUP(E572,Tabela_Deflator:E$43,5,FALSE),1)</f>
        <v>1</v>
      </c>
      <c r="R572" s="188" t="str">
        <f t="shared" si="151"/>
        <v/>
      </c>
      <c r="S572" s="237" t="str">
        <f t="shared" si="141"/>
        <v/>
      </c>
      <c r="T572" s="237" t="str">
        <f t="shared" si="156"/>
        <v/>
      </c>
      <c r="U572" s="189"/>
      <c r="V572" s="167"/>
      <c r="W572" s="165"/>
      <c r="X572" s="164"/>
      <c r="Y572" s="164"/>
      <c r="Z572" s="164"/>
      <c r="AA572" s="174"/>
      <c r="AB572" s="164"/>
      <c r="AC572" s="174"/>
      <c r="AD572" s="184"/>
      <c r="AE572" s="190" t="str">
        <f t="shared" si="152"/>
        <v/>
      </c>
      <c r="AF572" s="190" t="str">
        <f t="shared" si="153"/>
        <v/>
      </c>
      <c r="AG572" s="190" t="str">
        <f t="shared" si="142"/>
        <v>D</v>
      </c>
      <c r="AH572" s="190">
        <f>IFERROR(VLOOKUP(Y572,SISP_Deflatores_e_INMs!B$4:F$49,3,FALSE),1)</f>
        <v>1</v>
      </c>
      <c r="AI572" s="190">
        <f>IFERROR(VLOOKUP(Y572,SISP_Deflatores_e_INMs!B$4:G$49,5,FALSE),1)</f>
        <v>1</v>
      </c>
      <c r="AJ572" s="191" t="str">
        <f t="shared" si="154"/>
        <v/>
      </c>
      <c r="AK572" s="237" t="str">
        <f t="shared" si="143"/>
        <v/>
      </c>
      <c r="AL572" s="237" t="str">
        <f t="shared" si="155"/>
        <v/>
      </c>
      <c r="AM572" s="192" t="e">
        <f t="shared" si="144"/>
        <v>#VALUE!</v>
      </c>
      <c r="AN572" s="193" t="e">
        <f t="shared" si="145"/>
        <v>#VALUE!</v>
      </c>
      <c r="AO572" s="193" t="e">
        <f t="shared" si="146"/>
        <v>#VALUE!</v>
      </c>
      <c r="AP572" s="193"/>
      <c r="AQ572" s="204"/>
      <c r="AR572" s="204"/>
      <c r="AS572" s="204"/>
      <c r="AT572" s="205"/>
      <c r="AU572"/>
    </row>
    <row r="573" spans="2:47" ht="15" customHeight="1" x14ac:dyDescent="0.25">
      <c r="B573" s="206"/>
      <c r="C573" s="185"/>
      <c r="D573" s="164"/>
      <c r="E573" s="174"/>
      <c r="F573" s="164"/>
      <c r="G573" s="174"/>
      <c r="H573" s="164"/>
      <c r="I573" s="174"/>
      <c r="J573" s="184"/>
      <c r="K573" s="186"/>
      <c r="L573" s="187" t="str">
        <f t="shared" si="147"/>
        <v/>
      </c>
      <c r="M573" s="187" t="str">
        <f t="shared" si="148"/>
        <v/>
      </c>
      <c r="N573" s="187" t="str">
        <f t="shared" si="140"/>
        <v>D</v>
      </c>
      <c r="O573" s="187" t="str">
        <f t="shared" si="149"/>
        <v>D</v>
      </c>
      <c r="P573" s="187">
        <f t="shared" si="150"/>
        <v>1</v>
      </c>
      <c r="Q573" s="187">
        <f>IFERROR(VLOOKUP(E573,Tabela_Deflator:E$43,5,FALSE),1)</f>
        <v>1</v>
      </c>
      <c r="R573" s="188" t="str">
        <f t="shared" si="151"/>
        <v/>
      </c>
      <c r="S573" s="237" t="str">
        <f t="shared" si="141"/>
        <v/>
      </c>
      <c r="T573" s="237" t="str">
        <f t="shared" si="156"/>
        <v/>
      </c>
      <c r="U573" s="189"/>
      <c r="V573" s="167"/>
      <c r="W573" s="165"/>
      <c r="X573" s="164"/>
      <c r="Y573" s="164"/>
      <c r="Z573" s="164"/>
      <c r="AA573" s="174"/>
      <c r="AB573" s="164"/>
      <c r="AC573" s="174"/>
      <c r="AD573" s="184"/>
      <c r="AE573" s="190" t="str">
        <f t="shared" si="152"/>
        <v/>
      </c>
      <c r="AF573" s="190" t="str">
        <f t="shared" si="153"/>
        <v/>
      </c>
      <c r="AG573" s="190" t="str">
        <f t="shared" si="142"/>
        <v>D</v>
      </c>
      <c r="AH573" s="190">
        <f>IFERROR(VLOOKUP(Y573,SISP_Deflatores_e_INMs!B$4:F$49,3,FALSE),1)</f>
        <v>1</v>
      </c>
      <c r="AI573" s="190">
        <f>IFERROR(VLOOKUP(Y573,SISP_Deflatores_e_INMs!B$4:G$49,5,FALSE),1)</f>
        <v>1</v>
      </c>
      <c r="AJ573" s="191" t="str">
        <f t="shared" si="154"/>
        <v/>
      </c>
      <c r="AK573" s="237" t="str">
        <f t="shared" si="143"/>
        <v/>
      </c>
      <c r="AL573" s="237" t="str">
        <f t="shared" si="155"/>
        <v/>
      </c>
      <c r="AM573" s="192" t="e">
        <f t="shared" si="144"/>
        <v>#VALUE!</v>
      </c>
      <c r="AN573" s="193" t="e">
        <f t="shared" si="145"/>
        <v>#VALUE!</v>
      </c>
      <c r="AO573" s="193" t="e">
        <f t="shared" si="146"/>
        <v>#VALUE!</v>
      </c>
      <c r="AP573" s="193"/>
      <c r="AQ573" s="204"/>
      <c r="AR573" s="204"/>
      <c r="AS573" s="204"/>
      <c r="AT573" s="205"/>
      <c r="AU573"/>
    </row>
    <row r="574" spans="2:47" ht="15" customHeight="1" x14ac:dyDescent="0.25">
      <c r="B574" s="206"/>
      <c r="C574" s="185"/>
      <c r="D574" s="164"/>
      <c r="E574" s="174"/>
      <c r="F574" s="164"/>
      <c r="G574" s="174"/>
      <c r="H574" s="164"/>
      <c r="I574" s="174"/>
      <c r="J574" s="184"/>
      <c r="K574" s="186"/>
      <c r="L574" s="187" t="str">
        <f t="shared" si="147"/>
        <v/>
      </c>
      <c r="M574" s="187" t="str">
        <f t="shared" si="148"/>
        <v/>
      </c>
      <c r="N574" s="187" t="str">
        <f t="shared" si="140"/>
        <v>D</v>
      </c>
      <c r="O574" s="187" t="str">
        <f t="shared" si="149"/>
        <v>D</v>
      </c>
      <c r="P574" s="187">
        <f t="shared" si="150"/>
        <v>1</v>
      </c>
      <c r="Q574" s="187">
        <f>IFERROR(VLOOKUP(E574,Tabela_Deflator:E$43,5,FALSE),1)</f>
        <v>1</v>
      </c>
      <c r="R574" s="188" t="str">
        <f t="shared" si="151"/>
        <v/>
      </c>
      <c r="S574" s="237" t="str">
        <f t="shared" si="141"/>
        <v/>
      </c>
      <c r="T574" s="237" t="str">
        <f t="shared" si="156"/>
        <v/>
      </c>
      <c r="U574" s="189"/>
      <c r="V574" s="167"/>
      <c r="W574" s="165"/>
      <c r="X574" s="164"/>
      <c r="Y574" s="164"/>
      <c r="Z574" s="164"/>
      <c r="AA574" s="174"/>
      <c r="AB574" s="164"/>
      <c r="AC574" s="174"/>
      <c r="AD574" s="184"/>
      <c r="AE574" s="190" t="str">
        <f t="shared" si="152"/>
        <v/>
      </c>
      <c r="AF574" s="190" t="str">
        <f t="shared" si="153"/>
        <v/>
      </c>
      <c r="AG574" s="190" t="str">
        <f t="shared" si="142"/>
        <v>D</v>
      </c>
      <c r="AH574" s="190">
        <f>IFERROR(VLOOKUP(Y574,SISP_Deflatores_e_INMs!B$4:F$49,3,FALSE),1)</f>
        <v>1</v>
      </c>
      <c r="AI574" s="190">
        <f>IFERROR(VLOOKUP(Y574,SISP_Deflatores_e_INMs!B$4:G$49,5,FALSE),1)</f>
        <v>1</v>
      </c>
      <c r="AJ574" s="191" t="str">
        <f t="shared" si="154"/>
        <v/>
      </c>
      <c r="AK574" s="237" t="str">
        <f t="shared" si="143"/>
        <v/>
      </c>
      <c r="AL574" s="237" t="str">
        <f t="shared" si="155"/>
        <v/>
      </c>
      <c r="AM574" s="192" t="e">
        <f t="shared" si="144"/>
        <v>#VALUE!</v>
      </c>
      <c r="AN574" s="193" t="e">
        <f t="shared" si="145"/>
        <v>#VALUE!</v>
      </c>
      <c r="AO574" s="193" t="e">
        <f t="shared" si="146"/>
        <v>#VALUE!</v>
      </c>
      <c r="AP574" s="193"/>
      <c r="AQ574" s="204"/>
      <c r="AR574" s="204"/>
      <c r="AS574" s="204"/>
      <c r="AT574" s="205"/>
      <c r="AU574"/>
    </row>
    <row r="575" spans="2:47" ht="15" customHeight="1" x14ac:dyDescent="0.25">
      <c r="B575" s="206"/>
      <c r="C575" s="185"/>
      <c r="D575" s="164"/>
      <c r="E575" s="174"/>
      <c r="F575" s="164"/>
      <c r="G575" s="174"/>
      <c r="H575" s="164"/>
      <c r="I575" s="174"/>
      <c r="J575" s="184"/>
      <c r="K575" s="186"/>
      <c r="L575" s="187" t="str">
        <f t="shared" si="147"/>
        <v/>
      </c>
      <c r="M575" s="187" t="str">
        <f t="shared" si="148"/>
        <v/>
      </c>
      <c r="N575" s="187" t="str">
        <f t="shared" si="140"/>
        <v>D</v>
      </c>
      <c r="O575" s="187" t="str">
        <f t="shared" si="149"/>
        <v>D</v>
      </c>
      <c r="P575" s="187">
        <f t="shared" si="150"/>
        <v>1</v>
      </c>
      <c r="Q575" s="187">
        <f>IFERROR(VLOOKUP(E575,Tabela_Deflator:E$43,5,FALSE),1)</f>
        <v>1</v>
      </c>
      <c r="R575" s="188" t="str">
        <f t="shared" si="151"/>
        <v/>
      </c>
      <c r="S575" s="237" t="str">
        <f t="shared" si="141"/>
        <v/>
      </c>
      <c r="T575" s="237" t="str">
        <f t="shared" si="156"/>
        <v/>
      </c>
      <c r="U575" s="189"/>
      <c r="V575" s="167"/>
      <c r="W575" s="165"/>
      <c r="X575" s="164"/>
      <c r="Y575" s="164"/>
      <c r="Z575" s="164"/>
      <c r="AA575" s="174"/>
      <c r="AB575" s="164"/>
      <c r="AC575" s="174"/>
      <c r="AD575" s="184"/>
      <c r="AE575" s="190" t="str">
        <f t="shared" si="152"/>
        <v/>
      </c>
      <c r="AF575" s="190" t="str">
        <f t="shared" si="153"/>
        <v/>
      </c>
      <c r="AG575" s="190" t="str">
        <f t="shared" si="142"/>
        <v>D</v>
      </c>
      <c r="AH575" s="190">
        <f>IFERROR(VLOOKUP(Y575,SISP_Deflatores_e_INMs!B$4:F$49,3,FALSE),1)</f>
        <v>1</v>
      </c>
      <c r="AI575" s="190">
        <f>IFERROR(VLOOKUP(Y575,SISP_Deflatores_e_INMs!B$4:G$49,5,FALSE),1)</f>
        <v>1</v>
      </c>
      <c r="AJ575" s="191" t="str">
        <f t="shared" si="154"/>
        <v/>
      </c>
      <c r="AK575" s="237" t="str">
        <f t="shared" si="143"/>
        <v/>
      </c>
      <c r="AL575" s="237" t="str">
        <f t="shared" si="155"/>
        <v/>
      </c>
      <c r="AM575" s="192" t="e">
        <f t="shared" si="144"/>
        <v>#VALUE!</v>
      </c>
      <c r="AN575" s="193" t="e">
        <f t="shared" si="145"/>
        <v>#VALUE!</v>
      </c>
      <c r="AO575" s="193" t="e">
        <f t="shared" si="146"/>
        <v>#VALUE!</v>
      </c>
      <c r="AP575" s="193"/>
      <c r="AQ575" s="204"/>
      <c r="AR575" s="204"/>
      <c r="AS575" s="204"/>
      <c r="AT575" s="205"/>
      <c r="AU575"/>
    </row>
    <row r="576" spans="2:47" ht="15" customHeight="1" x14ac:dyDescent="0.25">
      <c r="B576" s="206"/>
      <c r="C576" s="185"/>
      <c r="D576" s="164"/>
      <c r="E576" s="174"/>
      <c r="F576" s="164"/>
      <c r="G576" s="174"/>
      <c r="H576" s="164"/>
      <c r="I576" s="174"/>
      <c r="J576" s="184"/>
      <c r="K576" s="186"/>
      <c r="L576" s="187" t="str">
        <f t="shared" si="147"/>
        <v/>
      </c>
      <c r="M576" s="187" t="str">
        <f t="shared" si="148"/>
        <v/>
      </c>
      <c r="N576" s="187" t="str">
        <f t="shared" si="140"/>
        <v>D</v>
      </c>
      <c r="O576" s="187" t="str">
        <f t="shared" si="149"/>
        <v>D</v>
      </c>
      <c r="P576" s="187">
        <f t="shared" si="150"/>
        <v>1</v>
      </c>
      <c r="Q576" s="187">
        <f>IFERROR(VLOOKUP(E576,Tabela_Deflator:E$43,5,FALSE),1)</f>
        <v>1</v>
      </c>
      <c r="R576" s="188" t="str">
        <f t="shared" si="151"/>
        <v/>
      </c>
      <c r="S576" s="237" t="str">
        <f t="shared" si="141"/>
        <v/>
      </c>
      <c r="T576" s="237" t="str">
        <f t="shared" si="156"/>
        <v/>
      </c>
      <c r="U576" s="189"/>
      <c r="V576" s="167"/>
      <c r="W576" s="165"/>
      <c r="X576" s="164"/>
      <c r="Y576" s="164"/>
      <c r="Z576" s="164"/>
      <c r="AA576" s="174"/>
      <c r="AB576" s="164"/>
      <c r="AC576" s="174"/>
      <c r="AD576" s="184"/>
      <c r="AE576" s="190" t="str">
        <f t="shared" si="152"/>
        <v/>
      </c>
      <c r="AF576" s="190" t="str">
        <f t="shared" si="153"/>
        <v/>
      </c>
      <c r="AG576" s="190" t="str">
        <f t="shared" si="142"/>
        <v>D</v>
      </c>
      <c r="AH576" s="190">
        <f>IFERROR(VLOOKUP(Y576,SISP_Deflatores_e_INMs!B$4:F$49,3,FALSE),1)</f>
        <v>1</v>
      </c>
      <c r="AI576" s="190">
        <f>IFERROR(VLOOKUP(Y576,SISP_Deflatores_e_INMs!B$4:G$49,5,FALSE),1)</f>
        <v>1</v>
      </c>
      <c r="AJ576" s="191" t="str">
        <f t="shared" si="154"/>
        <v/>
      </c>
      <c r="AK576" s="237" t="str">
        <f t="shared" si="143"/>
        <v/>
      </c>
      <c r="AL576" s="237" t="str">
        <f t="shared" si="155"/>
        <v/>
      </c>
      <c r="AM576" s="192" t="e">
        <f t="shared" si="144"/>
        <v>#VALUE!</v>
      </c>
      <c r="AN576" s="193" t="e">
        <f t="shared" si="145"/>
        <v>#VALUE!</v>
      </c>
      <c r="AO576" s="193" t="e">
        <f t="shared" si="146"/>
        <v>#VALUE!</v>
      </c>
      <c r="AP576" s="193"/>
      <c r="AQ576" s="204"/>
      <c r="AR576" s="204"/>
      <c r="AS576" s="204"/>
      <c r="AT576" s="205"/>
      <c r="AU576"/>
    </row>
    <row r="577" spans="2:47" ht="15" customHeight="1" x14ac:dyDescent="0.25">
      <c r="B577" s="206"/>
      <c r="C577" s="185"/>
      <c r="D577" s="164"/>
      <c r="E577" s="174"/>
      <c r="F577" s="164"/>
      <c r="G577" s="174"/>
      <c r="H577" s="164"/>
      <c r="I577" s="174"/>
      <c r="J577" s="184"/>
      <c r="K577" s="186"/>
      <c r="L577" s="187" t="str">
        <f t="shared" si="147"/>
        <v/>
      </c>
      <c r="M577" s="187" t="str">
        <f t="shared" si="148"/>
        <v/>
      </c>
      <c r="N577" s="187" t="str">
        <f t="shared" si="140"/>
        <v>D</v>
      </c>
      <c r="O577" s="187" t="str">
        <f t="shared" si="149"/>
        <v>D</v>
      </c>
      <c r="P577" s="187">
        <f t="shared" si="150"/>
        <v>1</v>
      </c>
      <c r="Q577" s="187">
        <f>IFERROR(VLOOKUP(E577,Tabela_Deflator:E$43,5,FALSE),1)</f>
        <v>1</v>
      </c>
      <c r="R577" s="188" t="str">
        <f t="shared" si="151"/>
        <v/>
      </c>
      <c r="S577" s="237" t="str">
        <f t="shared" si="141"/>
        <v/>
      </c>
      <c r="T577" s="237" t="str">
        <f t="shared" si="156"/>
        <v/>
      </c>
      <c r="U577" s="189"/>
      <c r="V577" s="167"/>
      <c r="W577" s="165"/>
      <c r="X577" s="164"/>
      <c r="Y577" s="164"/>
      <c r="Z577" s="164"/>
      <c r="AA577" s="174"/>
      <c r="AB577" s="164"/>
      <c r="AC577" s="174"/>
      <c r="AD577" s="184"/>
      <c r="AE577" s="190" t="str">
        <f t="shared" si="152"/>
        <v/>
      </c>
      <c r="AF577" s="190" t="str">
        <f t="shared" si="153"/>
        <v/>
      </c>
      <c r="AG577" s="190" t="str">
        <f t="shared" si="142"/>
        <v>D</v>
      </c>
      <c r="AH577" s="190">
        <f>IFERROR(VLOOKUP(Y577,SISP_Deflatores_e_INMs!B$4:F$49,3,FALSE),1)</f>
        <v>1</v>
      </c>
      <c r="AI577" s="190">
        <f>IFERROR(VLOOKUP(Y577,SISP_Deflatores_e_INMs!B$4:G$49,5,FALSE),1)</f>
        <v>1</v>
      </c>
      <c r="AJ577" s="191" t="str">
        <f t="shared" si="154"/>
        <v/>
      </c>
      <c r="AK577" s="237" t="str">
        <f t="shared" si="143"/>
        <v/>
      </c>
      <c r="AL577" s="237" t="str">
        <f t="shared" si="155"/>
        <v/>
      </c>
      <c r="AM577" s="192" t="e">
        <f t="shared" si="144"/>
        <v>#VALUE!</v>
      </c>
      <c r="AN577" s="193" t="e">
        <f t="shared" si="145"/>
        <v>#VALUE!</v>
      </c>
      <c r="AO577" s="193" t="e">
        <f t="shared" si="146"/>
        <v>#VALUE!</v>
      </c>
      <c r="AP577" s="193"/>
      <c r="AQ577" s="204"/>
      <c r="AR577" s="204"/>
      <c r="AS577" s="204"/>
      <c r="AT577" s="205"/>
      <c r="AU577"/>
    </row>
    <row r="578" spans="2:47" ht="15" customHeight="1" x14ac:dyDescent="0.25">
      <c r="B578" s="206"/>
      <c r="C578" s="185"/>
      <c r="D578" s="164"/>
      <c r="E578" s="174"/>
      <c r="F578" s="164"/>
      <c r="G578" s="174"/>
      <c r="H578" s="164"/>
      <c r="I578" s="174"/>
      <c r="J578" s="184"/>
      <c r="K578" s="186"/>
      <c r="L578" s="187" t="str">
        <f t="shared" si="147"/>
        <v/>
      </c>
      <c r="M578" s="187" t="str">
        <f t="shared" si="148"/>
        <v/>
      </c>
      <c r="N578" s="187" t="str">
        <f t="shared" si="140"/>
        <v>D</v>
      </c>
      <c r="O578" s="187" t="str">
        <f t="shared" si="149"/>
        <v>D</v>
      </c>
      <c r="P578" s="187">
        <f t="shared" si="150"/>
        <v>1</v>
      </c>
      <c r="Q578" s="187">
        <f>IFERROR(VLOOKUP(E578,Tabela_Deflator:E$43,5,FALSE),1)</f>
        <v>1</v>
      </c>
      <c r="R578" s="188" t="str">
        <f t="shared" si="151"/>
        <v/>
      </c>
      <c r="S578" s="237" t="str">
        <f t="shared" si="141"/>
        <v/>
      </c>
      <c r="T578" s="237" t="str">
        <f t="shared" si="156"/>
        <v/>
      </c>
      <c r="U578" s="189"/>
      <c r="V578" s="167"/>
      <c r="W578" s="165"/>
      <c r="X578" s="164"/>
      <c r="Y578" s="164"/>
      <c r="Z578" s="164"/>
      <c r="AA578" s="174"/>
      <c r="AB578" s="164"/>
      <c r="AC578" s="174"/>
      <c r="AD578" s="184"/>
      <c r="AE578" s="190" t="str">
        <f t="shared" si="152"/>
        <v/>
      </c>
      <c r="AF578" s="190" t="str">
        <f t="shared" si="153"/>
        <v/>
      </c>
      <c r="AG578" s="190" t="str">
        <f t="shared" si="142"/>
        <v>D</v>
      </c>
      <c r="AH578" s="190">
        <f>IFERROR(VLOOKUP(Y578,SISP_Deflatores_e_INMs!B$4:F$49,3,FALSE),1)</f>
        <v>1</v>
      </c>
      <c r="AI578" s="190">
        <f>IFERROR(VLOOKUP(Y578,SISP_Deflatores_e_INMs!B$4:G$49,5,FALSE),1)</f>
        <v>1</v>
      </c>
      <c r="AJ578" s="191" t="str">
        <f t="shared" si="154"/>
        <v/>
      </c>
      <c r="AK578" s="237" t="str">
        <f t="shared" si="143"/>
        <v/>
      </c>
      <c r="AL578" s="237" t="str">
        <f t="shared" si="155"/>
        <v/>
      </c>
      <c r="AM578" s="192" t="e">
        <f t="shared" si="144"/>
        <v>#VALUE!</v>
      </c>
      <c r="AN578" s="193" t="e">
        <f t="shared" si="145"/>
        <v>#VALUE!</v>
      </c>
      <c r="AO578" s="193" t="e">
        <f t="shared" si="146"/>
        <v>#VALUE!</v>
      </c>
      <c r="AP578" s="193"/>
      <c r="AQ578" s="204"/>
      <c r="AR578" s="204"/>
      <c r="AS578" s="204"/>
      <c r="AT578" s="205"/>
      <c r="AU578"/>
    </row>
    <row r="579" spans="2:47" ht="15" customHeight="1" x14ac:dyDescent="0.25">
      <c r="B579" s="206"/>
      <c r="C579" s="185"/>
      <c r="D579" s="164"/>
      <c r="E579" s="174"/>
      <c r="F579" s="164"/>
      <c r="G579" s="174"/>
      <c r="H579" s="164"/>
      <c r="I579" s="174"/>
      <c r="J579" s="184"/>
      <c r="K579" s="186"/>
      <c r="L579" s="187" t="str">
        <f t="shared" si="147"/>
        <v/>
      </c>
      <c r="M579" s="187" t="str">
        <f t="shared" si="148"/>
        <v/>
      </c>
      <c r="N579" s="187" t="str">
        <f t="shared" si="140"/>
        <v>D</v>
      </c>
      <c r="O579" s="187" t="str">
        <f t="shared" si="149"/>
        <v>D</v>
      </c>
      <c r="P579" s="187">
        <f t="shared" si="150"/>
        <v>1</v>
      </c>
      <c r="Q579" s="187">
        <f>IFERROR(VLOOKUP(E579,Tabela_Deflator:E$43,5,FALSE),1)</f>
        <v>1</v>
      </c>
      <c r="R579" s="188" t="str">
        <f t="shared" si="151"/>
        <v/>
      </c>
      <c r="S579" s="237" t="str">
        <f t="shared" si="141"/>
        <v/>
      </c>
      <c r="T579" s="237" t="str">
        <f t="shared" si="156"/>
        <v/>
      </c>
      <c r="U579" s="189"/>
      <c r="V579" s="167"/>
      <c r="W579" s="165"/>
      <c r="X579" s="164"/>
      <c r="Y579" s="164"/>
      <c r="Z579" s="164"/>
      <c r="AA579" s="174"/>
      <c r="AB579" s="164"/>
      <c r="AC579" s="174"/>
      <c r="AD579" s="184"/>
      <c r="AE579" s="190" t="str">
        <f t="shared" si="152"/>
        <v/>
      </c>
      <c r="AF579" s="190" t="str">
        <f t="shared" si="153"/>
        <v/>
      </c>
      <c r="AG579" s="190" t="str">
        <f t="shared" si="142"/>
        <v>D</v>
      </c>
      <c r="AH579" s="190">
        <f>IFERROR(VLOOKUP(Y579,SISP_Deflatores_e_INMs!B$4:F$49,3,FALSE),1)</f>
        <v>1</v>
      </c>
      <c r="AI579" s="190">
        <f>IFERROR(VLOOKUP(Y579,SISP_Deflatores_e_INMs!B$4:G$49,5,FALSE),1)</f>
        <v>1</v>
      </c>
      <c r="AJ579" s="191" t="str">
        <f t="shared" si="154"/>
        <v/>
      </c>
      <c r="AK579" s="237" t="str">
        <f t="shared" si="143"/>
        <v/>
      </c>
      <c r="AL579" s="237" t="str">
        <f t="shared" si="155"/>
        <v/>
      </c>
      <c r="AM579" s="192" t="e">
        <f t="shared" si="144"/>
        <v>#VALUE!</v>
      </c>
      <c r="AN579" s="193" t="e">
        <f t="shared" si="145"/>
        <v>#VALUE!</v>
      </c>
      <c r="AO579" s="193" t="e">
        <f t="shared" si="146"/>
        <v>#VALUE!</v>
      </c>
      <c r="AP579" s="193"/>
      <c r="AQ579" s="204"/>
      <c r="AR579" s="204"/>
      <c r="AS579" s="204"/>
      <c r="AT579" s="205"/>
      <c r="AU579"/>
    </row>
    <row r="580" spans="2:47" ht="15" customHeight="1" x14ac:dyDescent="0.25">
      <c r="B580" s="206"/>
      <c r="C580" s="185"/>
      <c r="D580" s="164"/>
      <c r="E580" s="174"/>
      <c r="F580" s="164"/>
      <c r="G580" s="174"/>
      <c r="H580" s="164"/>
      <c r="I580" s="174"/>
      <c r="J580" s="184"/>
      <c r="K580" s="186"/>
      <c r="L580" s="187" t="str">
        <f t="shared" si="147"/>
        <v/>
      </c>
      <c r="M580" s="187" t="str">
        <f t="shared" si="148"/>
        <v/>
      </c>
      <c r="N580" s="187" t="str">
        <f t="shared" ref="N580:N643" si="157">IF(Tipo_de_contagem="Contagem Detalhada","D",IF(Tipo_de_contagem="Contagem Estimada","E","S"))</f>
        <v>D</v>
      </c>
      <c r="O580" s="187" t="str">
        <f t="shared" si="149"/>
        <v>D</v>
      </c>
      <c r="P580" s="187">
        <f t="shared" si="150"/>
        <v>1</v>
      </c>
      <c r="Q580" s="187">
        <f>IFERROR(VLOOKUP(E580,Tabela_Deflator:E$43,5,FALSE),1)</f>
        <v>1</v>
      </c>
      <c r="R580" s="188" t="str">
        <f t="shared" si="151"/>
        <v/>
      </c>
      <c r="S580" s="237" t="str">
        <f t="shared" ref="S580:S643" si="158">IF(D580="N/A","",IF(D580="","",IFERROR(IF(D580="INM",P580*J580,VLOOKUP(O580,Tabela_Pontuação,2,FALSE)),0)))</f>
        <v/>
      </c>
      <c r="T580" s="237" t="str">
        <f t="shared" si="156"/>
        <v/>
      </c>
      <c r="U580" s="189"/>
      <c r="V580" s="167"/>
      <c r="W580" s="165"/>
      <c r="X580" s="164"/>
      <c r="Y580" s="164"/>
      <c r="Z580" s="164"/>
      <c r="AA580" s="174"/>
      <c r="AB580" s="164"/>
      <c r="AC580" s="174"/>
      <c r="AD580" s="184"/>
      <c r="AE580" s="190" t="str">
        <f t="shared" si="152"/>
        <v/>
      </c>
      <c r="AF580" s="190" t="str">
        <f t="shared" si="153"/>
        <v/>
      </c>
      <c r="AG580" s="190" t="str">
        <f t="shared" ref="AG580:AG643" si="159">IF(N580="S",X580,CONCATENATE(X580,AE580,N580))</f>
        <v>D</v>
      </c>
      <c r="AH580" s="190">
        <f>IFERROR(VLOOKUP(Y580,SISP_Deflatores_e_INMs!B$4:F$49,3,FALSE),1)</f>
        <v>1</v>
      </c>
      <c r="AI580" s="190">
        <f>IFERROR(VLOOKUP(Y580,SISP_Deflatores_e_INMs!B$4:G$49,5,FALSE),1)</f>
        <v>1</v>
      </c>
      <c r="AJ580" s="191" t="str">
        <f t="shared" si="154"/>
        <v/>
      </c>
      <c r="AK580" s="237" t="str">
        <f t="shared" ref="AK580:AK643" si="160">IFERROR(IF(X580="INM",AH580*AD580,VLOOKUP(AG580,Tabela_Pontuação,2,FALSE)),"")</f>
        <v/>
      </c>
      <c r="AL580" s="237" t="str">
        <f t="shared" si="155"/>
        <v/>
      </c>
      <c r="AM580" s="192" t="e">
        <f t="shared" ref="AM580:AM643" si="161">IF(S580&lt;=0,0,AK580-S580)</f>
        <v>#VALUE!</v>
      </c>
      <c r="AN580" s="193" t="e">
        <f t="shared" ref="AN580:AN643" si="162">AM580/S580</f>
        <v>#VALUE!</v>
      </c>
      <c r="AO580" s="193" t="e">
        <f t="shared" ref="AO580:AO643" si="163">IF(T580&lt;=0,0,AL580-T580)</f>
        <v>#VALUE!</v>
      </c>
      <c r="AP580" s="193"/>
      <c r="AQ580" s="204"/>
      <c r="AR580" s="204"/>
      <c r="AS580" s="204"/>
      <c r="AT580" s="205"/>
      <c r="AU580"/>
    </row>
    <row r="581" spans="2:47" ht="15" customHeight="1" x14ac:dyDescent="0.25">
      <c r="B581" s="206"/>
      <c r="C581" s="185"/>
      <c r="D581" s="164"/>
      <c r="E581" s="174"/>
      <c r="F581" s="164"/>
      <c r="G581" s="174"/>
      <c r="H581" s="164"/>
      <c r="I581" s="174"/>
      <c r="J581" s="184"/>
      <c r="K581" s="186"/>
      <c r="L581" s="187" t="str">
        <f t="shared" ref="L581:L644" si="164">IF(OR(ISBLANK(F581),ISBLANK(H581)),IF(OR(D581="ALI",D581="AIE"),"L",IF(ISBLANK(D581),"","A")),IF(D581="EE",IF(H581&gt;=3,IF(F581&gt;=5,"H","A"),IF(H581&gt;=2,IF(F581&gt;=16,"H",IF(F581&lt;=4,"L","A")),IF(F581&lt;=15,"L","A"))),IF(OR(D581="SE",D581="CE"),IF(H581&gt;=4,IF(F581&gt;=6,"H","A"),IF(H581&gt;=2,IF(F581&gt;=20,"H",IF(F581&lt;=5,"L","A")),IF(F581&lt;=19,"L","A"))),IF(OR(D581="ALI",D581="AIE"),IF(H581&gt;=6,IF(F581&gt;=20,"H","A"),IF(H581&gt;=2,IF(F581&gt;=51,"H",IF(F581&lt;=19,"L","A")),IF(F581&lt;=50,"L","A")))))))</f>
        <v/>
      </c>
      <c r="M581" s="187" t="str">
        <f t="shared" ref="M581:M644" si="165">CONCATENATE(D581,L581)</f>
        <v/>
      </c>
      <c r="N581" s="187" t="str">
        <f t="shared" si="157"/>
        <v>D</v>
      </c>
      <c r="O581" s="187" t="str">
        <f t="shared" ref="O581:O644" si="166">IF(N581="S",D581,CONCATENATE(D581,L581,N581))</f>
        <v>D</v>
      </c>
      <c r="P581" s="187">
        <f t="shared" ref="P581:P644" si="167">IFERROR(VLOOKUP(E581,Tabela_Deflator,3,FALSE),1)</f>
        <v>1</v>
      </c>
      <c r="Q581" s="187">
        <f>IFERROR(VLOOKUP(E581,Tabela_Deflator:E$43,5,FALSE),1)</f>
        <v>1</v>
      </c>
      <c r="R581" s="188" t="str">
        <f t="shared" ref="R581:R644" si="168">IF(OR(D581="INM",D581="N/A"),"",IF(L581="L","Baixa",IF(L581="A","Média",IF(L581="","","Alta"))))</f>
        <v/>
      </c>
      <c r="S581" s="237" t="str">
        <f t="shared" si="158"/>
        <v/>
      </c>
      <c r="T581" s="237" t="str">
        <f t="shared" si="156"/>
        <v/>
      </c>
      <c r="U581" s="189"/>
      <c r="V581" s="167"/>
      <c r="W581" s="165"/>
      <c r="X581" s="164"/>
      <c r="Y581" s="164"/>
      <c r="Z581" s="164"/>
      <c r="AA581" s="174"/>
      <c r="AB581" s="164"/>
      <c r="AC581" s="174"/>
      <c r="AD581" s="184"/>
      <c r="AE581" s="190" t="str">
        <f t="shared" ref="AE581:AE644" si="169">IF(OR(ISBLANK(Z581),ISBLANK(AB581)),IF(OR(X581="ALI",X581="AIE"),"L",IF(ISBLANK(X581),"","A")),IF(X581="EE",IF(AB581&gt;=3,IF(Z581&gt;=5,"H","A"),IF(AB581&gt;=2,IF(Z581&gt;=16,"H",IF(Z581&lt;=4,"L","A")),IF(Z581&lt;=15,"L","A"))),IF(OR(X581="SE",X581="CE"),IF(AB581&gt;=4,IF(Z581&gt;=6,"H","A"),IF(AB581&gt;=2,IF(Z581&gt;=20,"H",IF(Z581&lt;=5,"L","A")),IF(Z581&lt;=19,"L","A"))),IF(OR(X581="ALI",X581="AIE"),IF(AB581&gt;=6,IF(Z581&gt;=20,"H","A"),IF(AB581&gt;=2,IF(Z581&gt;=51,"H",IF(Z581&lt;=19,"L","A")),IF(Z581&lt;=50,"L","A")))))))</f>
        <v/>
      </c>
      <c r="AF581" s="190" t="str">
        <f t="shared" ref="AF581:AF644" si="170">CONCATENATE(X581,AE581)</f>
        <v/>
      </c>
      <c r="AG581" s="190" t="str">
        <f t="shared" si="159"/>
        <v>D</v>
      </c>
      <c r="AH581" s="190">
        <f>IFERROR(VLOOKUP(Y581,SISP_Deflatores_e_INMs!B$4:F$49,3,FALSE),1)</f>
        <v>1</v>
      </c>
      <c r="AI581" s="190">
        <f>IFERROR(VLOOKUP(Y581,SISP_Deflatores_e_INMs!B$4:G$49,5,FALSE),1)</f>
        <v>1</v>
      </c>
      <c r="AJ581" s="191" t="str">
        <f t="shared" ref="AJ581:AJ644" si="171">IF(OR(X581="INM",X581="N/A"),"",IF(AE581="L","Baixa",IF(AE581="A","Média",IF(AE581="","","Alta"))))</f>
        <v/>
      </c>
      <c r="AK581" s="237" t="str">
        <f t="shared" si="160"/>
        <v/>
      </c>
      <c r="AL581" s="237" t="str">
        <f t="shared" ref="AL581:AL644" si="172">IFERROR(IF(OR(ISBLANK(V581),V581="NOK"),"",IF(X581="INM",(1*AH581)*AD581,AK581*AH581)),"")</f>
        <v/>
      </c>
      <c r="AM581" s="192" t="e">
        <f t="shared" si="161"/>
        <v>#VALUE!</v>
      </c>
      <c r="AN581" s="193" t="e">
        <f t="shared" si="162"/>
        <v>#VALUE!</v>
      </c>
      <c r="AO581" s="193" t="e">
        <f t="shared" si="163"/>
        <v>#VALUE!</v>
      </c>
      <c r="AP581" s="193"/>
      <c r="AQ581" s="204"/>
      <c r="AR581" s="204"/>
      <c r="AS581" s="204"/>
      <c r="AT581" s="205"/>
      <c r="AU581"/>
    </row>
    <row r="582" spans="2:47" ht="15" customHeight="1" x14ac:dyDescent="0.25">
      <c r="B582" s="206"/>
      <c r="C582" s="185"/>
      <c r="D582" s="164"/>
      <c r="E582" s="174"/>
      <c r="F582" s="164"/>
      <c r="G582" s="174"/>
      <c r="H582" s="164"/>
      <c r="I582" s="174"/>
      <c r="J582" s="184"/>
      <c r="K582" s="186"/>
      <c r="L582" s="187" t="str">
        <f t="shared" si="164"/>
        <v/>
      </c>
      <c r="M582" s="187" t="str">
        <f t="shared" si="165"/>
        <v/>
      </c>
      <c r="N582" s="187" t="str">
        <f t="shared" si="157"/>
        <v>D</v>
      </c>
      <c r="O582" s="187" t="str">
        <f t="shared" si="166"/>
        <v>D</v>
      </c>
      <c r="P582" s="187">
        <f t="shared" si="167"/>
        <v>1</v>
      </c>
      <c r="Q582" s="187">
        <f>IFERROR(VLOOKUP(E582,Tabela_Deflator:E$43,5,FALSE),1)</f>
        <v>1</v>
      </c>
      <c r="R582" s="188" t="str">
        <f t="shared" si="168"/>
        <v/>
      </c>
      <c r="S582" s="237" t="str">
        <f t="shared" si="158"/>
        <v/>
      </c>
      <c r="T582" s="237" t="str">
        <f t="shared" ref="T582:T645" si="173" xml:space="preserve"> IF(D582="N/A","",IF(D582="","",IF(D582="INM",(1*P582)*J582,S582*P582)))</f>
        <v/>
      </c>
      <c r="U582" s="189"/>
      <c r="V582" s="167"/>
      <c r="W582" s="165"/>
      <c r="X582" s="164"/>
      <c r="Y582" s="164"/>
      <c r="Z582" s="164"/>
      <c r="AA582" s="174"/>
      <c r="AB582" s="164"/>
      <c r="AC582" s="174"/>
      <c r="AD582" s="184"/>
      <c r="AE582" s="190" t="str">
        <f t="shared" si="169"/>
        <v/>
      </c>
      <c r="AF582" s="190" t="str">
        <f t="shared" si="170"/>
        <v/>
      </c>
      <c r="AG582" s="190" t="str">
        <f t="shared" si="159"/>
        <v>D</v>
      </c>
      <c r="AH582" s="190">
        <f>IFERROR(VLOOKUP(Y582,SISP_Deflatores_e_INMs!B$4:F$49,3,FALSE),1)</f>
        <v>1</v>
      </c>
      <c r="AI582" s="190">
        <f>IFERROR(VLOOKUP(Y582,SISP_Deflatores_e_INMs!B$4:G$49,5,FALSE),1)</f>
        <v>1</v>
      </c>
      <c r="AJ582" s="191" t="str">
        <f t="shared" si="171"/>
        <v/>
      </c>
      <c r="AK582" s="237" t="str">
        <f t="shared" si="160"/>
        <v/>
      </c>
      <c r="AL582" s="237" t="str">
        <f t="shared" si="172"/>
        <v/>
      </c>
      <c r="AM582" s="192" t="e">
        <f t="shared" si="161"/>
        <v>#VALUE!</v>
      </c>
      <c r="AN582" s="193" t="e">
        <f t="shared" si="162"/>
        <v>#VALUE!</v>
      </c>
      <c r="AO582" s="193" t="e">
        <f t="shared" si="163"/>
        <v>#VALUE!</v>
      </c>
      <c r="AP582" s="193"/>
      <c r="AQ582" s="204"/>
      <c r="AR582" s="204"/>
      <c r="AS582" s="204"/>
      <c r="AT582" s="205"/>
      <c r="AU582"/>
    </row>
    <row r="583" spans="2:47" ht="15" customHeight="1" x14ac:dyDescent="0.25">
      <c r="B583" s="206"/>
      <c r="C583" s="185"/>
      <c r="D583" s="164"/>
      <c r="E583" s="174"/>
      <c r="F583" s="164"/>
      <c r="G583" s="174"/>
      <c r="H583" s="164"/>
      <c r="I583" s="174"/>
      <c r="J583" s="184"/>
      <c r="K583" s="186"/>
      <c r="L583" s="187" t="str">
        <f t="shared" si="164"/>
        <v/>
      </c>
      <c r="M583" s="187" t="str">
        <f t="shared" si="165"/>
        <v/>
      </c>
      <c r="N583" s="187" t="str">
        <f t="shared" si="157"/>
        <v>D</v>
      </c>
      <c r="O583" s="187" t="str">
        <f t="shared" si="166"/>
        <v>D</v>
      </c>
      <c r="P583" s="187">
        <f t="shared" si="167"/>
        <v>1</v>
      </c>
      <c r="Q583" s="187">
        <f>IFERROR(VLOOKUP(E583,Tabela_Deflator:E$43,5,FALSE),1)</f>
        <v>1</v>
      </c>
      <c r="R583" s="188" t="str">
        <f t="shared" si="168"/>
        <v/>
      </c>
      <c r="S583" s="237" t="str">
        <f t="shared" si="158"/>
        <v/>
      </c>
      <c r="T583" s="237" t="str">
        <f t="shared" si="173"/>
        <v/>
      </c>
      <c r="U583" s="189"/>
      <c r="V583" s="167"/>
      <c r="W583" s="165"/>
      <c r="X583" s="164"/>
      <c r="Y583" s="164"/>
      <c r="Z583" s="164"/>
      <c r="AA583" s="174"/>
      <c r="AB583" s="164"/>
      <c r="AC583" s="174"/>
      <c r="AD583" s="184"/>
      <c r="AE583" s="190" t="str">
        <f t="shared" si="169"/>
        <v/>
      </c>
      <c r="AF583" s="190" t="str">
        <f t="shared" si="170"/>
        <v/>
      </c>
      <c r="AG583" s="190" t="str">
        <f t="shared" si="159"/>
        <v>D</v>
      </c>
      <c r="AH583" s="190">
        <f>IFERROR(VLOOKUP(Y583,SISP_Deflatores_e_INMs!B$4:F$49,3,FALSE),1)</f>
        <v>1</v>
      </c>
      <c r="AI583" s="190">
        <f>IFERROR(VLOOKUP(Y583,SISP_Deflatores_e_INMs!B$4:G$49,5,FALSE),1)</f>
        <v>1</v>
      </c>
      <c r="AJ583" s="191" t="str">
        <f t="shared" si="171"/>
        <v/>
      </c>
      <c r="AK583" s="237" t="str">
        <f t="shared" si="160"/>
        <v/>
      </c>
      <c r="AL583" s="237" t="str">
        <f t="shared" si="172"/>
        <v/>
      </c>
      <c r="AM583" s="192" t="e">
        <f t="shared" si="161"/>
        <v>#VALUE!</v>
      </c>
      <c r="AN583" s="193" t="e">
        <f t="shared" si="162"/>
        <v>#VALUE!</v>
      </c>
      <c r="AO583" s="193" t="e">
        <f t="shared" si="163"/>
        <v>#VALUE!</v>
      </c>
      <c r="AP583" s="193"/>
      <c r="AQ583" s="204"/>
      <c r="AR583" s="204"/>
      <c r="AS583" s="204"/>
      <c r="AT583" s="205"/>
      <c r="AU583"/>
    </row>
    <row r="584" spans="2:47" ht="15" customHeight="1" x14ac:dyDescent="0.25">
      <c r="B584" s="206"/>
      <c r="C584" s="185"/>
      <c r="D584" s="164"/>
      <c r="E584" s="174"/>
      <c r="F584" s="164"/>
      <c r="G584" s="174"/>
      <c r="H584" s="164"/>
      <c r="I584" s="174"/>
      <c r="J584" s="184"/>
      <c r="K584" s="186"/>
      <c r="L584" s="187" t="str">
        <f t="shared" si="164"/>
        <v/>
      </c>
      <c r="M584" s="187" t="str">
        <f t="shared" si="165"/>
        <v/>
      </c>
      <c r="N584" s="187" t="str">
        <f t="shared" si="157"/>
        <v>D</v>
      </c>
      <c r="O584" s="187" t="str">
        <f t="shared" si="166"/>
        <v>D</v>
      </c>
      <c r="P584" s="187">
        <f t="shared" si="167"/>
        <v>1</v>
      </c>
      <c r="Q584" s="187">
        <f>IFERROR(VLOOKUP(E584,Tabela_Deflator:E$43,5,FALSE),1)</f>
        <v>1</v>
      </c>
      <c r="R584" s="188" t="str">
        <f t="shared" si="168"/>
        <v/>
      </c>
      <c r="S584" s="237" t="str">
        <f t="shared" si="158"/>
        <v/>
      </c>
      <c r="T584" s="237" t="str">
        <f t="shared" si="173"/>
        <v/>
      </c>
      <c r="U584" s="189"/>
      <c r="V584" s="167"/>
      <c r="W584" s="165"/>
      <c r="X584" s="164"/>
      <c r="Y584" s="164"/>
      <c r="Z584" s="164"/>
      <c r="AA584" s="174"/>
      <c r="AB584" s="164"/>
      <c r="AC584" s="174"/>
      <c r="AD584" s="184"/>
      <c r="AE584" s="190" t="str">
        <f t="shared" si="169"/>
        <v/>
      </c>
      <c r="AF584" s="190" t="str">
        <f t="shared" si="170"/>
        <v/>
      </c>
      <c r="AG584" s="190" t="str">
        <f t="shared" si="159"/>
        <v>D</v>
      </c>
      <c r="AH584" s="190">
        <f>IFERROR(VLOOKUP(Y584,SISP_Deflatores_e_INMs!B$4:F$49,3,FALSE),1)</f>
        <v>1</v>
      </c>
      <c r="AI584" s="190">
        <f>IFERROR(VLOOKUP(Y584,SISP_Deflatores_e_INMs!B$4:G$49,5,FALSE),1)</f>
        <v>1</v>
      </c>
      <c r="AJ584" s="191" t="str">
        <f t="shared" si="171"/>
        <v/>
      </c>
      <c r="AK584" s="237" t="str">
        <f t="shared" si="160"/>
        <v/>
      </c>
      <c r="AL584" s="237" t="str">
        <f t="shared" si="172"/>
        <v/>
      </c>
      <c r="AM584" s="192" t="e">
        <f t="shared" si="161"/>
        <v>#VALUE!</v>
      </c>
      <c r="AN584" s="193" t="e">
        <f t="shared" si="162"/>
        <v>#VALUE!</v>
      </c>
      <c r="AO584" s="193" t="e">
        <f t="shared" si="163"/>
        <v>#VALUE!</v>
      </c>
      <c r="AP584" s="193"/>
      <c r="AQ584" s="204"/>
      <c r="AR584" s="204"/>
      <c r="AS584" s="204"/>
      <c r="AT584" s="205"/>
      <c r="AU584"/>
    </row>
    <row r="585" spans="2:47" ht="15" customHeight="1" x14ac:dyDescent="0.25">
      <c r="B585" s="206"/>
      <c r="C585" s="185"/>
      <c r="D585" s="164"/>
      <c r="E585" s="174"/>
      <c r="F585" s="164"/>
      <c r="G585" s="174"/>
      <c r="H585" s="164"/>
      <c r="I585" s="174"/>
      <c r="J585" s="184"/>
      <c r="K585" s="186"/>
      <c r="L585" s="187" t="str">
        <f t="shared" si="164"/>
        <v/>
      </c>
      <c r="M585" s="187" t="str">
        <f t="shared" si="165"/>
        <v/>
      </c>
      <c r="N585" s="187" t="str">
        <f t="shared" si="157"/>
        <v>D</v>
      </c>
      <c r="O585" s="187" t="str">
        <f t="shared" si="166"/>
        <v>D</v>
      </c>
      <c r="P585" s="187">
        <f t="shared" si="167"/>
        <v>1</v>
      </c>
      <c r="Q585" s="187">
        <f>IFERROR(VLOOKUP(E585,Tabela_Deflator:E$43,5,FALSE),1)</f>
        <v>1</v>
      </c>
      <c r="R585" s="188" t="str">
        <f t="shared" si="168"/>
        <v/>
      </c>
      <c r="S585" s="237" t="str">
        <f t="shared" si="158"/>
        <v/>
      </c>
      <c r="T585" s="237" t="str">
        <f t="shared" si="173"/>
        <v/>
      </c>
      <c r="U585" s="189"/>
      <c r="V585" s="167"/>
      <c r="W585" s="165"/>
      <c r="X585" s="164"/>
      <c r="Y585" s="164"/>
      <c r="Z585" s="164"/>
      <c r="AA585" s="174"/>
      <c r="AB585" s="164"/>
      <c r="AC585" s="174"/>
      <c r="AD585" s="184"/>
      <c r="AE585" s="190" t="str">
        <f t="shared" si="169"/>
        <v/>
      </c>
      <c r="AF585" s="190" t="str">
        <f t="shared" si="170"/>
        <v/>
      </c>
      <c r="AG585" s="190" t="str">
        <f t="shared" si="159"/>
        <v>D</v>
      </c>
      <c r="AH585" s="190">
        <f>IFERROR(VLOOKUP(Y585,SISP_Deflatores_e_INMs!B$4:F$49,3,FALSE),1)</f>
        <v>1</v>
      </c>
      <c r="AI585" s="190">
        <f>IFERROR(VLOOKUP(Y585,SISP_Deflatores_e_INMs!B$4:G$49,5,FALSE),1)</f>
        <v>1</v>
      </c>
      <c r="AJ585" s="191" t="str">
        <f t="shared" si="171"/>
        <v/>
      </c>
      <c r="AK585" s="237" t="str">
        <f t="shared" si="160"/>
        <v/>
      </c>
      <c r="AL585" s="237" t="str">
        <f t="shared" si="172"/>
        <v/>
      </c>
      <c r="AM585" s="192" t="e">
        <f t="shared" si="161"/>
        <v>#VALUE!</v>
      </c>
      <c r="AN585" s="193" t="e">
        <f t="shared" si="162"/>
        <v>#VALUE!</v>
      </c>
      <c r="AO585" s="193" t="e">
        <f t="shared" si="163"/>
        <v>#VALUE!</v>
      </c>
      <c r="AP585" s="193"/>
      <c r="AQ585" s="204"/>
      <c r="AR585" s="204"/>
      <c r="AS585" s="204"/>
      <c r="AT585" s="205"/>
      <c r="AU585"/>
    </row>
    <row r="586" spans="2:47" ht="15" customHeight="1" x14ac:dyDescent="0.25">
      <c r="B586" s="206"/>
      <c r="C586" s="185"/>
      <c r="D586" s="164"/>
      <c r="E586" s="174"/>
      <c r="F586" s="164"/>
      <c r="G586" s="174"/>
      <c r="H586" s="164"/>
      <c r="I586" s="174"/>
      <c r="J586" s="184"/>
      <c r="K586" s="186"/>
      <c r="L586" s="187" t="str">
        <f t="shared" si="164"/>
        <v/>
      </c>
      <c r="M586" s="187" t="str">
        <f t="shared" si="165"/>
        <v/>
      </c>
      <c r="N586" s="187" t="str">
        <f t="shared" si="157"/>
        <v>D</v>
      </c>
      <c r="O586" s="187" t="str">
        <f t="shared" si="166"/>
        <v>D</v>
      </c>
      <c r="P586" s="187">
        <f t="shared" si="167"/>
        <v>1</v>
      </c>
      <c r="Q586" s="187">
        <f>IFERROR(VLOOKUP(E586,Tabela_Deflator:E$43,5,FALSE),1)</f>
        <v>1</v>
      </c>
      <c r="R586" s="188" t="str">
        <f t="shared" si="168"/>
        <v/>
      </c>
      <c r="S586" s="237" t="str">
        <f t="shared" si="158"/>
        <v/>
      </c>
      <c r="T586" s="237" t="str">
        <f t="shared" si="173"/>
        <v/>
      </c>
      <c r="U586" s="189"/>
      <c r="V586" s="167"/>
      <c r="W586" s="165"/>
      <c r="X586" s="164"/>
      <c r="Y586" s="164"/>
      <c r="Z586" s="164"/>
      <c r="AA586" s="174"/>
      <c r="AB586" s="164"/>
      <c r="AC586" s="174"/>
      <c r="AD586" s="184"/>
      <c r="AE586" s="190" t="str">
        <f t="shared" si="169"/>
        <v/>
      </c>
      <c r="AF586" s="190" t="str">
        <f t="shared" si="170"/>
        <v/>
      </c>
      <c r="AG586" s="190" t="str">
        <f t="shared" si="159"/>
        <v>D</v>
      </c>
      <c r="AH586" s="190">
        <f>IFERROR(VLOOKUP(Y586,SISP_Deflatores_e_INMs!B$4:F$49,3,FALSE),1)</f>
        <v>1</v>
      </c>
      <c r="AI586" s="190">
        <f>IFERROR(VLOOKUP(Y586,SISP_Deflatores_e_INMs!B$4:G$49,5,FALSE),1)</f>
        <v>1</v>
      </c>
      <c r="AJ586" s="191" t="str">
        <f t="shared" si="171"/>
        <v/>
      </c>
      <c r="AK586" s="237" t="str">
        <f t="shared" si="160"/>
        <v/>
      </c>
      <c r="AL586" s="237" t="str">
        <f t="shared" si="172"/>
        <v/>
      </c>
      <c r="AM586" s="192" t="e">
        <f t="shared" si="161"/>
        <v>#VALUE!</v>
      </c>
      <c r="AN586" s="193" t="e">
        <f t="shared" si="162"/>
        <v>#VALUE!</v>
      </c>
      <c r="AO586" s="193" t="e">
        <f t="shared" si="163"/>
        <v>#VALUE!</v>
      </c>
      <c r="AP586" s="193"/>
      <c r="AQ586" s="204"/>
      <c r="AR586" s="204"/>
      <c r="AS586" s="204"/>
      <c r="AT586" s="205"/>
      <c r="AU586"/>
    </row>
    <row r="587" spans="2:47" ht="15" customHeight="1" x14ac:dyDescent="0.25">
      <c r="B587" s="206"/>
      <c r="C587" s="185"/>
      <c r="D587" s="164"/>
      <c r="E587" s="174"/>
      <c r="F587" s="164"/>
      <c r="G587" s="174"/>
      <c r="H587" s="164"/>
      <c r="I587" s="174"/>
      <c r="J587" s="184"/>
      <c r="K587" s="186"/>
      <c r="L587" s="187" t="str">
        <f t="shared" si="164"/>
        <v/>
      </c>
      <c r="M587" s="187" t="str">
        <f t="shared" si="165"/>
        <v/>
      </c>
      <c r="N587" s="187" t="str">
        <f t="shared" si="157"/>
        <v>D</v>
      </c>
      <c r="O587" s="187" t="str">
        <f t="shared" si="166"/>
        <v>D</v>
      </c>
      <c r="P587" s="187">
        <f t="shared" si="167"/>
        <v>1</v>
      </c>
      <c r="Q587" s="187">
        <f>IFERROR(VLOOKUP(E587,Tabela_Deflator:E$43,5,FALSE),1)</f>
        <v>1</v>
      </c>
      <c r="R587" s="188" t="str">
        <f t="shared" si="168"/>
        <v/>
      </c>
      <c r="S587" s="237" t="str">
        <f t="shared" si="158"/>
        <v/>
      </c>
      <c r="T587" s="237" t="str">
        <f t="shared" si="173"/>
        <v/>
      </c>
      <c r="U587" s="189"/>
      <c r="V587" s="167"/>
      <c r="W587" s="165"/>
      <c r="X587" s="164"/>
      <c r="Y587" s="164"/>
      <c r="Z587" s="164"/>
      <c r="AA587" s="174"/>
      <c r="AB587" s="164"/>
      <c r="AC587" s="174"/>
      <c r="AD587" s="184"/>
      <c r="AE587" s="190" t="str">
        <f t="shared" si="169"/>
        <v/>
      </c>
      <c r="AF587" s="190" t="str">
        <f t="shared" si="170"/>
        <v/>
      </c>
      <c r="AG587" s="190" t="str">
        <f t="shared" si="159"/>
        <v>D</v>
      </c>
      <c r="AH587" s="190">
        <f>IFERROR(VLOOKUP(Y587,SISP_Deflatores_e_INMs!B$4:F$49,3,FALSE),1)</f>
        <v>1</v>
      </c>
      <c r="AI587" s="190">
        <f>IFERROR(VLOOKUP(Y587,SISP_Deflatores_e_INMs!B$4:G$49,5,FALSE),1)</f>
        <v>1</v>
      </c>
      <c r="AJ587" s="191" t="str">
        <f t="shared" si="171"/>
        <v/>
      </c>
      <c r="AK587" s="237" t="str">
        <f t="shared" si="160"/>
        <v/>
      </c>
      <c r="AL587" s="237" t="str">
        <f t="shared" si="172"/>
        <v/>
      </c>
      <c r="AM587" s="192" t="e">
        <f t="shared" si="161"/>
        <v>#VALUE!</v>
      </c>
      <c r="AN587" s="193" t="e">
        <f t="shared" si="162"/>
        <v>#VALUE!</v>
      </c>
      <c r="AO587" s="193" t="e">
        <f t="shared" si="163"/>
        <v>#VALUE!</v>
      </c>
      <c r="AP587" s="193"/>
      <c r="AQ587" s="204"/>
      <c r="AR587" s="204"/>
      <c r="AS587" s="204"/>
      <c r="AT587" s="205"/>
      <c r="AU587"/>
    </row>
    <row r="588" spans="2:47" ht="15" customHeight="1" x14ac:dyDescent="0.25">
      <c r="B588" s="206"/>
      <c r="C588" s="185"/>
      <c r="D588" s="164"/>
      <c r="E588" s="174"/>
      <c r="F588" s="164"/>
      <c r="G588" s="174"/>
      <c r="H588" s="164"/>
      <c r="I588" s="174"/>
      <c r="J588" s="184"/>
      <c r="K588" s="186"/>
      <c r="L588" s="187" t="str">
        <f t="shared" si="164"/>
        <v/>
      </c>
      <c r="M588" s="187" t="str">
        <f t="shared" si="165"/>
        <v/>
      </c>
      <c r="N588" s="187" t="str">
        <f t="shared" si="157"/>
        <v>D</v>
      </c>
      <c r="O588" s="187" t="str">
        <f t="shared" si="166"/>
        <v>D</v>
      </c>
      <c r="P588" s="187">
        <f t="shared" si="167"/>
        <v>1</v>
      </c>
      <c r="Q588" s="187">
        <f>IFERROR(VLOOKUP(E588,Tabela_Deflator:E$43,5,FALSE),1)</f>
        <v>1</v>
      </c>
      <c r="R588" s="188" t="str">
        <f t="shared" si="168"/>
        <v/>
      </c>
      <c r="S588" s="237" t="str">
        <f t="shared" si="158"/>
        <v/>
      </c>
      <c r="T588" s="237" t="str">
        <f t="shared" si="173"/>
        <v/>
      </c>
      <c r="U588" s="189"/>
      <c r="V588" s="167"/>
      <c r="W588" s="165"/>
      <c r="X588" s="164"/>
      <c r="Y588" s="164"/>
      <c r="Z588" s="164"/>
      <c r="AA588" s="174"/>
      <c r="AB588" s="164"/>
      <c r="AC588" s="174"/>
      <c r="AD588" s="184"/>
      <c r="AE588" s="190" t="str">
        <f t="shared" si="169"/>
        <v/>
      </c>
      <c r="AF588" s="190" t="str">
        <f t="shared" si="170"/>
        <v/>
      </c>
      <c r="AG588" s="190" t="str">
        <f t="shared" si="159"/>
        <v>D</v>
      </c>
      <c r="AH588" s="190">
        <f>IFERROR(VLOOKUP(Y588,SISP_Deflatores_e_INMs!B$4:F$49,3,FALSE),1)</f>
        <v>1</v>
      </c>
      <c r="AI588" s="190">
        <f>IFERROR(VLOOKUP(Y588,SISP_Deflatores_e_INMs!B$4:G$49,5,FALSE),1)</f>
        <v>1</v>
      </c>
      <c r="AJ588" s="191" t="str">
        <f t="shared" si="171"/>
        <v/>
      </c>
      <c r="AK588" s="237" t="str">
        <f t="shared" si="160"/>
        <v/>
      </c>
      <c r="AL588" s="237" t="str">
        <f t="shared" si="172"/>
        <v/>
      </c>
      <c r="AM588" s="192" t="e">
        <f t="shared" si="161"/>
        <v>#VALUE!</v>
      </c>
      <c r="AN588" s="193" t="e">
        <f t="shared" si="162"/>
        <v>#VALUE!</v>
      </c>
      <c r="AO588" s="193" t="e">
        <f t="shared" si="163"/>
        <v>#VALUE!</v>
      </c>
      <c r="AP588" s="193"/>
      <c r="AQ588" s="204"/>
      <c r="AR588" s="204"/>
      <c r="AS588" s="204"/>
      <c r="AT588" s="205"/>
      <c r="AU588"/>
    </row>
    <row r="589" spans="2:47" ht="15" customHeight="1" x14ac:dyDescent="0.25">
      <c r="B589" s="206"/>
      <c r="C589" s="185"/>
      <c r="D589" s="164"/>
      <c r="E589" s="174"/>
      <c r="F589" s="164"/>
      <c r="G589" s="174"/>
      <c r="H589" s="164"/>
      <c r="I589" s="174"/>
      <c r="J589" s="184"/>
      <c r="K589" s="186"/>
      <c r="L589" s="187" t="str">
        <f t="shared" si="164"/>
        <v/>
      </c>
      <c r="M589" s="187" t="str">
        <f t="shared" si="165"/>
        <v/>
      </c>
      <c r="N589" s="187" t="str">
        <f t="shared" si="157"/>
        <v>D</v>
      </c>
      <c r="O589" s="187" t="str">
        <f t="shared" si="166"/>
        <v>D</v>
      </c>
      <c r="P589" s="187">
        <f t="shared" si="167"/>
        <v>1</v>
      </c>
      <c r="Q589" s="187">
        <f>IFERROR(VLOOKUP(E589,Tabela_Deflator:E$43,5,FALSE),1)</f>
        <v>1</v>
      </c>
      <c r="R589" s="188" t="str">
        <f t="shared" si="168"/>
        <v/>
      </c>
      <c r="S589" s="237" t="str">
        <f t="shared" si="158"/>
        <v/>
      </c>
      <c r="T589" s="237" t="str">
        <f t="shared" si="173"/>
        <v/>
      </c>
      <c r="U589" s="189"/>
      <c r="V589" s="167"/>
      <c r="W589" s="165"/>
      <c r="X589" s="164"/>
      <c r="Y589" s="164"/>
      <c r="Z589" s="164"/>
      <c r="AA589" s="174"/>
      <c r="AB589" s="164"/>
      <c r="AC589" s="174"/>
      <c r="AD589" s="184"/>
      <c r="AE589" s="190" t="str">
        <f t="shared" si="169"/>
        <v/>
      </c>
      <c r="AF589" s="190" t="str">
        <f t="shared" si="170"/>
        <v/>
      </c>
      <c r="AG589" s="190" t="str">
        <f t="shared" si="159"/>
        <v>D</v>
      </c>
      <c r="AH589" s="190">
        <f>IFERROR(VLOOKUP(Y589,SISP_Deflatores_e_INMs!B$4:F$49,3,FALSE),1)</f>
        <v>1</v>
      </c>
      <c r="AI589" s="190">
        <f>IFERROR(VLOOKUP(Y589,SISP_Deflatores_e_INMs!B$4:G$49,5,FALSE),1)</f>
        <v>1</v>
      </c>
      <c r="AJ589" s="191" t="str">
        <f t="shared" si="171"/>
        <v/>
      </c>
      <c r="AK589" s="237" t="str">
        <f t="shared" si="160"/>
        <v/>
      </c>
      <c r="AL589" s="237" t="str">
        <f t="shared" si="172"/>
        <v/>
      </c>
      <c r="AM589" s="192" t="e">
        <f t="shared" si="161"/>
        <v>#VALUE!</v>
      </c>
      <c r="AN589" s="193" t="e">
        <f t="shared" si="162"/>
        <v>#VALUE!</v>
      </c>
      <c r="AO589" s="193" t="e">
        <f t="shared" si="163"/>
        <v>#VALUE!</v>
      </c>
      <c r="AP589" s="193"/>
      <c r="AQ589" s="204"/>
      <c r="AR589" s="204"/>
      <c r="AS589" s="204"/>
      <c r="AT589" s="205"/>
      <c r="AU589"/>
    </row>
    <row r="590" spans="2:47" ht="15" customHeight="1" x14ac:dyDescent="0.25">
      <c r="B590" s="206"/>
      <c r="C590" s="185"/>
      <c r="D590" s="164"/>
      <c r="E590" s="174"/>
      <c r="F590" s="164"/>
      <c r="G590" s="174"/>
      <c r="H590" s="164"/>
      <c r="I590" s="174"/>
      <c r="J590" s="184"/>
      <c r="K590" s="186"/>
      <c r="L590" s="187" t="str">
        <f t="shared" si="164"/>
        <v/>
      </c>
      <c r="M590" s="187" t="str">
        <f t="shared" si="165"/>
        <v/>
      </c>
      <c r="N590" s="187" t="str">
        <f t="shared" si="157"/>
        <v>D</v>
      </c>
      <c r="O590" s="187" t="str">
        <f t="shared" si="166"/>
        <v>D</v>
      </c>
      <c r="P590" s="187">
        <f t="shared" si="167"/>
        <v>1</v>
      </c>
      <c r="Q590" s="187">
        <f>IFERROR(VLOOKUP(E590,Tabela_Deflator:E$43,5,FALSE),1)</f>
        <v>1</v>
      </c>
      <c r="R590" s="188" t="str">
        <f t="shared" si="168"/>
        <v/>
      </c>
      <c r="S590" s="237" t="str">
        <f t="shared" si="158"/>
        <v/>
      </c>
      <c r="T590" s="237" t="str">
        <f t="shared" si="173"/>
        <v/>
      </c>
      <c r="U590" s="189"/>
      <c r="V590" s="167"/>
      <c r="W590" s="165"/>
      <c r="X590" s="164"/>
      <c r="Y590" s="164"/>
      <c r="Z590" s="164"/>
      <c r="AA590" s="174"/>
      <c r="AB590" s="164"/>
      <c r="AC590" s="174"/>
      <c r="AD590" s="184"/>
      <c r="AE590" s="190" t="str">
        <f t="shared" si="169"/>
        <v/>
      </c>
      <c r="AF590" s="190" t="str">
        <f t="shared" si="170"/>
        <v/>
      </c>
      <c r="AG590" s="190" t="str">
        <f t="shared" si="159"/>
        <v>D</v>
      </c>
      <c r="AH590" s="190">
        <f>IFERROR(VLOOKUP(Y590,SISP_Deflatores_e_INMs!B$4:F$49,3,FALSE),1)</f>
        <v>1</v>
      </c>
      <c r="AI590" s="190">
        <f>IFERROR(VLOOKUP(Y590,SISP_Deflatores_e_INMs!B$4:G$49,5,FALSE),1)</f>
        <v>1</v>
      </c>
      <c r="AJ590" s="191" t="str">
        <f t="shared" si="171"/>
        <v/>
      </c>
      <c r="AK590" s="237" t="str">
        <f t="shared" si="160"/>
        <v/>
      </c>
      <c r="AL590" s="237" t="str">
        <f t="shared" si="172"/>
        <v/>
      </c>
      <c r="AM590" s="192" t="e">
        <f t="shared" si="161"/>
        <v>#VALUE!</v>
      </c>
      <c r="AN590" s="193" t="e">
        <f t="shared" si="162"/>
        <v>#VALUE!</v>
      </c>
      <c r="AO590" s="193" t="e">
        <f t="shared" si="163"/>
        <v>#VALUE!</v>
      </c>
      <c r="AP590" s="193"/>
      <c r="AQ590" s="204"/>
      <c r="AR590" s="204"/>
      <c r="AS590" s="204"/>
      <c r="AT590" s="205"/>
      <c r="AU590"/>
    </row>
    <row r="591" spans="2:47" ht="15" customHeight="1" x14ac:dyDescent="0.25">
      <c r="B591" s="206"/>
      <c r="C591" s="185"/>
      <c r="D591" s="164"/>
      <c r="E591" s="174"/>
      <c r="F591" s="164"/>
      <c r="G591" s="174"/>
      <c r="H591" s="164"/>
      <c r="I591" s="174"/>
      <c r="J591" s="184"/>
      <c r="K591" s="186"/>
      <c r="L591" s="187" t="str">
        <f t="shared" si="164"/>
        <v/>
      </c>
      <c r="M591" s="187" t="str">
        <f t="shared" si="165"/>
        <v/>
      </c>
      <c r="N591" s="187" t="str">
        <f t="shared" si="157"/>
        <v>D</v>
      </c>
      <c r="O591" s="187" t="str">
        <f t="shared" si="166"/>
        <v>D</v>
      </c>
      <c r="P591" s="187">
        <f t="shared" si="167"/>
        <v>1</v>
      </c>
      <c r="Q591" s="187">
        <f>IFERROR(VLOOKUP(E591,Tabela_Deflator:E$43,5,FALSE),1)</f>
        <v>1</v>
      </c>
      <c r="R591" s="188" t="str">
        <f t="shared" si="168"/>
        <v/>
      </c>
      <c r="S591" s="237" t="str">
        <f t="shared" si="158"/>
        <v/>
      </c>
      <c r="T591" s="237" t="str">
        <f t="shared" si="173"/>
        <v/>
      </c>
      <c r="U591" s="189"/>
      <c r="V591" s="167"/>
      <c r="W591" s="165"/>
      <c r="X591" s="164"/>
      <c r="Y591" s="164"/>
      <c r="Z591" s="164"/>
      <c r="AA591" s="174"/>
      <c r="AB591" s="164"/>
      <c r="AC591" s="174"/>
      <c r="AD591" s="184"/>
      <c r="AE591" s="190" t="str">
        <f t="shared" si="169"/>
        <v/>
      </c>
      <c r="AF591" s="190" t="str">
        <f t="shared" si="170"/>
        <v/>
      </c>
      <c r="AG591" s="190" t="str">
        <f t="shared" si="159"/>
        <v>D</v>
      </c>
      <c r="AH591" s="190">
        <f>IFERROR(VLOOKUP(Y591,SISP_Deflatores_e_INMs!B$4:F$49,3,FALSE),1)</f>
        <v>1</v>
      </c>
      <c r="AI591" s="190">
        <f>IFERROR(VLOOKUP(Y591,SISP_Deflatores_e_INMs!B$4:G$49,5,FALSE),1)</f>
        <v>1</v>
      </c>
      <c r="AJ591" s="191" t="str">
        <f t="shared" si="171"/>
        <v/>
      </c>
      <c r="AK591" s="237" t="str">
        <f t="shared" si="160"/>
        <v/>
      </c>
      <c r="AL591" s="237" t="str">
        <f t="shared" si="172"/>
        <v/>
      </c>
      <c r="AM591" s="192" t="e">
        <f t="shared" si="161"/>
        <v>#VALUE!</v>
      </c>
      <c r="AN591" s="193" t="e">
        <f t="shared" si="162"/>
        <v>#VALUE!</v>
      </c>
      <c r="AO591" s="193" t="e">
        <f t="shared" si="163"/>
        <v>#VALUE!</v>
      </c>
      <c r="AP591" s="193"/>
      <c r="AQ591" s="204"/>
      <c r="AR591" s="204"/>
      <c r="AS591" s="204"/>
      <c r="AT591" s="205"/>
      <c r="AU591"/>
    </row>
    <row r="592" spans="2:47" ht="15" customHeight="1" x14ac:dyDescent="0.25">
      <c r="B592" s="206"/>
      <c r="C592" s="185"/>
      <c r="D592" s="164"/>
      <c r="E592" s="174"/>
      <c r="F592" s="164"/>
      <c r="G592" s="174"/>
      <c r="H592" s="164"/>
      <c r="I592" s="174"/>
      <c r="J592" s="184"/>
      <c r="K592" s="186"/>
      <c r="L592" s="187" t="str">
        <f t="shared" si="164"/>
        <v/>
      </c>
      <c r="M592" s="187" t="str">
        <f t="shared" si="165"/>
        <v/>
      </c>
      <c r="N592" s="187" t="str">
        <f t="shared" si="157"/>
        <v>D</v>
      </c>
      <c r="O592" s="187" t="str">
        <f t="shared" si="166"/>
        <v>D</v>
      </c>
      <c r="P592" s="187">
        <f t="shared" si="167"/>
        <v>1</v>
      </c>
      <c r="Q592" s="187">
        <f>IFERROR(VLOOKUP(E592,Tabela_Deflator:E$43,5,FALSE),1)</f>
        <v>1</v>
      </c>
      <c r="R592" s="188" t="str">
        <f t="shared" si="168"/>
        <v/>
      </c>
      <c r="S592" s="237" t="str">
        <f t="shared" si="158"/>
        <v/>
      </c>
      <c r="T592" s="237" t="str">
        <f t="shared" si="173"/>
        <v/>
      </c>
      <c r="U592" s="189"/>
      <c r="V592" s="167"/>
      <c r="W592" s="165"/>
      <c r="X592" s="164"/>
      <c r="Y592" s="164"/>
      <c r="Z592" s="164"/>
      <c r="AA592" s="174"/>
      <c r="AB592" s="164"/>
      <c r="AC592" s="174"/>
      <c r="AD592" s="184"/>
      <c r="AE592" s="190" t="str">
        <f t="shared" si="169"/>
        <v/>
      </c>
      <c r="AF592" s="190" t="str">
        <f t="shared" si="170"/>
        <v/>
      </c>
      <c r="AG592" s="190" t="str">
        <f t="shared" si="159"/>
        <v>D</v>
      </c>
      <c r="AH592" s="190">
        <f>IFERROR(VLOOKUP(Y592,SISP_Deflatores_e_INMs!B$4:F$49,3,FALSE),1)</f>
        <v>1</v>
      </c>
      <c r="AI592" s="190">
        <f>IFERROR(VLOOKUP(Y592,SISP_Deflatores_e_INMs!B$4:G$49,5,FALSE),1)</f>
        <v>1</v>
      </c>
      <c r="AJ592" s="191" t="str">
        <f t="shared" si="171"/>
        <v/>
      </c>
      <c r="AK592" s="237" t="str">
        <f t="shared" si="160"/>
        <v/>
      </c>
      <c r="AL592" s="237" t="str">
        <f t="shared" si="172"/>
        <v/>
      </c>
      <c r="AM592" s="192" t="e">
        <f t="shared" si="161"/>
        <v>#VALUE!</v>
      </c>
      <c r="AN592" s="193" t="e">
        <f t="shared" si="162"/>
        <v>#VALUE!</v>
      </c>
      <c r="AO592" s="193" t="e">
        <f t="shared" si="163"/>
        <v>#VALUE!</v>
      </c>
      <c r="AP592" s="193"/>
      <c r="AQ592" s="204"/>
      <c r="AR592" s="204"/>
      <c r="AS592" s="204"/>
      <c r="AT592" s="205"/>
      <c r="AU592"/>
    </row>
    <row r="593" spans="2:47" ht="15" customHeight="1" x14ac:dyDescent="0.25">
      <c r="B593" s="206"/>
      <c r="C593" s="185"/>
      <c r="D593" s="164"/>
      <c r="E593" s="174"/>
      <c r="F593" s="164"/>
      <c r="G593" s="174"/>
      <c r="H593" s="164"/>
      <c r="I593" s="174"/>
      <c r="J593" s="184"/>
      <c r="K593" s="186"/>
      <c r="L593" s="187" t="str">
        <f t="shared" si="164"/>
        <v/>
      </c>
      <c r="M593" s="187" t="str">
        <f t="shared" si="165"/>
        <v/>
      </c>
      <c r="N593" s="187" t="str">
        <f t="shared" si="157"/>
        <v>D</v>
      </c>
      <c r="O593" s="187" t="str">
        <f t="shared" si="166"/>
        <v>D</v>
      </c>
      <c r="P593" s="187">
        <f t="shared" si="167"/>
        <v>1</v>
      </c>
      <c r="Q593" s="187">
        <f>IFERROR(VLOOKUP(E593,Tabela_Deflator:E$43,5,FALSE),1)</f>
        <v>1</v>
      </c>
      <c r="R593" s="188" t="str">
        <f t="shared" si="168"/>
        <v/>
      </c>
      <c r="S593" s="237" t="str">
        <f t="shared" si="158"/>
        <v/>
      </c>
      <c r="T593" s="237" t="str">
        <f t="shared" si="173"/>
        <v/>
      </c>
      <c r="U593" s="189"/>
      <c r="V593" s="167"/>
      <c r="W593" s="165"/>
      <c r="X593" s="164"/>
      <c r="Y593" s="164"/>
      <c r="Z593" s="164"/>
      <c r="AA593" s="174"/>
      <c r="AB593" s="164"/>
      <c r="AC593" s="174"/>
      <c r="AD593" s="184"/>
      <c r="AE593" s="190" t="str">
        <f t="shared" si="169"/>
        <v/>
      </c>
      <c r="AF593" s="190" t="str">
        <f t="shared" si="170"/>
        <v/>
      </c>
      <c r="AG593" s="190" t="str">
        <f t="shared" si="159"/>
        <v>D</v>
      </c>
      <c r="AH593" s="190">
        <f>IFERROR(VLOOKUP(Y593,SISP_Deflatores_e_INMs!B$4:F$49,3,FALSE),1)</f>
        <v>1</v>
      </c>
      <c r="AI593" s="190">
        <f>IFERROR(VLOOKUP(Y593,SISP_Deflatores_e_INMs!B$4:G$49,5,FALSE),1)</f>
        <v>1</v>
      </c>
      <c r="AJ593" s="191" t="str">
        <f t="shared" si="171"/>
        <v/>
      </c>
      <c r="AK593" s="237" t="str">
        <f t="shared" si="160"/>
        <v/>
      </c>
      <c r="AL593" s="237" t="str">
        <f t="shared" si="172"/>
        <v/>
      </c>
      <c r="AM593" s="192" t="e">
        <f t="shared" si="161"/>
        <v>#VALUE!</v>
      </c>
      <c r="AN593" s="193" t="e">
        <f t="shared" si="162"/>
        <v>#VALUE!</v>
      </c>
      <c r="AO593" s="193" t="e">
        <f t="shared" si="163"/>
        <v>#VALUE!</v>
      </c>
      <c r="AP593" s="193"/>
      <c r="AQ593" s="204"/>
      <c r="AR593" s="204"/>
      <c r="AS593" s="204"/>
      <c r="AT593" s="205"/>
      <c r="AU593"/>
    </row>
    <row r="594" spans="2:47" ht="15" customHeight="1" x14ac:dyDescent="0.25">
      <c r="B594" s="206"/>
      <c r="C594" s="185"/>
      <c r="D594" s="164"/>
      <c r="E594" s="174"/>
      <c r="F594" s="164"/>
      <c r="G594" s="174"/>
      <c r="H594" s="164"/>
      <c r="I594" s="174"/>
      <c r="J594" s="184"/>
      <c r="K594" s="186"/>
      <c r="L594" s="187" t="str">
        <f t="shared" si="164"/>
        <v/>
      </c>
      <c r="M594" s="187" t="str">
        <f t="shared" si="165"/>
        <v/>
      </c>
      <c r="N594" s="187" t="str">
        <f t="shared" si="157"/>
        <v>D</v>
      </c>
      <c r="O594" s="187" t="str">
        <f t="shared" si="166"/>
        <v>D</v>
      </c>
      <c r="P594" s="187">
        <f t="shared" si="167"/>
        <v>1</v>
      </c>
      <c r="Q594" s="187">
        <f>IFERROR(VLOOKUP(E594,Tabela_Deflator:E$43,5,FALSE),1)</f>
        <v>1</v>
      </c>
      <c r="R594" s="188" t="str">
        <f t="shared" si="168"/>
        <v/>
      </c>
      <c r="S594" s="237" t="str">
        <f t="shared" si="158"/>
        <v/>
      </c>
      <c r="T594" s="237" t="str">
        <f t="shared" si="173"/>
        <v/>
      </c>
      <c r="U594" s="189"/>
      <c r="V594" s="167"/>
      <c r="W594" s="165"/>
      <c r="X594" s="164"/>
      <c r="Y594" s="164"/>
      <c r="Z594" s="164"/>
      <c r="AA594" s="174"/>
      <c r="AB594" s="164"/>
      <c r="AC594" s="174"/>
      <c r="AD594" s="184"/>
      <c r="AE594" s="190" t="str">
        <f t="shared" si="169"/>
        <v/>
      </c>
      <c r="AF594" s="190" t="str">
        <f t="shared" si="170"/>
        <v/>
      </c>
      <c r="AG594" s="190" t="str">
        <f t="shared" si="159"/>
        <v>D</v>
      </c>
      <c r="AH594" s="190">
        <f>IFERROR(VLOOKUP(Y594,SISP_Deflatores_e_INMs!B$4:F$49,3,FALSE),1)</f>
        <v>1</v>
      </c>
      <c r="AI594" s="190">
        <f>IFERROR(VLOOKUP(Y594,SISP_Deflatores_e_INMs!B$4:G$49,5,FALSE),1)</f>
        <v>1</v>
      </c>
      <c r="AJ594" s="191" t="str">
        <f t="shared" si="171"/>
        <v/>
      </c>
      <c r="AK594" s="237" t="str">
        <f t="shared" si="160"/>
        <v/>
      </c>
      <c r="AL594" s="237" t="str">
        <f t="shared" si="172"/>
        <v/>
      </c>
      <c r="AM594" s="192" t="e">
        <f t="shared" si="161"/>
        <v>#VALUE!</v>
      </c>
      <c r="AN594" s="193" t="e">
        <f t="shared" si="162"/>
        <v>#VALUE!</v>
      </c>
      <c r="AO594" s="193" t="e">
        <f t="shared" si="163"/>
        <v>#VALUE!</v>
      </c>
      <c r="AP594" s="193"/>
      <c r="AQ594" s="204"/>
      <c r="AR594" s="204"/>
      <c r="AS594" s="204"/>
      <c r="AT594" s="205"/>
      <c r="AU594"/>
    </row>
    <row r="595" spans="2:47" ht="15" customHeight="1" x14ac:dyDescent="0.25">
      <c r="B595" s="206"/>
      <c r="C595" s="185"/>
      <c r="D595" s="164"/>
      <c r="E595" s="174"/>
      <c r="F595" s="164"/>
      <c r="G595" s="174"/>
      <c r="H595" s="164"/>
      <c r="I595" s="174"/>
      <c r="J595" s="184"/>
      <c r="K595" s="186"/>
      <c r="L595" s="187" t="str">
        <f t="shared" si="164"/>
        <v/>
      </c>
      <c r="M595" s="187" t="str">
        <f t="shared" si="165"/>
        <v/>
      </c>
      <c r="N595" s="187" t="str">
        <f t="shared" si="157"/>
        <v>D</v>
      </c>
      <c r="O595" s="187" t="str">
        <f t="shared" si="166"/>
        <v>D</v>
      </c>
      <c r="P595" s="187">
        <f t="shared" si="167"/>
        <v>1</v>
      </c>
      <c r="Q595" s="187">
        <f>IFERROR(VLOOKUP(E595,Tabela_Deflator:E$43,5,FALSE),1)</f>
        <v>1</v>
      </c>
      <c r="R595" s="188" t="str">
        <f t="shared" si="168"/>
        <v/>
      </c>
      <c r="S595" s="237" t="str">
        <f t="shared" si="158"/>
        <v/>
      </c>
      <c r="T595" s="237" t="str">
        <f t="shared" si="173"/>
        <v/>
      </c>
      <c r="U595" s="189"/>
      <c r="V595" s="167"/>
      <c r="W595" s="165"/>
      <c r="X595" s="164"/>
      <c r="Y595" s="164"/>
      <c r="Z595" s="164"/>
      <c r="AA595" s="174"/>
      <c r="AB595" s="164"/>
      <c r="AC595" s="174"/>
      <c r="AD595" s="184"/>
      <c r="AE595" s="190" t="str">
        <f t="shared" si="169"/>
        <v/>
      </c>
      <c r="AF595" s="190" t="str">
        <f t="shared" si="170"/>
        <v/>
      </c>
      <c r="AG595" s="190" t="str">
        <f t="shared" si="159"/>
        <v>D</v>
      </c>
      <c r="AH595" s="190">
        <f>IFERROR(VLOOKUP(Y595,SISP_Deflatores_e_INMs!B$4:F$49,3,FALSE),1)</f>
        <v>1</v>
      </c>
      <c r="AI595" s="190">
        <f>IFERROR(VLOOKUP(Y595,SISP_Deflatores_e_INMs!B$4:G$49,5,FALSE),1)</f>
        <v>1</v>
      </c>
      <c r="AJ595" s="191" t="str">
        <f t="shared" si="171"/>
        <v/>
      </c>
      <c r="AK595" s="237" t="str">
        <f t="shared" si="160"/>
        <v/>
      </c>
      <c r="AL595" s="237" t="str">
        <f t="shared" si="172"/>
        <v/>
      </c>
      <c r="AM595" s="192" t="e">
        <f t="shared" si="161"/>
        <v>#VALUE!</v>
      </c>
      <c r="AN595" s="193" t="e">
        <f t="shared" si="162"/>
        <v>#VALUE!</v>
      </c>
      <c r="AO595" s="193" t="e">
        <f t="shared" si="163"/>
        <v>#VALUE!</v>
      </c>
      <c r="AP595" s="193"/>
      <c r="AQ595" s="204"/>
      <c r="AR595" s="204"/>
      <c r="AS595" s="204"/>
      <c r="AT595" s="205"/>
      <c r="AU595"/>
    </row>
    <row r="596" spans="2:47" ht="15" customHeight="1" x14ac:dyDescent="0.25">
      <c r="B596" s="206"/>
      <c r="C596" s="185"/>
      <c r="D596" s="164"/>
      <c r="E596" s="174"/>
      <c r="F596" s="164"/>
      <c r="G596" s="174"/>
      <c r="H596" s="164"/>
      <c r="I596" s="174"/>
      <c r="J596" s="184"/>
      <c r="K596" s="186"/>
      <c r="L596" s="187" t="str">
        <f t="shared" si="164"/>
        <v/>
      </c>
      <c r="M596" s="187" t="str">
        <f t="shared" si="165"/>
        <v/>
      </c>
      <c r="N596" s="187" t="str">
        <f t="shared" si="157"/>
        <v>D</v>
      </c>
      <c r="O596" s="187" t="str">
        <f t="shared" si="166"/>
        <v>D</v>
      </c>
      <c r="P596" s="187">
        <f t="shared" si="167"/>
        <v>1</v>
      </c>
      <c r="Q596" s="187">
        <f>IFERROR(VLOOKUP(E596,Tabela_Deflator:E$43,5,FALSE),1)</f>
        <v>1</v>
      </c>
      <c r="R596" s="188" t="str">
        <f t="shared" si="168"/>
        <v/>
      </c>
      <c r="S596" s="237" t="str">
        <f t="shared" si="158"/>
        <v/>
      </c>
      <c r="T596" s="237" t="str">
        <f t="shared" si="173"/>
        <v/>
      </c>
      <c r="U596" s="189"/>
      <c r="V596" s="167"/>
      <c r="W596" s="165"/>
      <c r="X596" s="164"/>
      <c r="Y596" s="164"/>
      <c r="Z596" s="164"/>
      <c r="AA596" s="174"/>
      <c r="AB596" s="164"/>
      <c r="AC596" s="174"/>
      <c r="AD596" s="184"/>
      <c r="AE596" s="190" t="str">
        <f t="shared" si="169"/>
        <v/>
      </c>
      <c r="AF596" s="190" t="str">
        <f t="shared" si="170"/>
        <v/>
      </c>
      <c r="AG596" s="190" t="str">
        <f t="shared" si="159"/>
        <v>D</v>
      </c>
      <c r="AH596" s="190">
        <f>IFERROR(VLOOKUP(Y596,SISP_Deflatores_e_INMs!B$4:F$49,3,FALSE),1)</f>
        <v>1</v>
      </c>
      <c r="AI596" s="190">
        <f>IFERROR(VLOOKUP(Y596,SISP_Deflatores_e_INMs!B$4:G$49,5,FALSE),1)</f>
        <v>1</v>
      </c>
      <c r="AJ596" s="191" t="str">
        <f t="shared" si="171"/>
        <v/>
      </c>
      <c r="AK596" s="237" t="str">
        <f t="shared" si="160"/>
        <v/>
      </c>
      <c r="AL596" s="237" t="str">
        <f t="shared" si="172"/>
        <v/>
      </c>
      <c r="AM596" s="192" t="e">
        <f t="shared" si="161"/>
        <v>#VALUE!</v>
      </c>
      <c r="AN596" s="193" t="e">
        <f t="shared" si="162"/>
        <v>#VALUE!</v>
      </c>
      <c r="AO596" s="193" t="e">
        <f t="shared" si="163"/>
        <v>#VALUE!</v>
      </c>
      <c r="AP596" s="193"/>
      <c r="AQ596" s="204"/>
      <c r="AR596" s="204"/>
      <c r="AS596" s="204"/>
      <c r="AT596" s="205"/>
      <c r="AU596"/>
    </row>
    <row r="597" spans="2:47" ht="15" customHeight="1" x14ac:dyDescent="0.25">
      <c r="B597" s="206"/>
      <c r="C597" s="185"/>
      <c r="D597" s="164"/>
      <c r="E597" s="174"/>
      <c r="F597" s="164"/>
      <c r="G597" s="174"/>
      <c r="H597" s="164"/>
      <c r="I597" s="174"/>
      <c r="J597" s="184"/>
      <c r="K597" s="186"/>
      <c r="L597" s="187" t="str">
        <f t="shared" si="164"/>
        <v/>
      </c>
      <c r="M597" s="187" t="str">
        <f t="shared" si="165"/>
        <v/>
      </c>
      <c r="N597" s="187" t="str">
        <f t="shared" si="157"/>
        <v>D</v>
      </c>
      <c r="O597" s="187" t="str">
        <f t="shared" si="166"/>
        <v>D</v>
      </c>
      <c r="P597" s="187">
        <f t="shared" si="167"/>
        <v>1</v>
      </c>
      <c r="Q597" s="187">
        <f>IFERROR(VLOOKUP(E597,Tabela_Deflator:E$43,5,FALSE),1)</f>
        <v>1</v>
      </c>
      <c r="R597" s="188" t="str">
        <f t="shared" si="168"/>
        <v/>
      </c>
      <c r="S597" s="237" t="str">
        <f t="shared" si="158"/>
        <v/>
      </c>
      <c r="T597" s="237" t="str">
        <f t="shared" si="173"/>
        <v/>
      </c>
      <c r="U597" s="189"/>
      <c r="V597" s="167"/>
      <c r="W597" s="165"/>
      <c r="X597" s="164"/>
      <c r="Y597" s="164"/>
      <c r="Z597" s="164"/>
      <c r="AA597" s="174"/>
      <c r="AB597" s="164"/>
      <c r="AC597" s="174"/>
      <c r="AD597" s="184"/>
      <c r="AE597" s="190" t="str">
        <f t="shared" si="169"/>
        <v/>
      </c>
      <c r="AF597" s="190" t="str">
        <f t="shared" si="170"/>
        <v/>
      </c>
      <c r="AG597" s="190" t="str">
        <f t="shared" si="159"/>
        <v>D</v>
      </c>
      <c r="AH597" s="190">
        <f>IFERROR(VLOOKUP(Y597,SISP_Deflatores_e_INMs!B$4:F$49,3,FALSE),1)</f>
        <v>1</v>
      </c>
      <c r="AI597" s="190">
        <f>IFERROR(VLOOKUP(Y597,SISP_Deflatores_e_INMs!B$4:G$49,5,FALSE),1)</f>
        <v>1</v>
      </c>
      <c r="AJ597" s="191" t="str">
        <f t="shared" si="171"/>
        <v/>
      </c>
      <c r="AK597" s="237" t="str">
        <f t="shared" si="160"/>
        <v/>
      </c>
      <c r="AL597" s="237" t="str">
        <f t="shared" si="172"/>
        <v/>
      </c>
      <c r="AM597" s="192" t="e">
        <f t="shared" si="161"/>
        <v>#VALUE!</v>
      </c>
      <c r="AN597" s="193" t="e">
        <f t="shared" si="162"/>
        <v>#VALUE!</v>
      </c>
      <c r="AO597" s="193" t="e">
        <f t="shared" si="163"/>
        <v>#VALUE!</v>
      </c>
      <c r="AP597" s="193"/>
      <c r="AQ597" s="204"/>
      <c r="AR597" s="204"/>
      <c r="AS597" s="204"/>
      <c r="AT597" s="205"/>
      <c r="AU597"/>
    </row>
    <row r="598" spans="2:47" ht="15" customHeight="1" x14ac:dyDescent="0.25">
      <c r="B598" s="206"/>
      <c r="C598" s="185"/>
      <c r="D598" s="164"/>
      <c r="E598" s="174"/>
      <c r="F598" s="164"/>
      <c r="G598" s="174"/>
      <c r="H598" s="164"/>
      <c r="I598" s="174"/>
      <c r="J598" s="184"/>
      <c r="K598" s="186"/>
      <c r="L598" s="187" t="str">
        <f t="shared" si="164"/>
        <v/>
      </c>
      <c r="M598" s="187" t="str">
        <f t="shared" si="165"/>
        <v/>
      </c>
      <c r="N598" s="187" t="str">
        <f t="shared" si="157"/>
        <v>D</v>
      </c>
      <c r="O598" s="187" t="str">
        <f t="shared" si="166"/>
        <v>D</v>
      </c>
      <c r="P598" s="187">
        <f t="shared" si="167"/>
        <v>1</v>
      </c>
      <c r="Q598" s="187">
        <f>IFERROR(VLOOKUP(E598,Tabela_Deflator:E$43,5,FALSE),1)</f>
        <v>1</v>
      </c>
      <c r="R598" s="188" t="str">
        <f t="shared" si="168"/>
        <v/>
      </c>
      <c r="S598" s="237" t="str">
        <f t="shared" si="158"/>
        <v/>
      </c>
      <c r="T598" s="237" t="str">
        <f t="shared" si="173"/>
        <v/>
      </c>
      <c r="U598" s="189"/>
      <c r="V598" s="167"/>
      <c r="W598" s="165"/>
      <c r="X598" s="164"/>
      <c r="Y598" s="164"/>
      <c r="Z598" s="164"/>
      <c r="AA598" s="174"/>
      <c r="AB598" s="164"/>
      <c r="AC598" s="174"/>
      <c r="AD598" s="184"/>
      <c r="AE598" s="190" t="str">
        <f t="shared" si="169"/>
        <v/>
      </c>
      <c r="AF598" s="190" t="str">
        <f t="shared" si="170"/>
        <v/>
      </c>
      <c r="AG598" s="190" t="str">
        <f t="shared" si="159"/>
        <v>D</v>
      </c>
      <c r="AH598" s="190">
        <f>IFERROR(VLOOKUP(Y598,SISP_Deflatores_e_INMs!B$4:F$49,3,FALSE),1)</f>
        <v>1</v>
      </c>
      <c r="AI598" s="190">
        <f>IFERROR(VLOOKUP(Y598,SISP_Deflatores_e_INMs!B$4:G$49,5,FALSE),1)</f>
        <v>1</v>
      </c>
      <c r="AJ598" s="191" t="str">
        <f t="shared" si="171"/>
        <v/>
      </c>
      <c r="AK598" s="237" t="str">
        <f t="shared" si="160"/>
        <v/>
      </c>
      <c r="AL598" s="237" t="str">
        <f t="shared" si="172"/>
        <v/>
      </c>
      <c r="AM598" s="192" t="e">
        <f t="shared" si="161"/>
        <v>#VALUE!</v>
      </c>
      <c r="AN598" s="193" t="e">
        <f t="shared" si="162"/>
        <v>#VALUE!</v>
      </c>
      <c r="AO598" s="193" t="e">
        <f t="shared" si="163"/>
        <v>#VALUE!</v>
      </c>
      <c r="AP598" s="193"/>
      <c r="AQ598" s="204"/>
      <c r="AR598" s="204"/>
      <c r="AS598" s="204"/>
      <c r="AT598" s="205"/>
      <c r="AU598"/>
    </row>
    <row r="599" spans="2:47" ht="15" customHeight="1" x14ac:dyDescent="0.25">
      <c r="B599" s="206"/>
      <c r="C599" s="185"/>
      <c r="D599" s="164"/>
      <c r="E599" s="174"/>
      <c r="F599" s="164"/>
      <c r="G599" s="174"/>
      <c r="H599" s="164"/>
      <c r="I599" s="174"/>
      <c r="J599" s="184"/>
      <c r="K599" s="186"/>
      <c r="L599" s="187" t="str">
        <f t="shared" si="164"/>
        <v/>
      </c>
      <c r="M599" s="187" t="str">
        <f t="shared" si="165"/>
        <v/>
      </c>
      <c r="N599" s="187" t="str">
        <f t="shared" si="157"/>
        <v>D</v>
      </c>
      <c r="O599" s="187" t="str">
        <f t="shared" si="166"/>
        <v>D</v>
      </c>
      <c r="P599" s="187">
        <f t="shared" si="167"/>
        <v>1</v>
      </c>
      <c r="Q599" s="187">
        <f>IFERROR(VLOOKUP(E599,Tabela_Deflator:E$43,5,FALSE),1)</f>
        <v>1</v>
      </c>
      <c r="R599" s="188" t="str">
        <f t="shared" si="168"/>
        <v/>
      </c>
      <c r="S599" s="237" t="str">
        <f t="shared" si="158"/>
        <v/>
      </c>
      <c r="T599" s="237" t="str">
        <f t="shared" si="173"/>
        <v/>
      </c>
      <c r="U599" s="189"/>
      <c r="V599" s="167"/>
      <c r="W599" s="165"/>
      <c r="X599" s="164"/>
      <c r="Y599" s="164"/>
      <c r="Z599" s="164"/>
      <c r="AA599" s="174"/>
      <c r="AB599" s="164"/>
      <c r="AC599" s="174"/>
      <c r="AD599" s="184"/>
      <c r="AE599" s="190" t="str">
        <f t="shared" si="169"/>
        <v/>
      </c>
      <c r="AF599" s="190" t="str">
        <f t="shared" si="170"/>
        <v/>
      </c>
      <c r="AG599" s="190" t="str">
        <f t="shared" si="159"/>
        <v>D</v>
      </c>
      <c r="AH599" s="190">
        <f>IFERROR(VLOOKUP(Y599,SISP_Deflatores_e_INMs!B$4:F$49,3,FALSE),1)</f>
        <v>1</v>
      </c>
      <c r="AI599" s="190">
        <f>IFERROR(VLOOKUP(Y599,SISP_Deflatores_e_INMs!B$4:G$49,5,FALSE),1)</f>
        <v>1</v>
      </c>
      <c r="AJ599" s="191" t="str">
        <f t="shared" si="171"/>
        <v/>
      </c>
      <c r="AK599" s="237" t="str">
        <f t="shared" si="160"/>
        <v/>
      </c>
      <c r="AL599" s="237" t="str">
        <f t="shared" si="172"/>
        <v/>
      </c>
      <c r="AM599" s="192" t="e">
        <f t="shared" si="161"/>
        <v>#VALUE!</v>
      </c>
      <c r="AN599" s="193" t="e">
        <f t="shared" si="162"/>
        <v>#VALUE!</v>
      </c>
      <c r="AO599" s="193" t="e">
        <f t="shared" si="163"/>
        <v>#VALUE!</v>
      </c>
      <c r="AP599" s="193"/>
      <c r="AQ599" s="204"/>
      <c r="AR599" s="204"/>
      <c r="AS599" s="204"/>
      <c r="AT599" s="205"/>
      <c r="AU599"/>
    </row>
    <row r="600" spans="2:47" ht="15" customHeight="1" x14ac:dyDescent="0.25">
      <c r="B600" s="206"/>
      <c r="C600" s="185"/>
      <c r="D600" s="164"/>
      <c r="E600" s="174"/>
      <c r="F600" s="164"/>
      <c r="G600" s="174"/>
      <c r="H600" s="164"/>
      <c r="I600" s="174"/>
      <c r="J600" s="184"/>
      <c r="K600" s="186"/>
      <c r="L600" s="187" t="str">
        <f t="shared" si="164"/>
        <v/>
      </c>
      <c r="M600" s="187" t="str">
        <f t="shared" si="165"/>
        <v/>
      </c>
      <c r="N600" s="187" t="str">
        <f t="shared" si="157"/>
        <v>D</v>
      </c>
      <c r="O600" s="187" t="str">
        <f t="shared" si="166"/>
        <v>D</v>
      </c>
      <c r="P600" s="187">
        <f t="shared" si="167"/>
        <v>1</v>
      </c>
      <c r="Q600" s="187">
        <f>IFERROR(VLOOKUP(E600,Tabela_Deflator:E$43,5,FALSE),1)</f>
        <v>1</v>
      </c>
      <c r="R600" s="188" t="str">
        <f t="shared" si="168"/>
        <v/>
      </c>
      <c r="S600" s="237" t="str">
        <f t="shared" si="158"/>
        <v/>
      </c>
      <c r="T600" s="237" t="str">
        <f t="shared" si="173"/>
        <v/>
      </c>
      <c r="U600" s="189"/>
      <c r="V600" s="167"/>
      <c r="W600" s="165"/>
      <c r="X600" s="164"/>
      <c r="Y600" s="164"/>
      <c r="Z600" s="164"/>
      <c r="AA600" s="174"/>
      <c r="AB600" s="164"/>
      <c r="AC600" s="174"/>
      <c r="AD600" s="184"/>
      <c r="AE600" s="190" t="str">
        <f t="shared" si="169"/>
        <v/>
      </c>
      <c r="AF600" s="190" t="str">
        <f t="shared" si="170"/>
        <v/>
      </c>
      <c r="AG600" s="190" t="str">
        <f t="shared" si="159"/>
        <v>D</v>
      </c>
      <c r="AH600" s="190">
        <f>IFERROR(VLOOKUP(Y600,SISP_Deflatores_e_INMs!B$4:F$49,3,FALSE),1)</f>
        <v>1</v>
      </c>
      <c r="AI600" s="190">
        <f>IFERROR(VLOOKUP(Y600,SISP_Deflatores_e_INMs!B$4:G$49,5,FALSE),1)</f>
        <v>1</v>
      </c>
      <c r="AJ600" s="191" t="str">
        <f t="shared" si="171"/>
        <v/>
      </c>
      <c r="AK600" s="237" t="str">
        <f t="shared" si="160"/>
        <v/>
      </c>
      <c r="AL600" s="237" t="str">
        <f t="shared" si="172"/>
        <v/>
      </c>
      <c r="AM600" s="192" t="e">
        <f t="shared" si="161"/>
        <v>#VALUE!</v>
      </c>
      <c r="AN600" s="193" t="e">
        <f t="shared" si="162"/>
        <v>#VALUE!</v>
      </c>
      <c r="AO600" s="193" t="e">
        <f t="shared" si="163"/>
        <v>#VALUE!</v>
      </c>
      <c r="AP600" s="193"/>
      <c r="AQ600" s="204"/>
      <c r="AR600" s="204"/>
      <c r="AS600" s="204"/>
      <c r="AT600" s="205"/>
      <c r="AU600"/>
    </row>
    <row r="601" spans="2:47" ht="15" customHeight="1" x14ac:dyDescent="0.25">
      <c r="B601" s="206"/>
      <c r="C601" s="185"/>
      <c r="D601" s="164"/>
      <c r="E601" s="174"/>
      <c r="F601" s="164"/>
      <c r="G601" s="174"/>
      <c r="H601" s="164"/>
      <c r="I601" s="174"/>
      <c r="J601" s="184"/>
      <c r="K601" s="186"/>
      <c r="L601" s="187" t="str">
        <f t="shared" si="164"/>
        <v/>
      </c>
      <c r="M601" s="187" t="str">
        <f t="shared" si="165"/>
        <v/>
      </c>
      <c r="N601" s="187" t="str">
        <f t="shared" si="157"/>
        <v>D</v>
      </c>
      <c r="O601" s="187" t="str">
        <f t="shared" si="166"/>
        <v>D</v>
      </c>
      <c r="P601" s="187">
        <f t="shared" si="167"/>
        <v>1</v>
      </c>
      <c r="Q601" s="187">
        <f>IFERROR(VLOOKUP(E601,Tabela_Deflator:E$43,5,FALSE),1)</f>
        <v>1</v>
      </c>
      <c r="R601" s="188" t="str">
        <f t="shared" si="168"/>
        <v/>
      </c>
      <c r="S601" s="237" t="str">
        <f t="shared" si="158"/>
        <v/>
      </c>
      <c r="T601" s="237" t="str">
        <f t="shared" si="173"/>
        <v/>
      </c>
      <c r="U601" s="189"/>
      <c r="V601" s="167"/>
      <c r="W601" s="165"/>
      <c r="X601" s="164"/>
      <c r="Y601" s="164"/>
      <c r="Z601" s="164"/>
      <c r="AA601" s="174"/>
      <c r="AB601" s="164"/>
      <c r="AC601" s="174"/>
      <c r="AD601" s="184"/>
      <c r="AE601" s="190" t="str">
        <f t="shared" si="169"/>
        <v/>
      </c>
      <c r="AF601" s="190" t="str">
        <f t="shared" si="170"/>
        <v/>
      </c>
      <c r="AG601" s="190" t="str">
        <f t="shared" si="159"/>
        <v>D</v>
      </c>
      <c r="AH601" s="190">
        <f>IFERROR(VLOOKUP(Y601,SISP_Deflatores_e_INMs!B$4:F$49,3,FALSE),1)</f>
        <v>1</v>
      </c>
      <c r="AI601" s="190">
        <f>IFERROR(VLOOKUP(Y601,SISP_Deflatores_e_INMs!B$4:G$49,5,FALSE),1)</f>
        <v>1</v>
      </c>
      <c r="AJ601" s="191" t="str">
        <f t="shared" si="171"/>
        <v/>
      </c>
      <c r="AK601" s="237" t="str">
        <f t="shared" si="160"/>
        <v/>
      </c>
      <c r="AL601" s="237" t="str">
        <f t="shared" si="172"/>
        <v/>
      </c>
      <c r="AM601" s="192" t="e">
        <f t="shared" si="161"/>
        <v>#VALUE!</v>
      </c>
      <c r="AN601" s="193" t="e">
        <f t="shared" si="162"/>
        <v>#VALUE!</v>
      </c>
      <c r="AO601" s="193" t="e">
        <f t="shared" si="163"/>
        <v>#VALUE!</v>
      </c>
      <c r="AP601" s="193"/>
      <c r="AQ601" s="204"/>
      <c r="AR601" s="204"/>
      <c r="AS601" s="204"/>
      <c r="AT601" s="205"/>
      <c r="AU601"/>
    </row>
    <row r="602" spans="2:47" ht="15" customHeight="1" x14ac:dyDescent="0.25">
      <c r="B602" s="206"/>
      <c r="C602" s="185"/>
      <c r="D602" s="164"/>
      <c r="E602" s="174"/>
      <c r="F602" s="164"/>
      <c r="G602" s="174"/>
      <c r="H602" s="164"/>
      <c r="I602" s="174"/>
      <c r="J602" s="184"/>
      <c r="K602" s="186"/>
      <c r="L602" s="187" t="str">
        <f t="shared" si="164"/>
        <v/>
      </c>
      <c r="M602" s="187" t="str">
        <f t="shared" si="165"/>
        <v/>
      </c>
      <c r="N602" s="187" t="str">
        <f t="shared" si="157"/>
        <v>D</v>
      </c>
      <c r="O602" s="187" t="str">
        <f t="shared" si="166"/>
        <v>D</v>
      </c>
      <c r="P602" s="187">
        <f t="shared" si="167"/>
        <v>1</v>
      </c>
      <c r="Q602" s="187">
        <f>IFERROR(VLOOKUP(E602,Tabela_Deflator:E$43,5,FALSE),1)</f>
        <v>1</v>
      </c>
      <c r="R602" s="188" t="str">
        <f t="shared" si="168"/>
        <v/>
      </c>
      <c r="S602" s="237" t="str">
        <f t="shared" si="158"/>
        <v/>
      </c>
      <c r="T602" s="237" t="str">
        <f t="shared" si="173"/>
        <v/>
      </c>
      <c r="U602" s="189"/>
      <c r="V602" s="167"/>
      <c r="W602" s="165"/>
      <c r="X602" s="164"/>
      <c r="Y602" s="164"/>
      <c r="Z602" s="164"/>
      <c r="AA602" s="174"/>
      <c r="AB602" s="164"/>
      <c r="AC602" s="174"/>
      <c r="AD602" s="184"/>
      <c r="AE602" s="190" t="str">
        <f t="shared" si="169"/>
        <v/>
      </c>
      <c r="AF602" s="190" t="str">
        <f t="shared" si="170"/>
        <v/>
      </c>
      <c r="AG602" s="190" t="str">
        <f t="shared" si="159"/>
        <v>D</v>
      </c>
      <c r="AH602" s="190">
        <f>IFERROR(VLOOKUP(Y602,SISP_Deflatores_e_INMs!B$4:F$49,3,FALSE),1)</f>
        <v>1</v>
      </c>
      <c r="AI602" s="190">
        <f>IFERROR(VLOOKUP(Y602,SISP_Deflatores_e_INMs!B$4:G$49,5,FALSE),1)</f>
        <v>1</v>
      </c>
      <c r="AJ602" s="191" t="str">
        <f t="shared" si="171"/>
        <v/>
      </c>
      <c r="AK602" s="237" t="str">
        <f t="shared" si="160"/>
        <v/>
      </c>
      <c r="AL602" s="237" t="str">
        <f t="shared" si="172"/>
        <v/>
      </c>
      <c r="AM602" s="192" t="e">
        <f t="shared" si="161"/>
        <v>#VALUE!</v>
      </c>
      <c r="AN602" s="193" t="e">
        <f t="shared" si="162"/>
        <v>#VALUE!</v>
      </c>
      <c r="AO602" s="193" t="e">
        <f t="shared" si="163"/>
        <v>#VALUE!</v>
      </c>
      <c r="AP602" s="193"/>
      <c r="AQ602" s="204"/>
      <c r="AR602" s="204"/>
      <c r="AS602" s="204"/>
      <c r="AT602" s="205"/>
      <c r="AU602"/>
    </row>
    <row r="603" spans="2:47" ht="15" customHeight="1" x14ac:dyDescent="0.25">
      <c r="B603" s="206"/>
      <c r="C603" s="185"/>
      <c r="D603" s="164"/>
      <c r="E603" s="174"/>
      <c r="F603" s="164"/>
      <c r="G603" s="174"/>
      <c r="H603" s="164"/>
      <c r="I603" s="174"/>
      <c r="J603" s="184"/>
      <c r="K603" s="186"/>
      <c r="L603" s="187" t="str">
        <f t="shared" si="164"/>
        <v/>
      </c>
      <c r="M603" s="187" t="str">
        <f t="shared" si="165"/>
        <v/>
      </c>
      <c r="N603" s="187" t="str">
        <f t="shared" si="157"/>
        <v>D</v>
      </c>
      <c r="O603" s="187" t="str">
        <f t="shared" si="166"/>
        <v>D</v>
      </c>
      <c r="P603" s="187">
        <f t="shared" si="167"/>
        <v>1</v>
      </c>
      <c r="Q603" s="187">
        <f>IFERROR(VLOOKUP(E603,Tabela_Deflator:E$43,5,FALSE),1)</f>
        <v>1</v>
      </c>
      <c r="R603" s="188" t="str">
        <f t="shared" si="168"/>
        <v/>
      </c>
      <c r="S603" s="237" t="str">
        <f t="shared" si="158"/>
        <v/>
      </c>
      <c r="T603" s="237" t="str">
        <f t="shared" si="173"/>
        <v/>
      </c>
      <c r="U603" s="189"/>
      <c r="V603" s="167"/>
      <c r="W603" s="165"/>
      <c r="X603" s="164"/>
      <c r="Y603" s="164"/>
      <c r="Z603" s="164"/>
      <c r="AA603" s="174"/>
      <c r="AB603" s="164"/>
      <c r="AC603" s="174"/>
      <c r="AD603" s="184"/>
      <c r="AE603" s="190" t="str">
        <f t="shared" si="169"/>
        <v/>
      </c>
      <c r="AF603" s="190" t="str">
        <f t="shared" si="170"/>
        <v/>
      </c>
      <c r="AG603" s="190" t="str">
        <f t="shared" si="159"/>
        <v>D</v>
      </c>
      <c r="AH603" s="190">
        <f>IFERROR(VLOOKUP(Y603,SISP_Deflatores_e_INMs!B$4:F$49,3,FALSE),1)</f>
        <v>1</v>
      </c>
      <c r="AI603" s="190">
        <f>IFERROR(VLOOKUP(Y603,SISP_Deflatores_e_INMs!B$4:G$49,5,FALSE),1)</f>
        <v>1</v>
      </c>
      <c r="AJ603" s="191" t="str">
        <f t="shared" si="171"/>
        <v/>
      </c>
      <c r="AK603" s="237" t="str">
        <f t="shared" si="160"/>
        <v/>
      </c>
      <c r="AL603" s="237" t="str">
        <f t="shared" si="172"/>
        <v/>
      </c>
      <c r="AM603" s="192" t="e">
        <f t="shared" si="161"/>
        <v>#VALUE!</v>
      </c>
      <c r="AN603" s="193" t="e">
        <f t="shared" si="162"/>
        <v>#VALUE!</v>
      </c>
      <c r="AO603" s="193" t="e">
        <f t="shared" si="163"/>
        <v>#VALUE!</v>
      </c>
      <c r="AP603" s="193"/>
      <c r="AQ603" s="204"/>
      <c r="AR603" s="204"/>
      <c r="AS603" s="204"/>
      <c r="AT603" s="205"/>
      <c r="AU603"/>
    </row>
    <row r="604" spans="2:47" ht="15" customHeight="1" x14ac:dyDescent="0.25">
      <c r="B604" s="206"/>
      <c r="C604" s="185"/>
      <c r="D604" s="164"/>
      <c r="E604" s="174"/>
      <c r="F604" s="164"/>
      <c r="G604" s="174"/>
      <c r="H604" s="164"/>
      <c r="I604" s="174"/>
      <c r="J604" s="184"/>
      <c r="K604" s="186"/>
      <c r="L604" s="187" t="str">
        <f t="shared" si="164"/>
        <v/>
      </c>
      <c r="M604" s="187" t="str">
        <f t="shared" si="165"/>
        <v/>
      </c>
      <c r="N604" s="187" t="str">
        <f t="shared" si="157"/>
        <v>D</v>
      </c>
      <c r="O604" s="187" t="str">
        <f t="shared" si="166"/>
        <v>D</v>
      </c>
      <c r="P604" s="187">
        <f t="shared" si="167"/>
        <v>1</v>
      </c>
      <c r="Q604" s="187">
        <f>IFERROR(VLOOKUP(E604,Tabela_Deflator:E$43,5,FALSE),1)</f>
        <v>1</v>
      </c>
      <c r="R604" s="188" t="str">
        <f t="shared" si="168"/>
        <v/>
      </c>
      <c r="S604" s="237" t="str">
        <f t="shared" si="158"/>
        <v/>
      </c>
      <c r="T604" s="237" t="str">
        <f t="shared" si="173"/>
        <v/>
      </c>
      <c r="U604" s="189"/>
      <c r="V604" s="167"/>
      <c r="W604" s="165"/>
      <c r="X604" s="164"/>
      <c r="Y604" s="164"/>
      <c r="Z604" s="164"/>
      <c r="AA604" s="174"/>
      <c r="AB604" s="164"/>
      <c r="AC604" s="174"/>
      <c r="AD604" s="184"/>
      <c r="AE604" s="190" t="str">
        <f t="shared" si="169"/>
        <v/>
      </c>
      <c r="AF604" s="190" t="str">
        <f t="shared" si="170"/>
        <v/>
      </c>
      <c r="AG604" s="190" t="str">
        <f t="shared" si="159"/>
        <v>D</v>
      </c>
      <c r="AH604" s="190">
        <f>IFERROR(VLOOKUP(Y604,SISP_Deflatores_e_INMs!B$4:F$49,3,FALSE),1)</f>
        <v>1</v>
      </c>
      <c r="AI604" s="190">
        <f>IFERROR(VLOOKUP(Y604,SISP_Deflatores_e_INMs!B$4:G$49,5,FALSE),1)</f>
        <v>1</v>
      </c>
      <c r="AJ604" s="191" t="str">
        <f t="shared" si="171"/>
        <v/>
      </c>
      <c r="AK604" s="237" t="str">
        <f t="shared" si="160"/>
        <v/>
      </c>
      <c r="AL604" s="237" t="str">
        <f t="shared" si="172"/>
        <v/>
      </c>
      <c r="AM604" s="192" t="e">
        <f t="shared" si="161"/>
        <v>#VALUE!</v>
      </c>
      <c r="AN604" s="193" t="e">
        <f t="shared" si="162"/>
        <v>#VALUE!</v>
      </c>
      <c r="AO604" s="193" t="e">
        <f t="shared" si="163"/>
        <v>#VALUE!</v>
      </c>
      <c r="AP604" s="193"/>
      <c r="AQ604" s="204"/>
      <c r="AR604" s="204"/>
      <c r="AS604" s="204"/>
      <c r="AT604" s="205"/>
      <c r="AU604"/>
    </row>
    <row r="605" spans="2:47" ht="15" customHeight="1" x14ac:dyDescent="0.25">
      <c r="B605" s="206"/>
      <c r="C605" s="185"/>
      <c r="D605" s="164"/>
      <c r="E605" s="174"/>
      <c r="F605" s="164"/>
      <c r="G605" s="174"/>
      <c r="H605" s="164"/>
      <c r="I605" s="174"/>
      <c r="J605" s="184"/>
      <c r="K605" s="186"/>
      <c r="L605" s="187" t="str">
        <f t="shared" si="164"/>
        <v/>
      </c>
      <c r="M605" s="187" t="str">
        <f t="shared" si="165"/>
        <v/>
      </c>
      <c r="N605" s="187" t="str">
        <f t="shared" si="157"/>
        <v>D</v>
      </c>
      <c r="O605" s="187" t="str">
        <f t="shared" si="166"/>
        <v>D</v>
      </c>
      <c r="P605" s="187">
        <f t="shared" si="167"/>
        <v>1</v>
      </c>
      <c r="Q605" s="187">
        <f>IFERROR(VLOOKUP(E605,Tabela_Deflator:E$43,5,FALSE),1)</f>
        <v>1</v>
      </c>
      <c r="R605" s="188" t="str">
        <f t="shared" si="168"/>
        <v/>
      </c>
      <c r="S605" s="237" t="str">
        <f t="shared" si="158"/>
        <v/>
      </c>
      <c r="T605" s="237" t="str">
        <f t="shared" si="173"/>
        <v/>
      </c>
      <c r="U605" s="189"/>
      <c r="V605" s="167"/>
      <c r="W605" s="165"/>
      <c r="X605" s="164"/>
      <c r="Y605" s="164"/>
      <c r="Z605" s="164"/>
      <c r="AA605" s="174"/>
      <c r="AB605" s="164"/>
      <c r="AC605" s="174"/>
      <c r="AD605" s="184"/>
      <c r="AE605" s="190" t="str">
        <f t="shared" si="169"/>
        <v/>
      </c>
      <c r="AF605" s="190" t="str">
        <f t="shared" si="170"/>
        <v/>
      </c>
      <c r="AG605" s="190" t="str">
        <f t="shared" si="159"/>
        <v>D</v>
      </c>
      <c r="AH605" s="190">
        <f>IFERROR(VLOOKUP(Y605,SISP_Deflatores_e_INMs!B$4:F$49,3,FALSE),1)</f>
        <v>1</v>
      </c>
      <c r="AI605" s="190">
        <f>IFERROR(VLOOKUP(Y605,SISP_Deflatores_e_INMs!B$4:G$49,5,FALSE),1)</f>
        <v>1</v>
      </c>
      <c r="AJ605" s="191" t="str">
        <f t="shared" si="171"/>
        <v/>
      </c>
      <c r="AK605" s="237" t="str">
        <f t="shared" si="160"/>
        <v/>
      </c>
      <c r="AL605" s="237" t="str">
        <f t="shared" si="172"/>
        <v/>
      </c>
      <c r="AM605" s="192" t="e">
        <f t="shared" si="161"/>
        <v>#VALUE!</v>
      </c>
      <c r="AN605" s="193" t="e">
        <f t="shared" si="162"/>
        <v>#VALUE!</v>
      </c>
      <c r="AO605" s="193" t="e">
        <f t="shared" si="163"/>
        <v>#VALUE!</v>
      </c>
      <c r="AP605" s="193"/>
      <c r="AQ605" s="204"/>
      <c r="AR605" s="204"/>
      <c r="AS605" s="204"/>
      <c r="AT605" s="205"/>
      <c r="AU605"/>
    </row>
    <row r="606" spans="2:47" ht="15" customHeight="1" x14ac:dyDescent="0.25">
      <c r="B606" s="206"/>
      <c r="C606" s="185"/>
      <c r="D606" s="164"/>
      <c r="E606" s="174"/>
      <c r="F606" s="164"/>
      <c r="G606" s="174"/>
      <c r="H606" s="164"/>
      <c r="I606" s="174"/>
      <c r="J606" s="184"/>
      <c r="K606" s="186"/>
      <c r="L606" s="187" t="str">
        <f t="shared" si="164"/>
        <v/>
      </c>
      <c r="M606" s="187" t="str">
        <f t="shared" si="165"/>
        <v/>
      </c>
      <c r="N606" s="187" t="str">
        <f t="shared" si="157"/>
        <v>D</v>
      </c>
      <c r="O606" s="187" t="str">
        <f t="shared" si="166"/>
        <v>D</v>
      </c>
      <c r="P606" s="187">
        <f t="shared" si="167"/>
        <v>1</v>
      </c>
      <c r="Q606" s="187">
        <f>IFERROR(VLOOKUP(E606,Tabela_Deflator:E$43,5,FALSE),1)</f>
        <v>1</v>
      </c>
      <c r="R606" s="188" t="str">
        <f t="shared" si="168"/>
        <v/>
      </c>
      <c r="S606" s="237" t="str">
        <f t="shared" si="158"/>
        <v/>
      </c>
      <c r="T606" s="237" t="str">
        <f t="shared" si="173"/>
        <v/>
      </c>
      <c r="U606" s="189"/>
      <c r="V606" s="167"/>
      <c r="W606" s="165"/>
      <c r="X606" s="164"/>
      <c r="Y606" s="164"/>
      <c r="Z606" s="164"/>
      <c r="AA606" s="174"/>
      <c r="AB606" s="164"/>
      <c r="AC606" s="174"/>
      <c r="AD606" s="184"/>
      <c r="AE606" s="190" t="str">
        <f t="shared" si="169"/>
        <v/>
      </c>
      <c r="AF606" s="190" t="str">
        <f t="shared" si="170"/>
        <v/>
      </c>
      <c r="AG606" s="190" t="str">
        <f t="shared" si="159"/>
        <v>D</v>
      </c>
      <c r="AH606" s="190">
        <f>IFERROR(VLOOKUP(Y606,SISP_Deflatores_e_INMs!B$4:F$49,3,FALSE),1)</f>
        <v>1</v>
      </c>
      <c r="AI606" s="190">
        <f>IFERROR(VLOOKUP(Y606,SISP_Deflatores_e_INMs!B$4:G$49,5,FALSE),1)</f>
        <v>1</v>
      </c>
      <c r="AJ606" s="191" t="str">
        <f t="shared" si="171"/>
        <v/>
      </c>
      <c r="AK606" s="237" t="str">
        <f t="shared" si="160"/>
        <v/>
      </c>
      <c r="AL606" s="237" t="str">
        <f t="shared" si="172"/>
        <v/>
      </c>
      <c r="AM606" s="192" t="e">
        <f t="shared" si="161"/>
        <v>#VALUE!</v>
      </c>
      <c r="AN606" s="193" t="e">
        <f t="shared" si="162"/>
        <v>#VALUE!</v>
      </c>
      <c r="AO606" s="193" t="e">
        <f t="shared" si="163"/>
        <v>#VALUE!</v>
      </c>
      <c r="AP606" s="193"/>
      <c r="AQ606" s="204"/>
      <c r="AR606" s="204"/>
      <c r="AS606" s="204"/>
      <c r="AT606" s="205"/>
      <c r="AU606"/>
    </row>
    <row r="607" spans="2:47" ht="15" customHeight="1" x14ac:dyDescent="0.25">
      <c r="B607" s="206"/>
      <c r="C607" s="185"/>
      <c r="D607" s="164"/>
      <c r="E607" s="174"/>
      <c r="F607" s="164"/>
      <c r="G607" s="174"/>
      <c r="H607" s="164"/>
      <c r="I607" s="174"/>
      <c r="J607" s="184"/>
      <c r="K607" s="186"/>
      <c r="L607" s="187" t="str">
        <f t="shared" si="164"/>
        <v/>
      </c>
      <c r="M607" s="187" t="str">
        <f t="shared" si="165"/>
        <v/>
      </c>
      <c r="N607" s="187" t="str">
        <f t="shared" si="157"/>
        <v>D</v>
      </c>
      <c r="O607" s="187" t="str">
        <f t="shared" si="166"/>
        <v>D</v>
      </c>
      <c r="P607" s="187">
        <f t="shared" si="167"/>
        <v>1</v>
      </c>
      <c r="Q607" s="187">
        <f>IFERROR(VLOOKUP(E607,Tabela_Deflator:E$43,5,FALSE),1)</f>
        <v>1</v>
      </c>
      <c r="R607" s="188" t="str">
        <f t="shared" si="168"/>
        <v/>
      </c>
      <c r="S607" s="237" t="str">
        <f t="shared" si="158"/>
        <v/>
      </c>
      <c r="T607" s="237" t="str">
        <f t="shared" si="173"/>
        <v/>
      </c>
      <c r="U607" s="189"/>
      <c r="V607" s="167"/>
      <c r="W607" s="165"/>
      <c r="X607" s="164"/>
      <c r="Y607" s="164"/>
      <c r="Z607" s="164"/>
      <c r="AA607" s="174"/>
      <c r="AB607" s="164"/>
      <c r="AC607" s="174"/>
      <c r="AD607" s="184"/>
      <c r="AE607" s="190" t="str">
        <f t="shared" si="169"/>
        <v/>
      </c>
      <c r="AF607" s="190" t="str">
        <f t="shared" si="170"/>
        <v/>
      </c>
      <c r="AG607" s="190" t="str">
        <f t="shared" si="159"/>
        <v>D</v>
      </c>
      <c r="AH607" s="190">
        <f>IFERROR(VLOOKUP(Y607,SISP_Deflatores_e_INMs!B$4:F$49,3,FALSE),1)</f>
        <v>1</v>
      </c>
      <c r="AI607" s="190">
        <f>IFERROR(VLOOKUP(Y607,SISP_Deflatores_e_INMs!B$4:G$49,5,FALSE),1)</f>
        <v>1</v>
      </c>
      <c r="AJ607" s="191" t="str">
        <f t="shared" si="171"/>
        <v/>
      </c>
      <c r="AK607" s="237" t="str">
        <f t="shared" si="160"/>
        <v/>
      </c>
      <c r="AL607" s="237" t="str">
        <f t="shared" si="172"/>
        <v/>
      </c>
      <c r="AM607" s="192" t="e">
        <f t="shared" si="161"/>
        <v>#VALUE!</v>
      </c>
      <c r="AN607" s="193" t="e">
        <f t="shared" si="162"/>
        <v>#VALUE!</v>
      </c>
      <c r="AO607" s="193" t="e">
        <f t="shared" si="163"/>
        <v>#VALUE!</v>
      </c>
      <c r="AP607" s="193"/>
      <c r="AQ607" s="204"/>
      <c r="AR607" s="204"/>
      <c r="AS607" s="204"/>
      <c r="AT607" s="205"/>
      <c r="AU607"/>
    </row>
    <row r="608" spans="2:47" ht="15" customHeight="1" x14ac:dyDescent="0.25">
      <c r="B608" s="206"/>
      <c r="C608" s="185"/>
      <c r="D608" s="164"/>
      <c r="E608" s="174"/>
      <c r="F608" s="164"/>
      <c r="G608" s="174"/>
      <c r="H608" s="164"/>
      <c r="I608" s="174"/>
      <c r="J608" s="184"/>
      <c r="K608" s="186"/>
      <c r="L608" s="187" t="str">
        <f t="shared" si="164"/>
        <v/>
      </c>
      <c r="M608" s="187" t="str">
        <f t="shared" si="165"/>
        <v/>
      </c>
      <c r="N608" s="187" t="str">
        <f t="shared" si="157"/>
        <v>D</v>
      </c>
      <c r="O608" s="187" t="str">
        <f t="shared" si="166"/>
        <v>D</v>
      </c>
      <c r="P608" s="187">
        <f t="shared" si="167"/>
        <v>1</v>
      </c>
      <c r="Q608" s="187">
        <f>IFERROR(VLOOKUP(E608,Tabela_Deflator:E$43,5,FALSE),1)</f>
        <v>1</v>
      </c>
      <c r="R608" s="188" t="str">
        <f t="shared" si="168"/>
        <v/>
      </c>
      <c r="S608" s="237" t="str">
        <f t="shared" si="158"/>
        <v/>
      </c>
      <c r="T608" s="237" t="str">
        <f t="shared" si="173"/>
        <v/>
      </c>
      <c r="U608" s="189"/>
      <c r="V608" s="167"/>
      <c r="W608" s="165"/>
      <c r="X608" s="164"/>
      <c r="Y608" s="164"/>
      <c r="Z608" s="164"/>
      <c r="AA608" s="174"/>
      <c r="AB608" s="164"/>
      <c r="AC608" s="174"/>
      <c r="AD608" s="184"/>
      <c r="AE608" s="190" t="str">
        <f t="shared" si="169"/>
        <v/>
      </c>
      <c r="AF608" s="190" t="str">
        <f t="shared" si="170"/>
        <v/>
      </c>
      <c r="AG608" s="190" t="str">
        <f t="shared" si="159"/>
        <v>D</v>
      </c>
      <c r="AH608" s="190">
        <f>IFERROR(VLOOKUP(Y608,SISP_Deflatores_e_INMs!B$4:F$49,3,FALSE),1)</f>
        <v>1</v>
      </c>
      <c r="AI608" s="190">
        <f>IFERROR(VLOOKUP(Y608,SISP_Deflatores_e_INMs!B$4:G$49,5,FALSE),1)</f>
        <v>1</v>
      </c>
      <c r="AJ608" s="191" t="str">
        <f t="shared" si="171"/>
        <v/>
      </c>
      <c r="AK608" s="237" t="str">
        <f t="shared" si="160"/>
        <v/>
      </c>
      <c r="AL608" s="237" t="str">
        <f t="shared" si="172"/>
        <v/>
      </c>
      <c r="AM608" s="192" t="e">
        <f t="shared" si="161"/>
        <v>#VALUE!</v>
      </c>
      <c r="AN608" s="193" t="e">
        <f t="shared" si="162"/>
        <v>#VALUE!</v>
      </c>
      <c r="AO608" s="193" t="e">
        <f t="shared" si="163"/>
        <v>#VALUE!</v>
      </c>
      <c r="AP608" s="193"/>
      <c r="AQ608" s="204"/>
      <c r="AR608" s="204"/>
      <c r="AS608" s="204"/>
      <c r="AT608" s="205"/>
      <c r="AU608"/>
    </row>
    <row r="609" spans="2:47" ht="15" customHeight="1" x14ac:dyDescent="0.25">
      <c r="B609" s="206"/>
      <c r="C609" s="185"/>
      <c r="D609" s="164"/>
      <c r="E609" s="174"/>
      <c r="F609" s="164"/>
      <c r="G609" s="174"/>
      <c r="H609" s="164"/>
      <c r="I609" s="174"/>
      <c r="J609" s="184"/>
      <c r="K609" s="186"/>
      <c r="L609" s="187" t="str">
        <f t="shared" si="164"/>
        <v/>
      </c>
      <c r="M609" s="187" t="str">
        <f t="shared" si="165"/>
        <v/>
      </c>
      <c r="N609" s="187" t="str">
        <f t="shared" si="157"/>
        <v>D</v>
      </c>
      <c r="O609" s="187" t="str">
        <f t="shared" si="166"/>
        <v>D</v>
      </c>
      <c r="P609" s="187">
        <f t="shared" si="167"/>
        <v>1</v>
      </c>
      <c r="Q609" s="187">
        <f>IFERROR(VLOOKUP(E609,Tabela_Deflator:E$43,5,FALSE),1)</f>
        <v>1</v>
      </c>
      <c r="R609" s="188" t="str">
        <f t="shared" si="168"/>
        <v/>
      </c>
      <c r="S609" s="237" t="str">
        <f t="shared" si="158"/>
        <v/>
      </c>
      <c r="T609" s="237" t="str">
        <f t="shared" si="173"/>
        <v/>
      </c>
      <c r="U609" s="189"/>
      <c r="V609" s="167"/>
      <c r="W609" s="165"/>
      <c r="X609" s="164"/>
      <c r="Y609" s="164"/>
      <c r="Z609" s="164"/>
      <c r="AA609" s="174"/>
      <c r="AB609" s="164"/>
      <c r="AC609" s="174"/>
      <c r="AD609" s="184"/>
      <c r="AE609" s="190" t="str">
        <f t="shared" si="169"/>
        <v/>
      </c>
      <c r="AF609" s="190" t="str">
        <f t="shared" si="170"/>
        <v/>
      </c>
      <c r="AG609" s="190" t="str">
        <f t="shared" si="159"/>
        <v>D</v>
      </c>
      <c r="AH609" s="190">
        <f>IFERROR(VLOOKUP(Y609,SISP_Deflatores_e_INMs!B$4:F$49,3,FALSE),1)</f>
        <v>1</v>
      </c>
      <c r="AI609" s="190">
        <f>IFERROR(VLOOKUP(Y609,SISP_Deflatores_e_INMs!B$4:G$49,5,FALSE),1)</f>
        <v>1</v>
      </c>
      <c r="AJ609" s="191" t="str">
        <f t="shared" si="171"/>
        <v/>
      </c>
      <c r="AK609" s="237" t="str">
        <f t="shared" si="160"/>
        <v/>
      </c>
      <c r="AL609" s="237" t="str">
        <f t="shared" si="172"/>
        <v/>
      </c>
      <c r="AM609" s="192" t="e">
        <f t="shared" si="161"/>
        <v>#VALUE!</v>
      </c>
      <c r="AN609" s="193" t="e">
        <f t="shared" si="162"/>
        <v>#VALUE!</v>
      </c>
      <c r="AO609" s="193" t="e">
        <f t="shared" si="163"/>
        <v>#VALUE!</v>
      </c>
      <c r="AP609" s="193"/>
      <c r="AQ609" s="204"/>
      <c r="AR609" s="204"/>
      <c r="AS609" s="204"/>
      <c r="AT609" s="205"/>
      <c r="AU609"/>
    </row>
    <row r="610" spans="2:47" ht="15" customHeight="1" x14ac:dyDescent="0.25">
      <c r="B610" s="206"/>
      <c r="C610" s="185"/>
      <c r="D610" s="164"/>
      <c r="E610" s="174"/>
      <c r="F610" s="164"/>
      <c r="G610" s="174"/>
      <c r="H610" s="164"/>
      <c r="I610" s="174"/>
      <c r="J610" s="184"/>
      <c r="K610" s="186"/>
      <c r="L610" s="187" t="str">
        <f t="shared" si="164"/>
        <v/>
      </c>
      <c r="M610" s="187" t="str">
        <f t="shared" si="165"/>
        <v/>
      </c>
      <c r="N610" s="187" t="str">
        <f t="shared" si="157"/>
        <v>D</v>
      </c>
      <c r="O610" s="187" t="str">
        <f t="shared" si="166"/>
        <v>D</v>
      </c>
      <c r="P610" s="187">
        <f t="shared" si="167"/>
        <v>1</v>
      </c>
      <c r="Q610" s="187">
        <f>IFERROR(VLOOKUP(E610,Tabela_Deflator:E$43,5,FALSE),1)</f>
        <v>1</v>
      </c>
      <c r="R610" s="188" t="str">
        <f t="shared" si="168"/>
        <v/>
      </c>
      <c r="S610" s="237" t="str">
        <f t="shared" si="158"/>
        <v/>
      </c>
      <c r="T610" s="237" t="str">
        <f t="shared" si="173"/>
        <v/>
      </c>
      <c r="U610" s="189"/>
      <c r="V610" s="167"/>
      <c r="W610" s="165"/>
      <c r="X610" s="164"/>
      <c r="Y610" s="164"/>
      <c r="Z610" s="164"/>
      <c r="AA610" s="174"/>
      <c r="AB610" s="164"/>
      <c r="AC610" s="174"/>
      <c r="AD610" s="184"/>
      <c r="AE610" s="190" t="str">
        <f t="shared" si="169"/>
        <v/>
      </c>
      <c r="AF610" s="190" t="str">
        <f t="shared" si="170"/>
        <v/>
      </c>
      <c r="AG610" s="190" t="str">
        <f t="shared" si="159"/>
        <v>D</v>
      </c>
      <c r="AH610" s="190">
        <f>IFERROR(VLOOKUP(Y610,SISP_Deflatores_e_INMs!B$4:F$49,3,FALSE),1)</f>
        <v>1</v>
      </c>
      <c r="AI610" s="190">
        <f>IFERROR(VLOOKUP(Y610,SISP_Deflatores_e_INMs!B$4:G$49,5,FALSE),1)</f>
        <v>1</v>
      </c>
      <c r="AJ610" s="191" t="str">
        <f t="shared" si="171"/>
        <v/>
      </c>
      <c r="AK610" s="237" t="str">
        <f t="shared" si="160"/>
        <v/>
      </c>
      <c r="AL610" s="237" t="str">
        <f t="shared" si="172"/>
        <v/>
      </c>
      <c r="AM610" s="192" t="e">
        <f t="shared" si="161"/>
        <v>#VALUE!</v>
      </c>
      <c r="AN610" s="193" t="e">
        <f t="shared" si="162"/>
        <v>#VALUE!</v>
      </c>
      <c r="AO610" s="193" t="e">
        <f t="shared" si="163"/>
        <v>#VALUE!</v>
      </c>
      <c r="AP610" s="193"/>
      <c r="AQ610" s="204"/>
      <c r="AR610" s="204"/>
      <c r="AS610" s="204"/>
      <c r="AT610" s="205"/>
      <c r="AU610"/>
    </row>
    <row r="611" spans="2:47" ht="15" customHeight="1" x14ac:dyDescent="0.25">
      <c r="B611" s="206"/>
      <c r="C611" s="185"/>
      <c r="D611" s="164"/>
      <c r="E611" s="174"/>
      <c r="F611" s="164"/>
      <c r="G611" s="174"/>
      <c r="H611" s="164"/>
      <c r="I611" s="174"/>
      <c r="J611" s="184"/>
      <c r="K611" s="186"/>
      <c r="L611" s="187" t="str">
        <f t="shared" si="164"/>
        <v/>
      </c>
      <c r="M611" s="187" t="str">
        <f t="shared" si="165"/>
        <v/>
      </c>
      <c r="N611" s="187" t="str">
        <f t="shared" si="157"/>
        <v>D</v>
      </c>
      <c r="O611" s="187" t="str">
        <f t="shared" si="166"/>
        <v>D</v>
      </c>
      <c r="P611" s="187">
        <f t="shared" si="167"/>
        <v>1</v>
      </c>
      <c r="Q611" s="187">
        <f>IFERROR(VLOOKUP(E611,Tabela_Deflator:E$43,5,FALSE),1)</f>
        <v>1</v>
      </c>
      <c r="R611" s="188" t="str">
        <f t="shared" si="168"/>
        <v/>
      </c>
      <c r="S611" s="237" t="str">
        <f t="shared" si="158"/>
        <v/>
      </c>
      <c r="T611" s="237" t="str">
        <f t="shared" si="173"/>
        <v/>
      </c>
      <c r="U611" s="189"/>
      <c r="V611" s="167"/>
      <c r="W611" s="165"/>
      <c r="X611" s="164"/>
      <c r="Y611" s="164"/>
      <c r="Z611" s="164"/>
      <c r="AA611" s="174"/>
      <c r="AB611" s="164"/>
      <c r="AC611" s="174"/>
      <c r="AD611" s="184"/>
      <c r="AE611" s="190" t="str">
        <f t="shared" si="169"/>
        <v/>
      </c>
      <c r="AF611" s="190" t="str">
        <f t="shared" si="170"/>
        <v/>
      </c>
      <c r="AG611" s="190" t="str">
        <f t="shared" si="159"/>
        <v>D</v>
      </c>
      <c r="AH611" s="190">
        <f>IFERROR(VLOOKUP(Y611,SISP_Deflatores_e_INMs!B$4:F$49,3,FALSE),1)</f>
        <v>1</v>
      </c>
      <c r="AI611" s="190">
        <f>IFERROR(VLOOKUP(Y611,SISP_Deflatores_e_INMs!B$4:G$49,5,FALSE),1)</f>
        <v>1</v>
      </c>
      <c r="AJ611" s="191" t="str">
        <f t="shared" si="171"/>
        <v/>
      </c>
      <c r="AK611" s="237" t="str">
        <f t="shared" si="160"/>
        <v/>
      </c>
      <c r="AL611" s="237" t="str">
        <f t="shared" si="172"/>
        <v/>
      </c>
      <c r="AM611" s="192" t="e">
        <f t="shared" si="161"/>
        <v>#VALUE!</v>
      </c>
      <c r="AN611" s="193" t="e">
        <f t="shared" si="162"/>
        <v>#VALUE!</v>
      </c>
      <c r="AO611" s="193" t="e">
        <f t="shared" si="163"/>
        <v>#VALUE!</v>
      </c>
      <c r="AP611" s="193"/>
      <c r="AQ611" s="204"/>
      <c r="AR611" s="204"/>
      <c r="AS611" s="204"/>
      <c r="AT611" s="205"/>
      <c r="AU611"/>
    </row>
    <row r="612" spans="2:47" ht="15" customHeight="1" x14ac:dyDescent="0.25">
      <c r="B612" s="206"/>
      <c r="C612" s="185"/>
      <c r="D612" s="164"/>
      <c r="E612" s="174"/>
      <c r="F612" s="164"/>
      <c r="G612" s="174"/>
      <c r="H612" s="164"/>
      <c r="I612" s="174"/>
      <c r="J612" s="184"/>
      <c r="K612" s="186"/>
      <c r="L612" s="187" t="str">
        <f t="shared" si="164"/>
        <v/>
      </c>
      <c r="M612" s="187" t="str">
        <f t="shared" si="165"/>
        <v/>
      </c>
      <c r="N612" s="187" t="str">
        <f t="shared" si="157"/>
        <v>D</v>
      </c>
      <c r="O612" s="187" t="str">
        <f t="shared" si="166"/>
        <v>D</v>
      </c>
      <c r="P612" s="187">
        <f t="shared" si="167"/>
        <v>1</v>
      </c>
      <c r="Q612" s="187">
        <f>IFERROR(VLOOKUP(E612,Tabela_Deflator:E$43,5,FALSE),1)</f>
        <v>1</v>
      </c>
      <c r="R612" s="188" t="str">
        <f t="shared" si="168"/>
        <v/>
      </c>
      <c r="S612" s="237" t="str">
        <f t="shared" si="158"/>
        <v/>
      </c>
      <c r="T612" s="237" t="str">
        <f t="shared" si="173"/>
        <v/>
      </c>
      <c r="U612" s="189"/>
      <c r="V612" s="167"/>
      <c r="W612" s="165"/>
      <c r="X612" s="164"/>
      <c r="Y612" s="164"/>
      <c r="Z612" s="164"/>
      <c r="AA612" s="174"/>
      <c r="AB612" s="164"/>
      <c r="AC612" s="174"/>
      <c r="AD612" s="184"/>
      <c r="AE612" s="190" t="str">
        <f t="shared" si="169"/>
        <v/>
      </c>
      <c r="AF612" s="190" t="str">
        <f t="shared" si="170"/>
        <v/>
      </c>
      <c r="AG612" s="190" t="str">
        <f t="shared" si="159"/>
        <v>D</v>
      </c>
      <c r="AH612" s="190">
        <f>IFERROR(VLOOKUP(Y612,SISP_Deflatores_e_INMs!B$4:F$49,3,FALSE),1)</f>
        <v>1</v>
      </c>
      <c r="AI612" s="190">
        <f>IFERROR(VLOOKUP(Y612,SISP_Deflatores_e_INMs!B$4:G$49,5,FALSE),1)</f>
        <v>1</v>
      </c>
      <c r="AJ612" s="191" t="str">
        <f t="shared" si="171"/>
        <v/>
      </c>
      <c r="AK612" s="237" t="str">
        <f t="shared" si="160"/>
        <v/>
      </c>
      <c r="AL612" s="237" t="str">
        <f t="shared" si="172"/>
        <v/>
      </c>
      <c r="AM612" s="192" t="e">
        <f t="shared" si="161"/>
        <v>#VALUE!</v>
      </c>
      <c r="AN612" s="193" t="e">
        <f t="shared" si="162"/>
        <v>#VALUE!</v>
      </c>
      <c r="AO612" s="193" t="e">
        <f t="shared" si="163"/>
        <v>#VALUE!</v>
      </c>
      <c r="AP612" s="193"/>
      <c r="AQ612" s="204"/>
      <c r="AR612" s="204"/>
      <c r="AS612" s="204"/>
      <c r="AT612" s="205"/>
      <c r="AU612"/>
    </row>
    <row r="613" spans="2:47" ht="15" customHeight="1" x14ac:dyDescent="0.25">
      <c r="B613" s="206"/>
      <c r="C613" s="185"/>
      <c r="D613" s="164"/>
      <c r="E613" s="174"/>
      <c r="F613" s="164"/>
      <c r="G613" s="174"/>
      <c r="H613" s="164"/>
      <c r="I613" s="174"/>
      <c r="J613" s="184"/>
      <c r="K613" s="186"/>
      <c r="L613" s="187" t="str">
        <f t="shared" si="164"/>
        <v/>
      </c>
      <c r="M613" s="187" t="str">
        <f t="shared" si="165"/>
        <v/>
      </c>
      <c r="N613" s="187" t="str">
        <f t="shared" si="157"/>
        <v>D</v>
      </c>
      <c r="O613" s="187" t="str">
        <f t="shared" si="166"/>
        <v>D</v>
      </c>
      <c r="P613" s="187">
        <f t="shared" si="167"/>
        <v>1</v>
      </c>
      <c r="Q613" s="187">
        <f>IFERROR(VLOOKUP(E613,Tabela_Deflator:E$43,5,FALSE),1)</f>
        <v>1</v>
      </c>
      <c r="R613" s="188" t="str">
        <f t="shared" si="168"/>
        <v/>
      </c>
      <c r="S613" s="237" t="str">
        <f t="shared" si="158"/>
        <v/>
      </c>
      <c r="T613" s="237" t="str">
        <f t="shared" si="173"/>
        <v/>
      </c>
      <c r="U613" s="189"/>
      <c r="V613" s="167"/>
      <c r="W613" s="165"/>
      <c r="X613" s="164"/>
      <c r="Y613" s="164"/>
      <c r="Z613" s="164"/>
      <c r="AA613" s="174"/>
      <c r="AB613" s="164"/>
      <c r="AC613" s="174"/>
      <c r="AD613" s="184"/>
      <c r="AE613" s="190" t="str">
        <f t="shared" si="169"/>
        <v/>
      </c>
      <c r="AF613" s="190" t="str">
        <f t="shared" si="170"/>
        <v/>
      </c>
      <c r="AG613" s="190" t="str">
        <f t="shared" si="159"/>
        <v>D</v>
      </c>
      <c r="AH613" s="190">
        <f>IFERROR(VLOOKUP(Y613,SISP_Deflatores_e_INMs!B$4:F$49,3,FALSE),1)</f>
        <v>1</v>
      </c>
      <c r="AI613" s="190">
        <f>IFERROR(VLOOKUP(Y613,SISP_Deflatores_e_INMs!B$4:G$49,5,FALSE),1)</f>
        <v>1</v>
      </c>
      <c r="AJ613" s="191" t="str">
        <f t="shared" si="171"/>
        <v/>
      </c>
      <c r="AK613" s="237" t="str">
        <f t="shared" si="160"/>
        <v/>
      </c>
      <c r="AL613" s="237" t="str">
        <f t="shared" si="172"/>
        <v/>
      </c>
      <c r="AM613" s="192" t="e">
        <f t="shared" si="161"/>
        <v>#VALUE!</v>
      </c>
      <c r="AN613" s="193" t="e">
        <f t="shared" si="162"/>
        <v>#VALUE!</v>
      </c>
      <c r="AO613" s="193" t="e">
        <f t="shared" si="163"/>
        <v>#VALUE!</v>
      </c>
      <c r="AP613" s="193"/>
      <c r="AQ613" s="204"/>
      <c r="AR613" s="204"/>
      <c r="AS613" s="204"/>
      <c r="AT613" s="205"/>
      <c r="AU613"/>
    </row>
    <row r="614" spans="2:47" ht="15" customHeight="1" x14ac:dyDescent="0.25">
      <c r="B614" s="206"/>
      <c r="C614" s="185"/>
      <c r="D614" s="164"/>
      <c r="E614" s="174"/>
      <c r="F614" s="164"/>
      <c r="G614" s="174"/>
      <c r="H614" s="164"/>
      <c r="I614" s="174"/>
      <c r="J614" s="184"/>
      <c r="K614" s="186"/>
      <c r="L614" s="187" t="str">
        <f t="shared" si="164"/>
        <v/>
      </c>
      <c r="M614" s="187" t="str">
        <f t="shared" si="165"/>
        <v/>
      </c>
      <c r="N614" s="187" t="str">
        <f t="shared" si="157"/>
        <v>D</v>
      </c>
      <c r="O614" s="187" t="str">
        <f t="shared" si="166"/>
        <v>D</v>
      </c>
      <c r="P614" s="187">
        <f t="shared" si="167"/>
        <v>1</v>
      </c>
      <c r="Q614" s="187">
        <f>IFERROR(VLOOKUP(E614,Tabela_Deflator:E$43,5,FALSE),1)</f>
        <v>1</v>
      </c>
      <c r="R614" s="188" t="str">
        <f t="shared" si="168"/>
        <v/>
      </c>
      <c r="S614" s="237" t="str">
        <f t="shared" si="158"/>
        <v/>
      </c>
      <c r="T614" s="237" t="str">
        <f t="shared" si="173"/>
        <v/>
      </c>
      <c r="U614" s="189"/>
      <c r="V614" s="167"/>
      <c r="W614" s="165"/>
      <c r="X614" s="164"/>
      <c r="Y614" s="164"/>
      <c r="Z614" s="164"/>
      <c r="AA614" s="174"/>
      <c r="AB614" s="164"/>
      <c r="AC614" s="174"/>
      <c r="AD614" s="184"/>
      <c r="AE614" s="190" t="str">
        <f t="shared" si="169"/>
        <v/>
      </c>
      <c r="AF614" s="190" t="str">
        <f t="shared" si="170"/>
        <v/>
      </c>
      <c r="AG614" s="190" t="str">
        <f t="shared" si="159"/>
        <v>D</v>
      </c>
      <c r="AH614" s="190">
        <f>IFERROR(VLOOKUP(Y614,SISP_Deflatores_e_INMs!B$4:F$49,3,FALSE),1)</f>
        <v>1</v>
      </c>
      <c r="AI614" s="190">
        <f>IFERROR(VLOOKUP(Y614,SISP_Deflatores_e_INMs!B$4:G$49,5,FALSE),1)</f>
        <v>1</v>
      </c>
      <c r="AJ614" s="191" t="str">
        <f t="shared" si="171"/>
        <v/>
      </c>
      <c r="AK614" s="237" t="str">
        <f t="shared" si="160"/>
        <v/>
      </c>
      <c r="AL614" s="237" t="str">
        <f t="shared" si="172"/>
        <v/>
      </c>
      <c r="AM614" s="192" t="e">
        <f t="shared" si="161"/>
        <v>#VALUE!</v>
      </c>
      <c r="AN614" s="193" t="e">
        <f t="shared" si="162"/>
        <v>#VALUE!</v>
      </c>
      <c r="AO614" s="193" t="e">
        <f t="shared" si="163"/>
        <v>#VALUE!</v>
      </c>
      <c r="AP614" s="193"/>
      <c r="AQ614" s="204"/>
      <c r="AR614" s="204"/>
      <c r="AS614" s="204"/>
      <c r="AT614" s="205"/>
      <c r="AU614"/>
    </row>
    <row r="615" spans="2:47" ht="15" customHeight="1" x14ac:dyDescent="0.25">
      <c r="B615" s="206"/>
      <c r="C615" s="185"/>
      <c r="D615" s="164"/>
      <c r="E615" s="174"/>
      <c r="F615" s="164"/>
      <c r="G615" s="174"/>
      <c r="H615" s="164"/>
      <c r="I615" s="174"/>
      <c r="J615" s="184"/>
      <c r="K615" s="186"/>
      <c r="L615" s="187" t="str">
        <f t="shared" si="164"/>
        <v/>
      </c>
      <c r="M615" s="187" t="str">
        <f t="shared" si="165"/>
        <v/>
      </c>
      <c r="N615" s="187" t="str">
        <f t="shared" si="157"/>
        <v>D</v>
      </c>
      <c r="O615" s="187" t="str">
        <f t="shared" si="166"/>
        <v>D</v>
      </c>
      <c r="P615" s="187">
        <f t="shared" si="167"/>
        <v>1</v>
      </c>
      <c r="Q615" s="187">
        <f>IFERROR(VLOOKUP(E615,Tabela_Deflator:E$43,5,FALSE),1)</f>
        <v>1</v>
      </c>
      <c r="R615" s="188" t="str">
        <f t="shared" si="168"/>
        <v/>
      </c>
      <c r="S615" s="237" t="str">
        <f t="shared" si="158"/>
        <v/>
      </c>
      <c r="T615" s="237" t="str">
        <f t="shared" si="173"/>
        <v/>
      </c>
      <c r="U615" s="189"/>
      <c r="V615" s="167"/>
      <c r="W615" s="165"/>
      <c r="X615" s="164"/>
      <c r="Y615" s="164"/>
      <c r="Z615" s="164"/>
      <c r="AA615" s="174"/>
      <c r="AB615" s="164"/>
      <c r="AC615" s="174"/>
      <c r="AD615" s="184"/>
      <c r="AE615" s="190" t="str">
        <f t="shared" si="169"/>
        <v/>
      </c>
      <c r="AF615" s="190" t="str">
        <f t="shared" si="170"/>
        <v/>
      </c>
      <c r="AG615" s="190" t="str">
        <f t="shared" si="159"/>
        <v>D</v>
      </c>
      <c r="AH615" s="190">
        <f>IFERROR(VLOOKUP(Y615,SISP_Deflatores_e_INMs!B$4:F$49,3,FALSE),1)</f>
        <v>1</v>
      </c>
      <c r="AI615" s="190">
        <f>IFERROR(VLOOKUP(Y615,SISP_Deflatores_e_INMs!B$4:G$49,5,FALSE),1)</f>
        <v>1</v>
      </c>
      <c r="AJ615" s="191" t="str">
        <f t="shared" si="171"/>
        <v/>
      </c>
      <c r="AK615" s="237" t="str">
        <f t="shared" si="160"/>
        <v/>
      </c>
      <c r="AL615" s="237" t="str">
        <f t="shared" si="172"/>
        <v/>
      </c>
      <c r="AM615" s="192" t="e">
        <f t="shared" si="161"/>
        <v>#VALUE!</v>
      </c>
      <c r="AN615" s="193" t="e">
        <f t="shared" si="162"/>
        <v>#VALUE!</v>
      </c>
      <c r="AO615" s="193" t="e">
        <f t="shared" si="163"/>
        <v>#VALUE!</v>
      </c>
      <c r="AP615" s="193"/>
      <c r="AQ615" s="204"/>
      <c r="AR615" s="204"/>
      <c r="AS615" s="204"/>
      <c r="AT615" s="205"/>
      <c r="AU615"/>
    </row>
    <row r="616" spans="2:47" ht="15" customHeight="1" x14ac:dyDescent="0.25">
      <c r="B616" s="206"/>
      <c r="C616" s="185"/>
      <c r="D616" s="164"/>
      <c r="E616" s="174"/>
      <c r="F616" s="164"/>
      <c r="G616" s="174"/>
      <c r="H616" s="164"/>
      <c r="I616" s="174"/>
      <c r="J616" s="184"/>
      <c r="K616" s="186"/>
      <c r="L616" s="187" t="str">
        <f t="shared" si="164"/>
        <v/>
      </c>
      <c r="M616" s="187" t="str">
        <f t="shared" si="165"/>
        <v/>
      </c>
      <c r="N616" s="187" t="str">
        <f t="shared" si="157"/>
        <v>D</v>
      </c>
      <c r="O616" s="187" t="str">
        <f t="shared" si="166"/>
        <v>D</v>
      </c>
      <c r="P616" s="187">
        <f t="shared" si="167"/>
        <v>1</v>
      </c>
      <c r="Q616" s="187">
        <f>IFERROR(VLOOKUP(E616,Tabela_Deflator:E$43,5,FALSE),1)</f>
        <v>1</v>
      </c>
      <c r="R616" s="188" t="str">
        <f t="shared" si="168"/>
        <v/>
      </c>
      <c r="S616" s="237" t="str">
        <f t="shared" si="158"/>
        <v/>
      </c>
      <c r="T616" s="237" t="str">
        <f t="shared" si="173"/>
        <v/>
      </c>
      <c r="U616" s="189"/>
      <c r="V616" s="167"/>
      <c r="W616" s="165"/>
      <c r="X616" s="164"/>
      <c r="Y616" s="164"/>
      <c r="Z616" s="164"/>
      <c r="AA616" s="174"/>
      <c r="AB616" s="164"/>
      <c r="AC616" s="174"/>
      <c r="AD616" s="184"/>
      <c r="AE616" s="190" t="str">
        <f t="shared" si="169"/>
        <v/>
      </c>
      <c r="AF616" s="190" t="str">
        <f t="shared" si="170"/>
        <v/>
      </c>
      <c r="AG616" s="190" t="str">
        <f t="shared" si="159"/>
        <v>D</v>
      </c>
      <c r="AH616" s="190">
        <f>IFERROR(VLOOKUP(Y616,SISP_Deflatores_e_INMs!B$4:F$49,3,FALSE),1)</f>
        <v>1</v>
      </c>
      <c r="AI616" s="190">
        <f>IFERROR(VLOOKUP(Y616,SISP_Deflatores_e_INMs!B$4:G$49,5,FALSE),1)</f>
        <v>1</v>
      </c>
      <c r="AJ616" s="191" t="str">
        <f t="shared" si="171"/>
        <v/>
      </c>
      <c r="AK616" s="237" t="str">
        <f t="shared" si="160"/>
        <v/>
      </c>
      <c r="AL616" s="237" t="str">
        <f t="shared" si="172"/>
        <v/>
      </c>
      <c r="AM616" s="192" t="e">
        <f t="shared" si="161"/>
        <v>#VALUE!</v>
      </c>
      <c r="AN616" s="193" t="e">
        <f t="shared" si="162"/>
        <v>#VALUE!</v>
      </c>
      <c r="AO616" s="193" t="e">
        <f t="shared" si="163"/>
        <v>#VALUE!</v>
      </c>
      <c r="AP616" s="193"/>
      <c r="AQ616" s="204"/>
      <c r="AR616" s="204"/>
      <c r="AS616" s="204"/>
      <c r="AT616" s="205"/>
      <c r="AU616"/>
    </row>
    <row r="617" spans="2:47" ht="15" customHeight="1" x14ac:dyDescent="0.25">
      <c r="B617" s="206"/>
      <c r="C617" s="185"/>
      <c r="D617" s="164"/>
      <c r="E617" s="174"/>
      <c r="F617" s="164"/>
      <c r="G617" s="174"/>
      <c r="H617" s="164"/>
      <c r="I617" s="174"/>
      <c r="J617" s="184"/>
      <c r="K617" s="186"/>
      <c r="L617" s="187" t="str">
        <f t="shared" si="164"/>
        <v/>
      </c>
      <c r="M617" s="187" t="str">
        <f t="shared" si="165"/>
        <v/>
      </c>
      <c r="N617" s="187" t="str">
        <f t="shared" si="157"/>
        <v>D</v>
      </c>
      <c r="O617" s="187" t="str">
        <f t="shared" si="166"/>
        <v>D</v>
      </c>
      <c r="P617" s="187">
        <f t="shared" si="167"/>
        <v>1</v>
      </c>
      <c r="Q617" s="187">
        <f>IFERROR(VLOOKUP(E617,Tabela_Deflator:E$43,5,FALSE),1)</f>
        <v>1</v>
      </c>
      <c r="R617" s="188" t="str">
        <f t="shared" si="168"/>
        <v/>
      </c>
      <c r="S617" s="237" t="str">
        <f t="shared" si="158"/>
        <v/>
      </c>
      <c r="T617" s="237" t="str">
        <f t="shared" si="173"/>
        <v/>
      </c>
      <c r="U617" s="189"/>
      <c r="V617" s="167"/>
      <c r="W617" s="165"/>
      <c r="X617" s="164"/>
      <c r="Y617" s="164"/>
      <c r="Z617" s="164"/>
      <c r="AA617" s="174"/>
      <c r="AB617" s="164"/>
      <c r="AC617" s="174"/>
      <c r="AD617" s="184"/>
      <c r="AE617" s="190" t="str">
        <f t="shared" si="169"/>
        <v/>
      </c>
      <c r="AF617" s="190" t="str">
        <f t="shared" si="170"/>
        <v/>
      </c>
      <c r="AG617" s="190" t="str">
        <f t="shared" si="159"/>
        <v>D</v>
      </c>
      <c r="AH617" s="190">
        <f>IFERROR(VLOOKUP(Y617,SISP_Deflatores_e_INMs!B$4:F$49,3,FALSE),1)</f>
        <v>1</v>
      </c>
      <c r="AI617" s="190">
        <f>IFERROR(VLOOKUP(Y617,SISP_Deflatores_e_INMs!B$4:G$49,5,FALSE),1)</f>
        <v>1</v>
      </c>
      <c r="AJ617" s="191" t="str">
        <f t="shared" si="171"/>
        <v/>
      </c>
      <c r="AK617" s="237" t="str">
        <f t="shared" si="160"/>
        <v/>
      </c>
      <c r="AL617" s="237" t="str">
        <f t="shared" si="172"/>
        <v/>
      </c>
      <c r="AM617" s="192" t="e">
        <f t="shared" si="161"/>
        <v>#VALUE!</v>
      </c>
      <c r="AN617" s="193" t="e">
        <f t="shared" si="162"/>
        <v>#VALUE!</v>
      </c>
      <c r="AO617" s="193" t="e">
        <f t="shared" si="163"/>
        <v>#VALUE!</v>
      </c>
      <c r="AP617" s="193"/>
      <c r="AQ617" s="204"/>
      <c r="AR617" s="204"/>
      <c r="AS617" s="204"/>
      <c r="AT617" s="205"/>
      <c r="AU617"/>
    </row>
    <row r="618" spans="2:47" ht="15" customHeight="1" x14ac:dyDescent="0.25">
      <c r="B618" s="206"/>
      <c r="C618" s="185"/>
      <c r="D618" s="164"/>
      <c r="E618" s="174"/>
      <c r="F618" s="164"/>
      <c r="G618" s="174"/>
      <c r="H618" s="164"/>
      <c r="I618" s="174"/>
      <c r="J618" s="184"/>
      <c r="K618" s="186"/>
      <c r="L618" s="187" t="str">
        <f t="shared" si="164"/>
        <v/>
      </c>
      <c r="M618" s="187" t="str">
        <f t="shared" si="165"/>
        <v/>
      </c>
      <c r="N618" s="187" t="str">
        <f t="shared" si="157"/>
        <v>D</v>
      </c>
      <c r="O618" s="187" t="str">
        <f t="shared" si="166"/>
        <v>D</v>
      </c>
      <c r="P618" s="187">
        <f t="shared" si="167"/>
        <v>1</v>
      </c>
      <c r="Q618" s="187">
        <f>IFERROR(VLOOKUP(E618,Tabela_Deflator:E$43,5,FALSE),1)</f>
        <v>1</v>
      </c>
      <c r="R618" s="188" t="str">
        <f t="shared" si="168"/>
        <v/>
      </c>
      <c r="S618" s="237" t="str">
        <f t="shared" si="158"/>
        <v/>
      </c>
      <c r="T618" s="237" t="str">
        <f t="shared" si="173"/>
        <v/>
      </c>
      <c r="U618" s="189"/>
      <c r="V618" s="167"/>
      <c r="W618" s="165"/>
      <c r="X618" s="164"/>
      <c r="Y618" s="164"/>
      <c r="Z618" s="164"/>
      <c r="AA618" s="174"/>
      <c r="AB618" s="164"/>
      <c r="AC618" s="174"/>
      <c r="AD618" s="184"/>
      <c r="AE618" s="190" t="str">
        <f t="shared" si="169"/>
        <v/>
      </c>
      <c r="AF618" s="190" t="str">
        <f t="shared" si="170"/>
        <v/>
      </c>
      <c r="AG618" s="190" t="str">
        <f t="shared" si="159"/>
        <v>D</v>
      </c>
      <c r="AH618" s="190">
        <f>IFERROR(VLOOKUP(Y618,SISP_Deflatores_e_INMs!B$4:F$49,3,FALSE),1)</f>
        <v>1</v>
      </c>
      <c r="AI618" s="190">
        <f>IFERROR(VLOOKUP(Y618,SISP_Deflatores_e_INMs!B$4:G$49,5,FALSE),1)</f>
        <v>1</v>
      </c>
      <c r="AJ618" s="191" t="str">
        <f t="shared" si="171"/>
        <v/>
      </c>
      <c r="AK618" s="237" t="str">
        <f t="shared" si="160"/>
        <v/>
      </c>
      <c r="AL618" s="237" t="str">
        <f t="shared" si="172"/>
        <v/>
      </c>
      <c r="AM618" s="192" t="e">
        <f t="shared" si="161"/>
        <v>#VALUE!</v>
      </c>
      <c r="AN618" s="193" t="e">
        <f t="shared" si="162"/>
        <v>#VALUE!</v>
      </c>
      <c r="AO618" s="193" t="e">
        <f t="shared" si="163"/>
        <v>#VALUE!</v>
      </c>
      <c r="AP618" s="193"/>
      <c r="AQ618" s="204"/>
      <c r="AR618" s="204"/>
      <c r="AS618" s="204"/>
      <c r="AT618" s="205"/>
      <c r="AU618"/>
    </row>
    <row r="619" spans="2:47" ht="15" customHeight="1" x14ac:dyDescent="0.25">
      <c r="B619" s="206"/>
      <c r="C619" s="185"/>
      <c r="D619" s="164"/>
      <c r="E619" s="174"/>
      <c r="F619" s="164"/>
      <c r="G619" s="174"/>
      <c r="H619" s="164"/>
      <c r="I619" s="174"/>
      <c r="J619" s="184"/>
      <c r="K619" s="186"/>
      <c r="L619" s="187" t="str">
        <f t="shared" si="164"/>
        <v/>
      </c>
      <c r="M619" s="187" t="str">
        <f t="shared" si="165"/>
        <v/>
      </c>
      <c r="N619" s="187" t="str">
        <f t="shared" si="157"/>
        <v>D</v>
      </c>
      <c r="O619" s="187" t="str">
        <f t="shared" si="166"/>
        <v>D</v>
      </c>
      <c r="P619" s="187">
        <f t="shared" si="167"/>
        <v>1</v>
      </c>
      <c r="Q619" s="187">
        <f>IFERROR(VLOOKUP(E619,Tabela_Deflator:E$43,5,FALSE),1)</f>
        <v>1</v>
      </c>
      <c r="R619" s="188" t="str">
        <f t="shared" si="168"/>
        <v/>
      </c>
      <c r="S619" s="237" t="str">
        <f t="shared" si="158"/>
        <v/>
      </c>
      <c r="T619" s="237" t="str">
        <f t="shared" si="173"/>
        <v/>
      </c>
      <c r="U619" s="189"/>
      <c r="V619" s="167"/>
      <c r="W619" s="165"/>
      <c r="X619" s="164"/>
      <c r="Y619" s="164"/>
      <c r="Z619" s="164"/>
      <c r="AA619" s="174"/>
      <c r="AB619" s="164"/>
      <c r="AC619" s="174"/>
      <c r="AD619" s="184"/>
      <c r="AE619" s="190" t="str">
        <f t="shared" si="169"/>
        <v/>
      </c>
      <c r="AF619" s="190" t="str">
        <f t="shared" si="170"/>
        <v/>
      </c>
      <c r="AG619" s="190" t="str">
        <f t="shared" si="159"/>
        <v>D</v>
      </c>
      <c r="AH619" s="190">
        <f>IFERROR(VLOOKUP(Y619,SISP_Deflatores_e_INMs!B$4:F$49,3,FALSE),1)</f>
        <v>1</v>
      </c>
      <c r="AI619" s="190">
        <f>IFERROR(VLOOKUP(Y619,SISP_Deflatores_e_INMs!B$4:G$49,5,FALSE),1)</f>
        <v>1</v>
      </c>
      <c r="AJ619" s="191" t="str">
        <f t="shared" si="171"/>
        <v/>
      </c>
      <c r="AK619" s="237" t="str">
        <f t="shared" si="160"/>
        <v/>
      </c>
      <c r="AL619" s="237" t="str">
        <f t="shared" si="172"/>
        <v/>
      </c>
      <c r="AM619" s="192" t="e">
        <f t="shared" si="161"/>
        <v>#VALUE!</v>
      </c>
      <c r="AN619" s="193" t="e">
        <f t="shared" si="162"/>
        <v>#VALUE!</v>
      </c>
      <c r="AO619" s="193" t="e">
        <f t="shared" si="163"/>
        <v>#VALUE!</v>
      </c>
      <c r="AP619" s="193"/>
      <c r="AQ619" s="204"/>
      <c r="AR619" s="204"/>
      <c r="AS619" s="204"/>
      <c r="AT619" s="205"/>
      <c r="AU619"/>
    </row>
    <row r="620" spans="2:47" ht="15" customHeight="1" x14ac:dyDescent="0.25">
      <c r="B620" s="206"/>
      <c r="C620" s="185"/>
      <c r="D620" s="164"/>
      <c r="E620" s="174"/>
      <c r="F620" s="164"/>
      <c r="G620" s="174"/>
      <c r="H620" s="164"/>
      <c r="I620" s="174"/>
      <c r="J620" s="184"/>
      <c r="K620" s="186"/>
      <c r="L620" s="187" t="str">
        <f t="shared" si="164"/>
        <v/>
      </c>
      <c r="M620" s="187" t="str">
        <f t="shared" si="165"/>
        <v/>
      </c>
      <c r="N620" s="187" t="str">
        <f t="shared" si="157"/>
        <v>D</v>
      </c>
      <c r="O620" s="187" t="str">
        <f t="shared" si="166"/>
        <v>D</v>
      </c>
      <c r="P620" s="187">
        <f t="shared" si="167"/>
        <v>1</v>
      </c>
      <c r="Q620" s="187">
        <f>IFERROR(VLOOKUP(E620,Tabela_Deflator:E$43,5,FALSE),1)</f>
        <v>1</v>
      </c>
      <c r="R620" s="188" t="str">
        <f t="shared" si="168"/>
        <v/>
      </c>
      <c r="S620" s="237" t="str">
        <f t="shared" si="158"/>
        <v/>
      </c>
      <c r="T620" s="237" t="str">
        <f t="shared" si="173"/>
        <v/>
      </c>
      <c r="U620" s="189"/>
      <c r="V620" s="167"/>
      <c r="W620" s="165"/>
      <c r="X620" s="164"/>
      <c r="Y620" s="164"/>
      <c r="Z620" s="164"/>
      <c r="AA620" s="174"/>
      <c r="AB620" s="164"/>
      <c r="AC620" s="174"/>
      <c r="AD620" s="184"/>
      <c r="AE620" s="190" t="str">
        <f t="shared" si="169"/>
        <v/>
      </c>
      <c r="AF620" s="190" t="str">
        <f t="shared" si="170"/>
        <v/>
      </c>
      <c r="AG620" s="190" t="str">
        <f t="shared" si="159"/>
        <v>D</v>
      </c>
      <c r="AH620" s="190">
        <f>IFERROR(VLOOKUP(Y620,SISP_Deflatores_e_INMs!B$4:F$49,3,FALSE),1)</f>
        <v>1</v>
      </c>
      <c r="AI620" s="190">
        <f>IFERROR(VLOOKUP(Y620,SISP_Deflatores_e_INMs!B$4:G$49,5,FALSE),1)</f>
        <v>1</v>
      </c>
      <c r="AJ620" s="191" t="str">
        <f t="shared" si="171"/>
        <v/>
      </c>
      <c r="AK620" s="237" t="str">
        <f t="shared" si="160"/>
        <v/>
      </c>
      <c r="AL620" s="237" t="str">
        <f t="shared" si="172"/>
        <v/>
      </c>
      <c r="AM620" s="192" t="e">
        <f t="shared" si="161"/>
        <v>#VALUE!</v>
      </c>
      <c r="AN620" s="193" t="e">
        <f t="shared" si="162"/>
        <v>#VALUE!</v>
      </c>
      <c r="AO620" s="193" t="e">
        <f t="shared" si="163"/>
        <v>#VALUE!</v>
      </c>
      <c r="AP620" s="193"/>
      <c r="AQ620" s="204"/>
      <c r="AR620" s="204"/>
      <c r="AS620" s="204"/>
      <c r="AT620" s="205"/>
      <c r="AU620"/>
    </row>
    <row r="621" spans="2:47" ht="15" customHeight="1" x14ac:dyDescent="0.25">
      <c r="B621" s="206"/>
      <c r="C621" s="185"/>
      <c r="D621" s="164"/>
      <c r="E621" s="174"/>
      <c r="F621" s="164"/>
      <c r="G621" s="174"/>
      <c r="H621" s="164"/>
      <c r="I621" s="174"/>
      <c r="J621" s="184"/>
      <c r="K621" s="186"/>
      <c r="L621" s="187" t="str">
        <f t="shared" si="164"/>
        <v/>
      </c>
      <c r="M621" s="187" t="str">
        <f t="shared" si="165"/>
        <v/>
      </c>
      <c r="N621" s="187" t="str">
        <f t="shared" si="157"/>
        <v>D</v>
      </c>
      <c r="O621" s="187" t="str">
        <f t="shared" si="166"/>
        <v>D</v>
      </c>
      <c r="P621" s="187">
        <f t="shared" si="167"/>
        <v>1</v>
      </c>
      <c r="Q621" s="187">
        <f>IFERROR(VLOOKUP(E621,Tabela_Deflator:E$43,5,FALSE),1)</f>
        <v>1</v>
      </c>
      <c r="R621" s="188" t="str">
        <f t="shared" si="168"/>
        <v/>
      </c>
      <c r="S621" s="237" t="str">
        <f t="shared" si="158"/>
        <v/>
      </c>
      <c r="T621" s="237" t="str">
        <f t="shared" si="173"/>
        <v/>
      </c>
      <c r="U621" s="189"/>
      <c r="V621" s="167"/>
      <c r="W621" s="165"/>
      <c r="X621" s="164"/>
      <c r="Y621" s="164"/>
      <c r="Z621" s="164"/>
      <c r="AA621" s="174"/>
      <c r="AB621" s="164"/>
      <c r="AC621" s="174"/>
      <c r="AD621" s="184"/>
      <c r="AE621" s="190" t="str">
        <f t="shared" si="169"/>
        <v/>
      </c>
      <c r="AF621" s="190" t="str">
        <f t="shared" si="170"/>
        <v/>
      </c>
      <c r="AG621" s="190" t="str">
        <f t="shared" si="159"/>
        <v>D</v>
      </c>
      <c r="AH621" s="190">
        <f>IFERROR(VLOOKUP(Y621,SISP_Deflatores_e_INMs!B$4:F$49,3,FALSE),1)</f>
        <v>1</v>
      </c>
      <c r="AI621" s="190">
        <f>IFERROR(VLOOKUP(Y621,SISP_Deflatores_e_INMs!B$4:G$49,5,FALSE),1)</f>
        <v>1</v>
      </c>
      <c r="AJ621" s="191" t="str">
        <f t="shared" si="171"/>
        <v/>
      </c>
      <c r="AK621" s="237" t="str">
        <f t="shared" si="160"/>
        <v/>
      </c>
      <c r="AL621" s="237" t="str">
        <f t="shared" si="172"/>
        <v/>
      </c>
      <c r="AM621" s="192" t="e">
        <f t="shared" si="161"/>
        <v>#VALUE!</v>
      </c>
      <c r="AN621" s="193" t="e">
        <f t="shared" si="162"/>
        <v>#VALUE!</v>
      </c>
      <c r="AO621" s="193" t="e">
        <f t="shared" si="163"/>
        <v>#VALUE!</v>
      </c>
      <c r="AP621" s="193"/>
      <c r="AQ621" s="204"/>
      <c r="AR621" s="204"/>
      <c r="AS621" s="204"/>
      <c r="AT621" s="205"/>
      <c r="AU621"/>
    </row>
    <row r="622" spans="2:47" ht="15" customHeight="1" x14ac:dyDescent="0.25">
      <c r="B622" s="206"/>
      <c r="C622" s="185"/>
      <c r="D622" s="164"/>
      <c r="E622" s="174"/>
      <c r="F622" s="164"/>
      <c r="G622" s="174"/>
      <c r="H622" s="164"/>
      <c r="I622" s="174"/>
      <c r="J622" s="184"/>
      <c r="K622" s="186"/>
      <c r="L622" s="187" t="str">
        <f t="shared" si="164"/>
        <v/>
      </c>
      <c r="M622" s="187" t="str">
        <f t="shared" si="165"/>
        <v/>
      </c>
      <c r="N622" s="187" t="str">
        <f t="shared" si="157"/>
        <v>D</v>
      </c>
      <c r="O622" s="187" t="str">
        <f t="shared" si="166"/>
        <v>D</v>
      </c>
      <c r="P622" s="187">
        <f t="shared" si="167"/>
        <v>1</v>
      </c>
      <c r="Q622" s="187">
        <f>IFERROR(VLOOKUP(E622,Tabela_Deflator:E$43,5,FALSE),1)</f>
        <v>1</v>
      </c>
      <c r="R622" s="188" t="str">
        <f t="shared" si="168"/>
        <v/>
      </c>
      <c r="S622" s="237" t="str">
        <f t="shared" si="158"/>
        <v/>
      </c>
      <c r="T622" s="237" t="str">
        <f t="shared" si="173"/>
        <v/>
      </c>
      <c r="U622" s="189"/>
      <c r="V622" s="167"/>
      <c r="W622" s="165"/>
      <c r="X622" s="164"/>
      <c r="Y622" s="164"/>
      <c r="Z622" s="164"/>
      <c r="AA622" s="174"/>
      <c r="AB622" s="164"/>
      <c r="AC622" s="174"/>
      <c r="AD622" s="184"/>
      <c r="AE622" s="190" t="str">
        <f t="shared" si="169"/>
        <v/>
      </c>
      <c r="AF622" s="190" t="str">
        <f t="shared" si="170"/>
        <v/>
      </c>
      <c r="AG622" s="190" t="str">
        <f t="shared" si="159"/>
        <v>D</v>
      </c>
      <c r="AH622" s="190">
        <f>IFERROR(VLOOKUP(Y622,SISP_Deflatores_e_INMs!B$4:F$49,3,FALSE),1)</f>
        <v>1</v>
      </c>
      <c r="AI622" s="190">
        <f>IFERROR(VLOOKUP(Y622,SISP_Deflatores_e_INMs!B$4:G$49,5,FALSE),1)</f>
        <v>1</v>
      </c>
      <c r="AJ622" s="191" t="str">
        <f t="shared" si="171"/>
        <v/>
      </c>
      <c r="AK622" s="237" t="str">
        <f t="shared" si="160"/>
        <v/>
      </c>
      <c r="AL622" s="237" t="str">
        <f t="shared" si="172"/>
        <v/>
      </c>
      <c r="AM622" s="192" t="e">
        <f t="shared" si="161"/>
        <v>#VALUE!</v>
      </c>
      <c r="AN622" s="193" t="e">
        <f t="shared" si="162"/>
        <v>#VALUE!</v>
      </c>
      <c r="AO622" s="193" t="e">
        <f t="shared" si="163"/>
        <v>#VALUE!</v>
      </c>
      <c r="AP622" s="193"/>
      <c r="AQ622" s="204"/>
      <c r="AR622" s="204"/>
      <c r="AS622" s="204"/>
      <c r="AT622" s="205"/>
      <c r="AU622"/>
    </row>
    <row r="623" spans="2:47" ht="15" customHeight="1" x14ac:dyDescent="0.25">
      <c r="B623" s="206"/>
      <c r="C623" s="185"/>
      <c r="D623" s="164"/>
      <c r="E623" s="174"/>
      <c r="F623" s="164"/>
      <c r="G623" s="174"/>
      <c r="H623" s="164"/>
      <c r="I623" s="174"/>
      <c r="J623" s="184"/>
      <c r="K623" s="186"/>
      <c r="L623" s="187" t="str">
        <f t="shared" si="164"/>
        <v/>
      </c>
      <c r="M623" s="187" t="str">
        <f t="shared" si="165"/>
        <v/>
      </c>
      <c r="N623" s="187" t="str">
        <f t="shared" si="157"/>
        <v>D</v>
      </c>
      <c r="O623" s="187" t="str">
        <f t="shared" si="166"/>
        <v>D</v>
      </c>
      <c r="P623" s="187">
        <f t="shared" si="167"/>
        <v>1</v>
      </c>
      <c r="Q623" s="187">
        <f>IFERROR(VLOOKUP(E623,Tabela_Deflator:E$43,5,FALSE),1)</f>
        <v>1</v>
      </c>
      <c r="R623" s="188" t="str">
        <f t="shared" si="168"/>
        <v/>
      </c>
      <c r="S623" s="237" t="str">
        <f t="shared" si="158"/>
        <v/>
      </c>
      <c r="T623" s="237" t="str">
        <f t="shared" si="173"/>
        <v/>
      </c>
      <c r="U623" s="189"/>
      <c r="V623" s="167"/>
      <c r="W623" s="165"/>
      <c r="X623" s="164"/>
      <c r="Y623" s="164"/>
      <c r="Z623" s="164"/>
      <c r="AA623" s="174"/>
      <c r="AB623" s="164"/>
      <c r="AC623" s="174"/>
      <c r="AD623" s="184"/>
      <c r="AE623" s="190" t="str">
        <f t="shared" si="169"/>
        <v/>
      </c>
      <c r="AF623" s="190" t="str">
        <f t="shared" si="170"/>
        <v/>
      </c>
      <c r="AG623" s="190" t="str">
        <f t="shared" si="159"/>
        <v>D</v>
      </c>
      <c r="AH623" s="190">
        <f>IFERROR(VLOOKUP(Y623,SISP_Deflatores_e_INMs!B$4:F$49,3,FALSE),1)</f>
        <v>1</v>
      </c>
      <c r="AI623" s="190">
        <f>IFERROR(VLOOKUP(Y623,SISP_Deflatores_e_INMs!B$4:G$49,5,FALSE),1)</f>
        <v>1</v>
      </c>
      <c r="AJ623" s="191" t="str">
        <f t="shared" si="171"/>
        <v/>
      </c>
      <c r="AK623" s="237" t="str">
        <f t="shared" si="160"/>
        <v/>
      </c>
      <c r="AL623" s="237" t="str">
        <f t="shared" si="172"/>
        <v/>
      </c>
      <c r="AM623" s="192" t="e">
        <f t="shared" si="161"/>
        <v>#VALUE!</v>
      </c>
      <c r="AN623" s="193" t="e">
        <f t="shared" si="162"/>
        <v>#VALUE!</v>
      </c>
      <c r="AO623" s="193" t="e">
        <f t="shared" si="163"/>
        <v>#VALUE!</v>
      </c>
      <c r="AP623" s="193"/>
      <c r="AQ623" s="204"/>
      <c r="AR623" s="204"/>
      <c r="AS623" s="204"/>
      <c r="AT623" s="205"/>
      <c r="AU623"/>
    </row>
    <row r="624" spans="2:47" ht="15" customHeight="1" x14ac:dyDescent="0.25">
      <c r="B624" s="206"/>
      <c r="C624" s="185"/>
      <c r="D624" s="164"/>
      <c r="E624" s="174"/>
      <c r="F624" s="164"/>
      <c r="G624" s="174"/>
      <c r="H624" s="164"/>
      <c r="I624" s="174"/>
      <c r="J624" s="184"/>
      <c r="K624" s="186"/>
      <c r="L624" s="187" t="str">
        <f t="shared" si="164"/>
        <v/>
      </c>
      <c r="M624" s="187" t="str">
        <f t="shared" si="165"/>
        <v/>
      </c>
      <c r="N624" s="187" t="str">
        <f t="shared" si="157"/>
        <v>D</v>
      </c>
      <c r="O624" s="187" t="str">
        <f t="shared" si="166"/>
        <v>D</v>
      </c>
      <c r="P624" s="187">
        <f t="shared" si="167"/>
        <v>1</v>
      </c>
      <c r="Q624" s="187">
        <f>IFERROR(VLOOKUP(E624,Tabela_Deflator:E$43,5,FALSE),1)</f>
        <v>1</v>
      </c>
      <c r="R624" s="188" t="str">
        <f t="shared" si="168"/>
        <v/>
      </c>
      <c r="S624" s="237" t="str">
        <f t="shared" si="158"/>
        <v/>
      </c>
      <c r="T624" s="237" t="str">
        <f t="shared" si="173"/>
        <v/>
      </c>
      <c r="U624" s="189"/>
      <c r="V624" s="167"/>
      <c r="W624" s="165"/>
      <c r="X624" s="164"/>
      <c r="Y624" s="164"/>
      <c r="Z624" s="164"/>
      <c r="AA624" s="174"/>
      <c r="AB624" s="164"/>
      <c r="AC624" s="174"/>
      <c r="AD624" s="184"/>
      <c r="AE624" s="190" t="str">
        <f t="shared" si="169"/>
        <v/>
      </c>
      <c r="AF624" s="190" t="str">
        <f t="shared" si="170"/>
        <v/>
      </c>
      <c r="AG624" s="190" t="str">
        <f t="shared" si="159"/>
        <v>D</v>
      </c>
      <c r="AH624" s="190">
        <f>IFERROR(VLOOKUP(Y624,SISP_Deflatores_e_INMs!B$4:F$49,3,FALSE),1)</f>
        <v>1</v>
      </c>
      <c r="AI624" s="190">
        <f>IFERROR(VLOOKUP(Y624,SISP_Deflatores_e_INMs!B$4:G$49,5,FALSE),1)</f>
        <v>1</v>
      </c>
      <c r="AJ624" s="191" t="str">
        <f t="shared" si="171"/>
        <v/>
      </c>
      <c r="AK624" s="237" t="str">
        <f t="shared" si="160"/>
        <v/>
      </c>
      <c r="AL624" s="237" t="str">
        <f t="shared" si="172"/>
        <v/>
      </c>
      <c r="AM624" s="192" t="e">
        <f t="shared" si="161"/>
        <v>#VALUE!</v>
      </c>
      <c r="AN624" s="193" t="e">
        <f t="shared" si="162"/>
        <v>#VALUE!</v>
      </c>
      <c r="AO624" s="193" t="e">
        <f t="shared" si="163"/>
        <v>#VALUE!</v>
      </c>
      <c r="AP624" s="193"/>
      <c r="AQ624" s="204"/>
      <c r="AR624" s="204"/>
      <c r="AS624" s="204"/>
      <c r="AT624" s="205"/>
      <c r="AU624"/>
    </row>
    <row r="625" spans="2:47" ht="15" customHeight="1" x14ac:dyDescent="0.25">
      <c r="B625" s="206"/>
      <c r="C625" s="185"/>
      <c r="D625" s="164"/>
      <c r="E625" s="174"/>
      <c r="F625" s="164"/>
      <c r="G625" s="174"/>
      <c r="H625" s="164"/>
      <c r="I625" s="174"/>
      <c r="J625" s="184"/>
      <c r="K625" s="186"/>
      <c r="L625" s="187" t="str">
        <f t="shared" si="164"/>
        <v/>
      </c>
      <c r="M625" s="187" t="str">
        <f t="shared" si="165"/>
        <v/>
      </c>
      <c r="N625" s="187" t="str">
        <f t="shared" si="157"/>
        <v>D</v>
      </c>
      <c r="O625" s="187" t="str">
        <f t="shared" si="166"/>
        <v>D</v>
      </c>
      <c r="P625" s="187">
        <f t="shared" si="167"/>
        <v>1</v>
      </c>
      <c r="Q625" s="187">
        <f>IFERROR(VLOOKUP(E625,Tabela_Deflator:E$43,5,FALSE),1)</f>
        <v>1</v>
      </c>
      <c r="R625" s="188" t="str">
        <f t="shared" si="168"/>
        <v/>
      </c>
      <c r="S625" s="237" t="str">
        <f t="shared" si="158"/>
        <v/>
      </c>
      <c r="T625" s="237" t="str">
        <f t="shared" si="173"/>
        <v/>
      </c>
      <c r="U625" s="189"/>
      <c r="V625" s="167"/>
      <c r="W625" s="165"/>
      <c r="X625" s="164"/>
      <c r="Y625" s="164"/>
      <c r="Z625" s="164"/>
      <c r="AA625" s="174"/>
      <c r="AB625" s="164"/>
      <c r="AC625" s="174"/>
      <c r="AD625" s="184"/>
      <c r="AE625" s="190" t="str">
        <f t="shared" si="169"/>
        <v/>
      </c>
      <c r="AF625" s="190" t="str">
        <f t="shared" si="170"/>
        <v/>
      </c>
      <c r="AG625" s="190" t="str">
        <f t="shared" si="159"/>
        <v>D</v>
      </c>
      <c r="AH625" s="190">
        <f>IFERROR(VLOOKUP(Y625,SISP_Deflatores_e_INMs!B$4:F$49,3,FALSE),1)</f>
        <v>1</v>
      </c>
      <c r="AI625" s="190">
        <f>IFERROR(VLOOKUP(Y625,SISP_Deflatores_e_INMs!B$4:G$49,5,FALSE),1)</f>
        <v>1</v>
      </c>
      <c r="AJ625" s="191" t="str">
        <f t="shared" si="171"/>
        <v/>
      </c>
      <c r="AK625" s="237" t="str">
        <f t="shared" si="160"/>
        <v/>
      </c>
      <c r="AL625" s="237" t="str">
        <f t="shared" si="172"/>
        <v/>
      </c>
      <c r="AM625" s="192" t="e">
        <f t="shared" si="161"/>
        <v>#VALUE!</v>
      </c>
      <c r="AN625" s="193" t="e">
        <f t="shared" si="162"/>
        <v>#VALUE!</v>
      </c>
      <c r="AO625" s="193" t="e">
        <f t="shared" si="163"/>
        <v>#VALUE!</v>
      </c>
      <c r="AP625" s="193"/>
      <c r="AQ625" s="204"/>
      <c r="AR625" s="204"/>
      <c r="AS625" s="204"/>
      <c r="AT625" s="205"/>
      <c r="AU625"/>
    </row>
    <row r="626" spans="2:47" ht="15" customHeight="1" x14ac:dyDescent="0.25">
      <c r="B626" s="206"/>
      <c r="C626" s="185"/>
      <c r="D626" s="164"/>
      <c r="E626" s="174"/>
      <c r="F626" s="164"/>
      <c r="G626" s="174"/>
      <c r="H626" s="164"/>
      <c r="I626" s="174"/>
      <c r="J626" s="184"/>
      <c r="K626" s="186"/>
      <c r="L626" s="187" t="str">
        <f t="shared" si="164"/>
        <v/>
      </c>
      <c r="M626" s="187" t="str">
        <f t="shared" si="165"/>
        <v/>
      </c>
      <c r="N626" s="187" t="str">
        <f t="shared" si="157"/>
        <v>D</v>
      </c>
      <c r="O626" s="187" t="str">
        <f t="shared" si="166"/>
        <v>D</v>
      </c>
      <c r="P626" s="187">
        <f t="shared" si="167"/>
        <v>1</v>
      </c>
      <c r="Q626" s="187">
        <f>IFERROR(VLOOKUP(E626,Tabela_Deflator:E$43,5,FALSE),1)</f>
        <v>1</v>
      </c>
      <c r="R626" s="188" t="str">
        <f t="shared" si="168"/>
        <v/>
      </c>
      <c r="S626" s="237" t="str">
        <f t="shared" si="158"/>
        <v/>
      </c>
      <c r="T626" s="237" t="str">
        <f t="shared" si="173"/>
        <v/>
      </c>
      <c r="U626" s="189"/>
      <c r="V626" s="167"/>
      <c r="W626" s="165"/>
      <c r="X626" s="164"/>
      <c r="Y626" s="164"/>
      <c r="Z626" s="164"/>
      <c r="AA626" s="174"/>
      <c r="AB626" s="164"/>
      <c r="AC626" s="174"/>
      <c r="AD626" s="184"/>
      <c r="AE626" s="190" t="str">
        <f t="shared" si="169"/>
        <v/>
      </c>
      <c r="AF626" s="190" t="str">
        <f t="shared" si="170"/>
        <v/>
      </c>
      <c r="AG626" s="190" t="str">
        <f t="shared" si="159"/>
        <v>D</v>
      </c>
      <c r="AH626" s="190">
        <f>IFERROR(VLOOKUP(Y626,SISP_Deflatores_e_INMs!B$4:F$49,3,FALSE),1)</f>
        <v>1</v>
      </c>
      <c r="AI626" s="190">
        <f>IFERROR(VLOOKUP(Y626,SISP_Deflatores_e_INMs!B$4:G$49,5,FALSE),1)</f>
        <v>1</v>
      </c>
      <c r="AJ626" s="191" t="str">
        <f t="shared" si="171"/>
        <v/>
      </c>
      <c r="AK626" s="237" t="str">
        <f t="shared" si="160"/>
        <v/>
      </c>
      <c r="AL626" s="237" t="str">
        <f t="shared" si="172"/>
        <v/>
      </c>
      <c r="AM626" s="192" t="e">
        <f t="shared" si="161"/>
        <v>#VALUE!</v>
      </c>
      <c r="AN626" s="193" t="e">
        <f t="shared" si="162"/>
        <v>#VALUE!</v>
      </c>
      <c r="AO626" s="193" t="e">
        <f t="shared" si="163"/>
        <v>#VALUE!</v>
      </c>
      <c r="AP626" s="193"/>
      <c r="AQ626" s="204"/>
      <c r="AR626" s="204"/>
      <c r="AS626" s="204"/>
      <c r="AT626" s="205"/>
      <c r="AU626"/>
    </row>
    <row r="627" spans="2:47" ht="15" customHeight="1" x14ac:dyDescent="0.25">
      <c r="B627" s="206"/>
      <c r="C627" s="185"/>
      <c r="D627" s="164"/>
      <c r="E627" s="174"/>
      <c r="F627" s="164"/>
      <c r="G627" s="174"/>
      <c r="H627" s="164"/>
      <c r="I627" s="174"/>
      <c r="J627" s="184"/>
      <c r="K627" s="186"/>
      <c r="L627" s="187" t="str">
        <f t="shared" si="164"/>
        <v/>
      </c>
      <c r="M627" s="187" t="str">
        <f t="shared" si="165"/>
        <v/>
      </c>
      <c r="N627" s="187" t="str">
        <f t="shared" si="157"/>
        <v>D</v>
      </c>
      <c r="O627" s="187" t="str">
        <f t="shared" si="166"/>
        <v>D</v>
      </c>
      <c r="P627" s="187">
        <f t="shared" si="167"/>
        <v>1</v>
      </c>
      <c r="Q627" s="187">
        <f>IFERROR(VLOOKUP(E627,Tabela_Deflator:E$43,5,FALSE),1)</f>
        <v>1</v>
      </c>
      <c r="R627" s="188" t="str">
        <f t="shared" si="168"/>
        <v/>
      </c>
      <c r="S627" s="237" t="str">
        <f t="shared" si="158"/>
        <v/>
      </c>
      <c r="T627" s="237" t="str">
        <f t="shared" si="173"/>
        <v/>
      </c>
      <c r="U627" s="189"/>
      <c r="V627" s="167"/>
      <c r="W627" s="165"/>
      <c r="X627" s="164"/>
      <c r="Y627" s="164"/>
      <c r="Z627" s="164"/>
      <c r="AA627" s="174"/>
      <c r="AB627" s="164"/>
      <c r="AC627" s="174"/>
      <c r="AD627" s="184"/>
      <c r="AE627" s="190" t="str">
        <f t="shared" si="169"/>
        <v/>
      </c>
      <c r="AF627" s="190" t="str">
        <f t="shared" si="170"/>
        <v/>
      </c>
      <c r="AG627" s="190" t="str">
        <f t="shared" si="159"/>
        <v>D</v>
      </c>
      <c r="AH627" s="190">
        <f>IFERROR(VLOOKUP(Y627,SISP_Deflatores_e_INMs!B$4:F$49,3,FALSE),1)</f>
        <v>1</v>
      </c>
      <c r="AI627" s="190">
        <f>IFERROR(VLOOKUP(Y627,SISP_Deflatores_e_INMs!B$4:G$49,5,FALSE),1)</f>
        <v>1</v>
      </c>
      <c r="AJ627" s="191" t="str">
        <f t="shared" si="171"/>
        <v/>
      </c>
      <c r="AK627" s="237" t="str">
        <f t="shared" si="160"/>
        <v/>
      </c>
      <c r="AL627" s="237" t="str">
        <f t="shared" si="172"/>
        <v/>
      </c>
      <c r="AM627" s="192" t="e">
        <f t="shared" si="161"/>
        <v>#VALUE!</v>
      </c>
      <c r="AN627" s="193" t="e">
        <f t="shared" si="162"/>
        <v>#VALUE!</v>
      </c>
      <c r="AO627" s="193" t="e">
        <f t="shared" si="163"/>
        <v>#VALUE!</v>
      </c>
      <c r="AP627" s="193"/>
      <c r="AQ627" s="204"/>
      <c r="AR627" s="204"/>
      <c r="AS627" s="204"/>
      <c r="AT627" s="205"/>
      <c r="AU627"/>
    </row>
    <row r="628" spans="2:47" ht="15" customHeight="1" x14ac:dyDescent="0.25">
      <c r="B628" s="206"/>
      <c r="C628" s="185"/>
      <c r="D628" s="164"/>
      <c r="E628" s="174"/>
      <c r="F628" s="164"/>
      <c r="G628" s="174"/>
      <c r="H628" s="164"/>
      <c r="I628" s="174"/>
      <c r="J628" s="184"/>
      <c r="K628" s="186"/>
      <c r="L628" s="187" t="str">
        <f t="shared" si="164"/>
        <v/>
      </c>
      <c r="M628" s="187" t="str">
        <f t="shared" si="165"/>
        <v/>
      </c>
      <c r="N628" s="187" t="str">
        <f t="shared" si="157"/>
        <v>D</v>
      </c>
      <c r="O628" s="187" t="str">
        <f t="shared" si="166"/>
        <v>D</v>
      </c>
      <c r="P628" s="187">
        <f t="shared" si="167"/>
        <v>1</v>
      </c>
      <c r="Q628" s="187">
        <f>IFERROR(VLOOKUP(E628,Tabela_Deflator:E$43,5,FALSE),1)</f>
        <v>1</v>
      </c>
      <c r="R628" s="188" t="str">
        <f t="shared" si="168"/>
        <v/>
      </c>
      <c r="S628" s="237" t="str">
        <f t="shared" si="158"/>
        <v/>
      </c>
      <c r="T628" s="237" t="str">
        <f t="shared" si="173"/>
        <v/>
      </c>
      <c r="U628" s="189"/>
      <c r="V628" s="167"/>
      <c r="W628" s="165"/>
      <c r="X628" s="164"/>
      <c r="Y628" s="164"/>
      <c r="Z628" s="164"/>
      <c r="AA628" s="174"/>
      <c r="AB628" s="164"/>
      <c r="AC628" s="174"/>
      <c r="AD628" s="184"/>
      <c r="AE628" s="190" t="str">
        <f t="shared" si="169"/>
        <v/>
      </c>
      <c r="AF628" s="190" t="str">
        <f t="shared" si="170"/>
        <v/>
      </c>
      <c r="AG628" s="190" t="str">
        <f t="shared" si="159"/>
        <v>D</v>
      </c>
      <c r="AH628" s="190">
        <f>IFERROR(VLOOKUP(Y628,SISP_Deflatores_e_INMs!B$4:F$49,3,FALSE),1)</f>
        <v>1</v>
      </c>
      <c r="AI628" s="190">
        <f>IFERROR(VLOOKUP(Y628,SISP_Deflatores_e_INMs!B$4:G$49,5,FALSE),1)</f>
        <v>1</v>
      </c>
      <c r="AJ628" s="191" t="str">
        <f t="shared" si="171"/>
        <v/>
      </c>
      <c r="AK628" s="237" t="str">
        <f t="shared" si="160"/>
        <v/>
      </c>
      <c r="AL628" s="237" t="str">
        <f t="shared" si="172"/>
        <v/>
      </c>
      <c r="AM628" s="192" t="e">
        <f t="shared" si="161"/>
        <v>#VALUE!</v>
      </c>
      <c r="AN628" s="193" t="e">
        <f t="shared" si="162"/>
        <v>#VALUE!</v>
      </c>
      <c r="AO628" s="193" t="e">
        <f t="shared" si="163"/>
        <v>#VALUE!</v>
      </c>
      <c r="AP628" s="193"/>
      <c r="AQ628" s="204"/>
      <c r="AR628" s="204"/>
      <c r="AS628" s="204"/>
      <c r="AT628" s="205"/>
      <c r="AU628"/>
    </row>
    <row r="629" spans="2:47" ht="15" customHeight="1" x14ac:dyDescent="0.25">
      <c r="B629" s="206"/>
      <c r="C629" s="185"/>
      <c r="D629" s="164"/>
      <c r="E629" s="174"/>
      <c r="F629" s="164"/>
      <c r="G629" s="174"/>
      <c r="H629" s="164"/>
      <c r="I629" s="174"/>
      <c r="J629" s="184"/>
      <c r="K629" s="186"/>
      <c r="L629" s="187" t="str">
        <f t="shared" si="164"/>
        <v/>
      </c>
      <c r="M629" s="187" t="str">
        <f t="shared" si="165"/>
        <v/>
      </c>
      <c r="N629" s="187" t="str">
        <f t="shared" si="157"/>
        <v>D</v>
      </c>
      <c r="O629" s="187" t="str">
        <f t="shared" si="166"/>
        <v>D</v>
      </c>
      <c r="P629" s="187">
        <f t="shared" si="167"/>
        <v>1</v>
      </c>
      <c r="Q629" s="187">
        <f>IFERROR(VLOOKUP(E629,Tabela_Deflator:E$43,5,FALSE),1)</f>
        <v>1</v>
      </c>
      <c r="R629" s="188" t="str">
        <f t="shared" si="168"/>
        <v/>
      </c>
      <c r="S629" s="237" t="str">
        <f t="shared" si="158"/>
        <v/>
      </c>
      <c r="T629" s="237" t="str">
        <f t="shared" si="173"/>
        <v/>
      </c>
      <c r="U629" s="189"/>
      <c r="V629" s="167"/>
      <c r="W629" s="165"/>
      <c r="X629" s="164"/>
      <c r="Y629" s="164"/>
      <c r="Z629" s="164"/>
      <c r="AA629" s="174"/>
      <c r="AB629" s="164"/>
      <c r="AC629" s="174"/>
      <c r="AD629" s="184"/>
      <c r="AE629" s="190" t="str">
        <f t="shared" si="169"/>
        <v/>
      </c>
      <c r="AF629" s="190" t="str">
        <f t="shared" si="170"/>
        <v/>
      </c>
      <c r="AG629" s="190" t="str">
        <f t="shared" si="159"/>
        <v>D</v>
      </c>
      <c r="AH629" s="190">
        <f>IFERROR(VLOOKUP(Y629,SISP_Deflatores_e_INMs!B$4:F$49,3,FALSE),1)</f>
        <v>1</v>
      </c>
      <c r="AI629" s="190">
        <f>IFERROR(VLOOKUP(Y629,SISP_Deflatores_e_INMs!B$4:G$49,5,FALSE),1)</f>
        <v>1</v>
      </c>
      <c r="AJ629" s="191" t="str">
        <f t="shared" si="171"/>
        <v/>
      </c>
      <c r="AK629" s="237" t="str">
        <f t="shared" si="160"/>
        <v/>
      </c>
      <c r="AL629" s="237" t="str">
        <f t="shared" si="172"/>
        <v/>
      </c>
      <c r="AM629" s="192" t="e">
        <f t="shared" si="161"/>
        <v>#VALUE!</v>
      </c>
      <c r="AN629" s="193" t="e">
        <f t="shared" si="162"/>
        <v>#VALUE!</v>
      </c>
      <c r="AO629" s="193" t="e">
        <f t="shared" si="163"/>
        <v>#VALUE!</v>
      </c>
      <c r="AP629" s="193"/>
      <c r="AQ629" s="204"/>
      <c r="AR629" s="204"/>
      <c r="AS629" s="204"/>
      <c r="AT629" s="205"/>
      <c r="AU629"/>
    </row>
    <row r="630" spans="2:47" ht="15" customHeight="1" x14ac:dyDescent="0.25">
      <c r="B630" s="206"/>
      <c r="C630" s="185"/>
      <c r="D630" s="164"/>
      <c r="E630" s="174"/>
      <c r="F630" s="164"/>
      <c r="G630" s="174"/>
      <c r="H630" s="164"/>
      <c r="I630" s="174"/>
      <c r="J630" s="184"/>
      <c r="K630" s="186"/>
      <c r="L630" s="187" t="str">
        <f t="shared" si="164"/>
        <v/>
      </c>
      <c r="M630" s="187" t="str">
        <f t="shared" si="165"/>
        <v/>
      </c>
      <c r="N630" s="187" t="str">
        <f t="shared" si="157"/>
        <v>D</v>
      </c>
      <c r="O630" s="187" t="str">
        <f t="shared" si="166"/>
        <v>D</v>
      </c>
      <c r="P630" s="187">
        <f t="shared" si="167"/>
        <v>1</v>
      </c>
      <c r="Q630" s="187">
        <f>IFERROR(VLOOKUP(E630,Tabela_Deflator:E$43,5,FALSE),1)</f>
        <v>1</v>
      </c>
      <c r="R630" s="188" t="str">
        <f t="shared" si="168"/>
        <v/>
      </c>
      <c r="S630" s="237" t="str">
        <f t="shared" si="158"/>
        <v/>
      </c>
      <c r="T630" s="237" t="str">
        <f t="shared" si="173"/>
        <v/>
      </c>
      <c r="U630" s="189"/>
      <c r="V630" s="167"/>
      <c r="W630" s="165"/>
      <c r="X630" s="164"/>
      <c r="Y630" s="164"/>
      <c r="Z630" s="164"/>
      <c r="AA630" s="174"/>
      <c r="AB630" s="164"/>
      <c r="AC630" s="174"/>
      <c r="AD630" s="184"/>
      <c r="AE630" s="190" t="str">
        <f t="shared" si="169"/>
        <v/>
      </c>
      <c r="AF630" s="190" t="str">
        <f t="shared" si="170"/>
        <v/>
      </c>
      <c r="AG630" s="190" t="str">
        <f t="shared" si="159"/>
        <v>D</v>
      </c>
      <c r="AH630" s="190">
        <f>IFERROR(VLOOKUP(Y630,SISP_Deflatores_e_INMs!B$4:F$49,3,FALSE),1)</f>
        <v>1</v>
      </c>
      <c r="AI630" s="190">
        <f>IFERROR(VLOOKUP(Y630,SISP_Deflatores_e_INMs!B$4:G$49,5,FALSE),1)</f>
        <v>1</v>
      </c>
      <c r="AJ630" s="191" t="str">
        <f t="shared" si="171"/>
        <v/>
      </c>
      <c r="AK630" s="237" t="str">
        <f t="shared" si="160"/>
        <v/>
      </c>
      <c r="AL630" s="237" t="str">
        <f t="shared" si="172"/>
        <v/>
      </c>
      <c r="AM630" s="192" t="e">
        <f t="shared" si="161"/>
        <v>#VALUE!</v>
      </c>
      <c r="AN630" s="193" t="e">
        <f t="shared" si="162"/>
        <v>#VALUE!</v>
      </c>
      <c r="AO630" s="193" t="e">
        <f t="shared" si="163"/>
        <v>#VALUE!</v>
      </c>
      <c r="AP630" s="193"/>
      <c r="AQ630" s="204"/>
      <c r="AR630" s="204"/>
      <c r="AS630" s="204"/>
      <c r="AT630" s="205"/>
      <c r="AU630"/>
    </row>
    <row r="631" spans="2:47" ht="15" customHeight="1" x14ac:dyDescent="0.25">
      <c r="B631" s="206"/>
      <c r="C631" s="185"/>
      <c r="D631" s="164"/>
      <c r="E631" s="174"/>
      <c r="F631" s="164"/>
      <c r="G631" s="174"/>
      <c r="H631" s="164"/>
      <c r="I631" s="174"/>
      <c r="J631" s="184"/>
      <c r="K631" s="186"/>
      <c r="L631" s="187" t="str">
        <f t="shared" si="164"/>
        <v/>
      </c>
      <c r="M631" s="187" t="str">
        <f t="shared" si="165"/>
        <v/>
      </c>
      <c r="N631" s="187" t="str">
        <f t="shared" si="157"/>
        <v>D</v>
      </c>
      <c r="O631" s="187" t="str">
        <f t="shared" si="166"/>
        <v>D</v>
      </c>
      <c r="P631" s="187">
        <f t="shared" si="167"/>
        <v>1</v>
      </c>
      <c r="Q631" s="187">
        <f>IFERROR(VLOOKUP(E631,Tabela_Deflator:E$43,5,FALSE),1)</f>
        <v>1</v>
      </c>
      <c r="R631" s="188" t="str">
        <f t="shared" si="168"/>
        <v/>
      </c>
      <c r="S631" s="237" t="str">
        <f t="shared" si="158"/>
        <v/>
      </c>
      <c r="T631" s="237" t="str">
        <f t="shared" si="173"/>
        <v/>
      </c>
      <c r="U631" s="189"/>
      <c r="V631" s="167"/>
      <c r="W631" s="165"/>
      <c r="X631" s="164"/>
      <c r="Y631" s="164"/>
      <c r="Z631" s="164"/>
      <c r="AA631" s="174"/>
      <c r="AB631" s="164"/>
      <c r="AC631" s="174"/>
      <c r="AD631" s="184"/>
      <c r="AE631" s="190" t="str">
        <f t="shared" si="169"/>
        <v/>
      </c>
      <c r="AF631" s="190" t="str">
        <f t="shared" si="170"/>
        <v/>
      </c>
      <c r="AG631" s="190" t="str">
        <f t="shared" si="159"/>
        <v>D</v>
      </c>
      <c r="AH631" s="190">
        <f>IFERROR(VLOOKUP(Y631,SISP_Deflatores_e_INMs!B$4:F$49,3,FALSE),1)</f>
        <v>1</v>
      </c>
      <c r="AI631" s="190">
        <f>IFERROR(VLOOKUP(Y631,SISP_Deflatores_e_INMs!B$4:G$49,5,FALSE),1)</f>
        <v>1</v>
      </c>
      <c r="AJ631" s="191" t="str">
        <f t="shared" si="171"/>
        <v/>
      </c>
      <c r="AK631" s="237" t="str">
        <f t="shared" si="160"/>
        <v/>
      </c>
      <c r="AL631" s="237" t="str">
        <f t="shared" si="172"/>
        <v/>
      </c>
      <c r="AM631" s="192" t="e">
        <f t="shared" si="161"/>
        <v>#VALUE!</v>
      </c>
      <c r="AN631" s="193" t="e">
        <f t="shared" si="162"/>
        <v>#VALUE!</v>
      </c>
      <c r="AO631" s="193" t="e">
        <f t="shared" si="163"/>
        <v>#VALUE!</v>
      </c>
      <c r="AP631" s="193"/>
      <c r="AQ631" s="204"/>
      <c r="AR631" s="204"/>
      <c r="AS631" s="204"/>
      <c r="AT631" s="205"/>
      <c r="AU631"/>
    </row>
    <row r="632" spans="2:47" ht="15" customHeight="1" x14ac:dyDescent="0.25">
      <c r="B632" s="206"/>
      <c r="C632" s="185"/>
      <c r="D632" s="164"/>
      <c r="E632" s="174"/>
      <c r="F632" s="164"/>
      <c r="G632" s="174"/>
      <c r="H632" s="164"/>
      <c r="I632" s="174"/>
      <c r="J632" s="184"/>
      <c r="K632" s="186"/>
      <c r="L632" s="187" t="str">
        <f t="shared" si="164"/>
        <v/>
      </c>
      <c r="M632" s="187" t="str">
        <f t="shared" si="165"/>
        <v/>
      </c>
      <c r="N632" s="187" t="str">
        <f t="shared" si="157"/>
        <v>D</v>
      </c>
      <c r="O632" s="187" t="str">
        <f t="shared" si="166"/>
        <v>D</v>
      </c>
      <c r="P632" s="187">
        <f t="shared" si="167"/>
        <v>1</v>
      </c>
      <c r="Q632" s="187">
        <f>IFERROR(VLOOKUP(E632,Tabela_Deflator:E$43,5,FALSE),1)</f>
        <v>1</v>
      </c>
      <c r="R632" s="188" t="str">
        <f t="shared" si="168"/>
        <v/>
      </c>
      <c r="S632" s="237" t="str">
        <f t="shared" si="158"/>
        <v/>
      </c>
      <c r="T632" s="237" t="str">
        <f t="shared" si="173"/>
        <v/>
      </c>
      <c r="U632" s="189"/>
      <c r="V632" s="167"/>
      <c r="W632" s="165"/>
      <c r="X632" s="164"/>
      <c r="Y632" s="164"/>
      <c r="Z632" s="164"/>
      <c r="AA632" s="174"/>
      <c r="AB632" s="164"/>
      <c r="AC632" s="174"/>
      <c r="AD632" s="184"/>
      <c r="AE632" s="190" t="str">
        <f t="shared" si="169"/>
        <v/>
      </c>
      <c r="AF632" s="190" t="str">
        <f t="shared" si="170"/>
        <v/>
      </c>
      <c r="AG632" s="190" t="str">
        <f t="shared" si="159"/>
        <v>D</v>
      </c>
      <c r="AH632" s="190">
        <f>IFERROR(VLOOKUP(Y632,SISP_Deflatores_e_INMs!B$4:F$49,3,FALSE),1)</f>
        <v>1</v>
      </c>
      <c r="AI632" s="190">
        <f>IFERROR(VLOOKUP(Y632,SISP_Deflatores_e_INMs!B$4:G$49,5,FALSE),1)</f>
        <v>1</v>
      </c>
      <c r="AJ632" s="191" t="str">
        <f t="shared" si="171"/>
        <v/>
      </c>
      <c r="AK632" s="237" t="str">
        <f t="shared" si="160"/>
        <v/>
      </c>
      <c r="AL632" s="237" t="str">
        <f t="shared" si="172"/>
        <v/>
      </c>
      <c r="AM632" s="192" t="e">
        <f t="shared" si="161"/>
        <v>#VALUE!</v>
      </c>
      <c r="AN632" s="193" t="e">
        <f t="shared" si="162"/>
        <v>#VALUE!</v>
      </c>
      <c r="AO632" s="193" t="e">
        <f t="shared" si="163"/>
        <v>#VALUE!</v>
      </c>
      <c r="AP632" s="193"/>
      <c r="AQ632" s="204"/>
      <c r="AR632" s="204"/>
      <c r="AS632" s="204"/>
      <c r="AT632" s="205"/>
      <c r="AU632"/>
    </row>
    <row r="633" spans="2:47" ht="15" customHeight="1" x14ac:dyDescent="0.25">
      <c r="B633" s="206"/>
      <c r="C633" s="185"/>
      <c r="D633" s="164"/>
      <c r="E633" s="174"/>
      <c r="F633" s="164"/>
      <c r="G633" s="174"/>
      <c r="H633" s="164"/>
      <c r="I633" s="174"/>
      <c r="J633" s="184"/>
      <c r="K633" s="186"/>
      <c r="L633" s="187" t="str">
        <f t="shared" si="164"/>
        <v/>
      </c>
      <c r="M633" s="187" t="str">
        <f t="shared" si="165"/>
        <v/>
      </c>
      <c r="N633" s="187" t="str">
        <f t="shared" si="157"/>
        <v>D</v>
      </c>
      <c r="O633" s="187" t="str">
        <f t="shared" si="166"/>
        <v>D</v>
      </c>
      <c r="P633" s="187">
        <f t="shared" si="167"/>
        <v>1</v>
      </c>
      <c r="Q633" s="187">
        <f>IFERROR(VLOOKUP(E633,Tabela_Deflator:E$43,5,FALSE),1)</f>
        <v>1</v>
      </c>
      <c r="R633" s="188" t="str">
        <f t="shared" si="168"/>
        <v/>
      </c>
      <c r="S633" s="237" t="str">
        <f t="shared" si="158"/>
        <v/>
      </c>
      <c r="T633" s="237" t="str">
        <f t="shared" si="173"/>
        <v/>
      </c>
      <c r="U633" s="189"/>
      <c r="V633" s="167"/>
      <c r="W633" s="165"/>
      <c r="X633" s="164"/>
      <c r="Y633" s="164"/>
      <c r="Z633" s="164"/>
      <c r="AA633" s="174"/>
      <c r="AB633" s="164"/>
      <c r="AC633" s="174"/>
      <c r="AD633" s="184"/>
      <c r="AE633" s="190" t="str">
        <f t="shared" si="169"/>
        <v/>
      </c>
      <c r="AF633" s="190" t="str">
        <f t="shared" si="170"/>
        <v/>
      </c>
      <c r="AG633" s="190" t="str">
        <f t="shared" si="159"/>
        <v>D</v>
      </c>
      <c r="AH633" s="190">
        <f>IFERROR(VLOOKUP(Y633,SISP_Deflatores_e_INMs!B$4:F$49,3,FALSE),1)</f>
        <v>1</v>
      </c>
      <c r="AI633" s="190">
        <f>IFERROR(VLOOKUP(Y633,SISP_Deflatores_e_INMs!B$4:G$49,5,FALSE),1)</f>
        <v>1</v>
      </c>
      <c r="AJ633" s="191" t="str">
        <f t="shared" si="171"/>
        <v/>
      </c>
      <c r="AK633" s="237" t="str">
        <f t="shared" si="160"/>
        <v/>
      </c>
      <c r="AL633" s="237" t="str">
        <f t="shared" si="172"/>
        <v/>
      </c>
      <c r="AM633" s="192" t="e">
        <f t="shared" si="161"/>
        <v>#VALUE!</v>
      </c>
      <c r="AN633" s="193" t="e">
        <f t="shared" si="162"/>
        <v>#VALUE!</v>
      </c>
      <c r="AO633" s="193" t="e">
        <f t="shared" si="163"/>
        <v>#VALUE!</v>
      </c>
      <c r="AP633" s="193"/>
      <c r="AQ633" s="204"/>
      <c r="AR633" s="204"/>
      <c r="AS633" s="204"/>
      <c r="AT633" s="205"/>
      <c r="AU633"/>
    </row>
    <row r="634" spans="2:47" ht="15" customHeight="1" x14ac:dyDescent="0.25">
      <c r="B634" s="206"/>
      <c r="C634" s="185"/>
      <c r="D634" s="164"/>
      <c r="E634" s="174"/>
      <c r="F634" s="164"/>
      <c r="G634" s="174"/>
      <c r="H634" s="164"/>
      <c r="I634" s="174"/>
      <c r="J634" s="184"/>
      <c r="K634" s="186"/>
      <c r="L634" s="187" t="str">
        <f t="shared" si="164"/>
        <v/>
      </c>
      <c r="M634" s="187" t="str">
        <f t="shared" si="165"/>
        <v/>
      </c>
      <c r="N634" s="187" t="str">
        <f t="shared" si="157"/>
        <v>D</v>
      </c>
      <c r="O634" s="187" t="str">
        <f t="shared" si="166"/>
        <v>D</v>
      </c>
      <c r="P634" s="187">
        <f t="shared" si="167"/>
        <v>1</v>
      </c>
      <c r="Q634" s="187">
        <f>IFERROR(VLOOKUP(E634,Tabela_Deflator:E$43,5,FALSE),1)</f>
        <v>1</v>
      </c>
      <c r="R634" s="188" t="str">
        <f t="shared" si="168"/>
        <v/>
      </c>
      <c r="S634" s="237" t="str">
        <f t="shared" si="158"/>
        <v/>
      </c>
      <c r="T634" s="237" t="str">
        <f t="shared" si="173"/>
        <v/>
      </c>
      <c r="U634" s="189"/>
      <c r="V634" s="167"/>
      <c r="W634" s="165"/>
      <c r="X634" s="164"/>
      <c r="Y634" s="164"/>
      <c r="Z634" s="164"/>
      <c r="AA634" s="174"/>
      <c r="AB634" s="164"/>
      <c r="AC634" s="174"/>
      <c r="AD634" s="184"/>
      <c r="AE634" s="190" t="str">
        <f t="shared" si="169"/>
        <v/>
      </c>
      <c r="AF634" s="190" t="str">
        <f t="shared" si="170"/>
        <v/>
      </c>
      <c r="AG634" s="190" t="str">
        <f t="shared" si="159"/>
        <v>D</v>
      </c>
      <c r="AH634" s="190">
        <f>IFERROR(VLOOKUP(Y634,SISP_Deflatores_e_INMs!B$4:F$49,3,FALSE),1)</f>
        <v>1</v>
      </c>
      <c r="AI634" s="190">
        <f>IFERROR(VLOOKUP(Y634,SISP_Deflatores_e_INMs!B$4:G$49,5,FALSE),1)</f>
        <v>1</v>
      </c>
      <c r="AJ634" s="191" t="str">
        <f t="shared" si="171"/>
        <v/>
      </c>
      <c r="AK634" s="237" t="str">
        <f t="shared" si="160"/>
        <v/>
      </c>
      <c r="AL634" s="237" t="str">
        <f t="shared" si="172"/>
        <v/>
      </c>
      <c r="AM634" s="192" t="e">
        <f t="shared" si="161"/>
        <v>#VALUE!</v>
      </c>
      <c r="AN634" s="193" t="e">
        <f t="shared" si="162"/>
        <v>#VALUE!</v>
      </c>
      <c r="AO634" s="193" t="e">
        <f t="shared" si="163"/>
        <v>#VALUE!</v>
      </c>
      <c r="AP634" s="193"/>
      <c r="AQ634" s="204"/>
      <c r="AR634" s="204"/>
      <c r="AS634" s="204"/>
      <c r="AT634" s="205"/>
      <c r="AU634"/>
    </row>
    <row r="635" spans="2:47" ht="15" customHeight="1" x14ac:dyDescent="0.25">
      <c r="B635" s="206"/>
      <c r="C635" s="185"/>
      <c r="D635" s="164"/>
      <c r="E635" s="174"/>
      <c r="F635" s="164"/>
      <c r="G635" s="174"/>
      <c r="H635" s="164"/>
      <c r="I635" s="174"/>
      <c r="J635" s="184"/>
      <c r="K635" s="186"/>
      <c r="L635" s="187" t="str">
        <f t="shared" si="164"/>
        <v/>
      </c>
      <c r="M635" s="187" t="str">
        <f t="shared" si="165"/>
        <v/>
      </c>
      <c r="N635" s="187" t="str">
        <f t="shared" si="157"/>
        <v>D</v>
      </c>
      <c r="O635" s="187" t="str">
        <f t="shared" si="166"/>
        <v>D</v>
      </c>
      <c r="P635" s="187">
        <f t="shared" si="167"/>
        <v>1</v>
      </c>
      <c r="Q635" s="187">
        <f>IFERROR(VLOOKUP(E635,Tabela_Deflator:E$43,5,FALSE),1)</f>
        <v>1</v>
      </c>
      <c r="R635" s="188" t="str">
        <f t="shared" si="168"/>
        <v/>
      </c>
      <c r="S635" s="237" t="str">
        <f t="shared" si="158"/>
        <v/>
      </c>
      <c r="T635" s="237" t="str">
        <f t="shared" si="173"/>
        <v/>
      </c>
      <c r="U635" s="189"/>
      <c r="V635" s="167"/>
      <c r="W635" s="165"/>
      <c r="X635" s="164"/>
      <c r="Y635" s="164"/>
      <c r="Z635" s="164"/>
      <c r="AA635" s="174"/>
      <c r="AB635" s="164"/>
      <c r="AC635" s="174"/>
      <c r="AD635" s="184"/>
      <c r="AE635" s="190" t="str">
        <f t="shared" si="169"/>
        <v/>
      </c>
      <c r="AF635" s="190" t="str">
        <f t="shared" si="170"/>
        <v/>
      </c>
      <c r="AG635" s="190" t="str">
        <f t="shared" si="159"/>
        <v>D</v>
      </c>
      <c r="AH635" s="190">
        <f>IFERROR(VLOOKUP(Y635,SISP_Deflatores_e_INMs!B$4:F$49,3,FALSE),1)</f>
        <v>1</v>
      </c>
      <c r="AI635" s="190">
        <f>IFERROR(VLOOKUP(Y635,SISP_Deflatores_e_INMs!B$4:G$49,5,FALSE),1)</f>
        <v>1</v>
      </c>
      <c r="AJ635" s="191" t="str">
        <f t="shared" si="171"/>
        <v/>
      </c>
      <c r="AK635" s="237" t="str">
        <f t="shared" si="160"/>
        <v/>
      </c>
      <c r="AL635" s="237" t="str">
        <f t="shared" si="172"/>
        <v/>
      </c>
      <c r="AM635" s="192" t="e">
        <f t="shared" si="161"/>
        <v>#VALUE!</v>
      </c>
      <c r="AN635" s="193" t="e">
        <f t="shared" si="162"/>
        <v>#VALUE!</v>
      </c>
      <c r="AO635" s="193" t="e">
        <f t="shared" si="163"/>
        <v>#VALUE!</v>
      </c>
      <c r="AP635" s="193"/>
      <c r="AQ635" s="204"/>
      <c r="AR635" s="204"/>
      <c r="AS635" s="204"/>
      <c r="AT635" s="205"/>
      <c r="AU635"/>
    </row>
    <row r="636" spans="2:47" ht="15" customHeight="1" x14ac:dyDescent="0.25">
      <c r="B636" s="206"/>
      <c r="C636" s="185"/>
      <c r="D636" s="164"/>
      <c r="E636" s="174"/>
      <c r="F636" s="164"/>
      <c r="G636" s="174"/>
      <c r="H636" s="164"/>
      <c r="I636" s="174"/>
      <c r="J636" s="184"/>
      <c r="K636" s="186"/>
      <c r="L636" s="187" t="str">
        <f t="shared" si="164"/>
        <v/>
      </c>
      <c r="M636" s="187" t="str">
        <f t="shared" si="165"/>
        <v/>
      </c>
      <c r="N636" s="187" t="str">
        <f t="shared" si="157"/>
        <v>D</v>
      </c>
      <c r="O636" s="187" t="str">
        <f t="shared" si="166"/>
        <v>D</v>
      </c>
      <c r="P636" s="187">
        <f t="shared" si="167"/>
        <v>1</v>
      </c>
      <c r="Q636" s="187">
        <f>IFERROR(VLOOKUP(E636,Tabela_Deflator:E$43,5,FALSE),1)</f>
        <v>1</v>
      </c>
      <c r="R636" s="188" t="str">
        <f t="shared" si="168"/>
        <v/>
      </c>
      <c r="S636" s="237" t="str">
        <f t="shared" si="158"/>
        <v/>
      </c>
      <c r="T636" s="237" t="str">
        <f t="shared" si="173"/>
        <v/>
      </c>
      <c r="U636" s="189"/>
      <c r="V636" s="167"/>
      <c r="W636" s="165"/>
      <c r="X636" s="164"/>
      <c r="Y636" s="164"/>
      <c r="Z636" s="164"/>
      <c r="AA636" s="174"/>
      <c r="AB636" s="164"/>
      <c r="AC636" s="174"/>
      <c r="AD636" s="184"/>
      <c r="AE636" s="190" t="str">
        <f t="shared" si="169"/>
        <v/>
      </c>
      <c r="AF636" s="190" t="str">
        <f t="shared" si="170"/>
        <v/>
      </c>
      <c r="AG636" s="190" t="str">
        <f t="shared" si="159"/>
        <v>D</v>
      </c>
      <c r="AH636" s="190">
        <f>IFERROR(VLOOKUP(Y636,SISP_Deflatores_e_INMs!B$4:F$49,3,FALSE),1)</f>
        <v>1</v>
      </c>
      <c r="AI636" s="190">
        <f>IFERROR(VLOOKUP(Y636,SISP_Deflatores_e_INMs!B$4:G$49,5,FALSE),1)</f>
        <v>1</v>
      </c>
      <c r="AJ636" s="191" t="str">
        <f t="shared" si="171"/>
        <v/>
      </c>
      <c r="AK636" s="237" t="str">
        <f t="shared" si="160"/>
        <v/>
      </c>
      <c r="AL636" s="237" t="str">
        <f t="shared" si="172"/>
        <v/>
      </c>
      <c r="AM636" s="192" t="e">
        <f t="shared" si="161"/>
        <v>#VALUE!</v>
      </c>
      <c r="AN636" s="193" t="e">
        <f t="shared" si="162"/>
        <v>#VALUE!</v>
      </c>
      <c r="AO636" s="193" t="e">
        <f t="shared" si="163"/>
        <v>#VALUE!</v>
      </c>
      <c r="AP636" s="193"/>
      <c r="AQ636" s="204"/>
      <c r="AR636" s="204"/>
      <c r="AS636" s="204"/>
      <c r="AT636" s="205"/>
      <c r="AU636"/>
    </row>
    <row r="637" spans="2:47" ht="15" customHeight="1" x14ac:dyDescent="0.25">
      <c r="B637" s="206"/>
      <c r="C637" s="185"/>
      <c r="D637" s="164"/>
      <c r="E637" s="174"/>
      <c r="F637" s="164"/>
      <c r="G637" s="174"/>
      <c r="H637" s="164"/>
      <c r="I637" s="174"/>
      <c r="J637" s="184"/>
      <c r="K637" s="186"/>
      <c r="L637" s="187" t="str">
        <f t="shared" si="164"/>
        <v/>
      </c>
      <c r="M637" s="187" t="str">
        <f t="shared" si="165"/>
        <v/>
      </c>
      <c r="N637" s="187" t="str">
        <f t="shared" si="157"/>
        <v>D</v>
      </c>
      <c r="O637" s="187" t="str">
        <f t="shared" si="166"/>
        <v>D</v>
      </c>
      <c r="P637" s="187">
        <f t="shared" si="167"/>
        <v>1</v>
      </c>
      <c r="Q637" s="187">
        <f>IFERROR(VLOOKUP(E637,Tabela_Deflator:E$43,5,FALSE),1)</f>
        <v>1</v>
      </c>
      <c r="R637" s="188" t="str">
        <f t="shared" si="168"/>
        <v/>
      </c>
      <c r="S637" s="237" t="str">
        <f t="shared" si="158"/>
        <v/>
      </c>
      <c r="T637" s="237" t="str">
        <f t="shared" si="173"/>
        <v/>
      </c>
      <c r="U637" s="189"/>
      <c r="V637" s="167"/>
      <c r="W637" s="165"/>
      <c r="X637" s="164"/>
      <c r="Y637" s="164"/>
      <c r="Z637" s="164"/>
      <c r="AA637" s="174"/>
      <c r="AB637" s="164"/>
      <c r="AC637" s="174"/>
      <c r="AD637" s="184"/>
      <c r="AE637" s="190" t="str">
        <f t="shared" si="169"/>
        <v/>
      </c>
      <c r="AF637" s="190" t="str">
        <f t="shared" si="170"/>
        <v/>
      </c>
      <c r="AG637" s="190" t="str">
        <f t="shared" si="159"/>
        <v>D</v>
      </c>
      <c r="AH637" s="190">
        <f>IFERROR(VLOOKUP(Y637,SISP_Deflatores_e_INMs!B$4:F$49,3,FALSE),1)</f>
        <v>1</v>
      </c>
      <c r="AI637" s="190">
        <f>IFERROR(VLOOKUP(Y637,SISP_Deflatores_e_INMs!B$4:G$49,5,FALSE),1)</f>
        <v>1</v>
      </c>
      <c r="AJ637" s="191" t="str">
        <f t="shared" si="171"/>
        <v/>
      </c>
      <c r="AK637" s="237" t="str">
        <f t="shared" si="160"/>
        <v/>
      </c>
      <c r="AL637" s="237" t="str">
        <f t="shared" si="172"/>
        <v/>
      </c>
      <c r="AM637" s="192" t="e">
        <f t="shared" si="161"/>
        <v>#VALUE!</v>
      </c>
      <c r="AN637" s="193" t="e">
        <f t="shared" si="162"/>
        <v>#VALUE!</v>
      </c>
      <c r="AO637" s="193" t="e">
        <f t="shared" si="163"/>
        <v>#VALUE!</v>
      </c>
      <c r="AP637" s="193"/>
      <c r="AQ637" s="204"/>
      <c r="AR637" s="204"/>
      <c r="AS637" s="204"/>
      <c r="AT637" s="205"/>
      <c r="AU637"/>
    </row>
    <row r="638" spans="2:47" ht="15" customHeight="1" x14ac:dyDescent="0.25">
      <c r="B638" s="206"/>
      <c r="C638" s="185"/>
      <c r="D638" s="164"/>
      <c r="E638" s="174"/>
      <c r="F638" s="164"/>
      <c r="G638" s="174"/>
      <c r="H638" s="164"/>
      <c r="I638" s="174"/>
      <c r="J638" s="184"/>
      <c r="K638" s="186"/>
      <c r="L638" s="187" t="str">
        <f t="shared" si="164"/>
        <v/>
      </c>
      <c r="M638" s="187" t="str">
        <f t="shared" si="165"/>
        <v/>
      </c>
      <c r="N638" s="187" t="str">
        <f t="shared" si="157"/>
        <v>D</v>
      </c>
      <c r="O638" s="187" t="str">
        <f t="shared" si="166"/>
        <v>D</v>
      </c>
      <c r="P638" s="187">
        <f t="shared" si="167"/>
        <v>1</v>
      </c>
      <c r="Q638" s="187">
        <f>IFERROR(VLOOKUP(E638,Tabela_Deflator:E$43,5,FALSE),1)</f>
        <v>1</v>
      </c>
      <c r="R638" s="188" t="str">
        <f t="shared" si="168"/>
        <v/>
      </c>
      <c r="S638" s="237" t="str">
        <f t="shared" si="158"/>
        <v/>
      </c>
      <c r="T638" s="237" t="str">
        <f t="shared" si="173"/>
        <v/>
      </c>
      <c r="U638" s="189"/>
      <c r="V638" s="167"/>
      <c r="W638" s="165"/>
      <c r="X638" s="164"/>
      <c r="Y638" s="164"/>
      <c r="Z638" s="164"/>
      <c r="AA638" s="174"/>
      <c r="AB638" s="164"/>
      <c r="AC638" s="174"/>
      <c r="AD638" s="184"/>
      <c r="AE638" s="190" t="str">
        <f t="shared" si="169"/>
        <v/>
      </c>
      <c r="AF638" s="190" t="str">
        <f t="shared" si="170"/>
        <v/>
      </c>
      <c r="AG638" s="190" t="str">
        <f t="shared" si="159"/>
        <v>D</v>
      </c>
      <c r="AH638" s="190">
        <f>IFERROR(VLOOKUP(Y638,SISP_Deflatores_e_INMs!B$4:F$49,3,FALSE),1)</f>
        <v>1</v>
      </c>
      <c r="AI638" s="190">
        <f>IFERROR(VLOOKUP(Y638,SISP_Deflatores_e_INMs!B$4:G$49,5,FALSE),1)</f>
        <v>1</v>
      </c>
      <c r="AJ638" s="191" t="str">
        <f t="shared" si="171"/>
        <v/>
      </c>
      <c r="AK638" s="237" t="str">
        <f t="shared" si="160"/>
        <v/>
      </c>
      <c r="AL638" s="237" t="str">
        <f t="shared" si="172"/>
        <v/>
      </c>
      <c r="AM638" s="192" t="e">
        <f t="shared" si="161"/>
        <v>#VALUE!</v>
      </c>
      <c r="AN638" s="193" t="e">
        <f t="shared" si="162"/>
        <v>#VALUE!</v>
      </c>
      <c r="AO638" s="193" t="e">
        <f t="shared" si="163"/>
        <v>#VALUE!</v>
      </c>
      <c r="AP638" s="193"/>
      <c r="AQ638" s="204"/>
      <c r="AR638" s="204"/>
      <c r="AS638" s="204"/>
      <c r="AT638" s="205"/>
      <c r="AU638"/>
    </row>
    <row r="639" spans="2:47" ht="15" customHeight="1" x14ac:dyDescent="0.25">
      <c r="B639" s="206"/>
      <c r="C639" s="185"/>
      <c r="D639" s="164"/>
      <c r="E639" s="174"/>
      <c r="F639" s="164"/>
      <c r="G639" s="174"/>
      <c r="H639" s="164"/>
      <c r="I639" s="174"/>
      <c r="J639" s="184"/>
      <c r="K639" s="186"/>
      <c r="L639" s="187" t="str">
        <f t="shared" si="164"/>
        <v/>
      </c>
      <c r="M639" s="187" t="str">
        <f t="shared" si="165"/>
        <v/>
      </c>
      <c r="N639" s="187" t="str">
        <f t="shared" si="157"/>
        <v>D</v>
      </c>
      <c r="O639" s="187" t="str">
        <f t="shared" si="166"/>
        <v>D</v>
      </c>
      <c r="P639" s="187">
        <f t="shared" si="167"/>
        <v>1</v>
      </c>
      <c r="Q639" s="187">
        <f>IFERROR(VLOOKUP(E639,Tabela_Deflator:E$43,5,FALSE),1)</f>
        <v>1</v>
      </c>
      <c r="R639" s="188" t="str">
        <f t="shared" si="168"/>
        <v/>
      </c>
      <c r="S639" s="237" t="str">
        <f t="shared" si="158"/>
        <v/>
      </c>
      <c r="T639" s="237" t="str">
        <f t="shared" si="173"/>
        <v/>
      </c>
      <c r="U639" s="189"/>
      <c r="V639" s="167"/>
      <c r="W639" s="165"/>
      <c r="X639" s="164"/>
      <c r="Y639" s="164"/>
      <c r="Z639" s="164"/>
      <c r="AA639" s="174"/>
      <c r="AB639" s="164"/>
      <c r="AC639" s="174"/>
      <c r="AD639" s="184"/>
      <c r="AE639" s="190" t="str">
        <f t="shared" si="169"/>
        <v/>
      </c>
      <c r="AF639" s="190" t="str">
        <f t="shared" si="170"/>
        <v/>
      </c>
      <c r="AG639" s="190" t="str">
        <f t="shared" si="159"/>
        <v>D</v>
      </c>
      <c r="AH639" s="190">
        <f>IFERROR(VLOOKUP(Y639,SISP_Deflatores_e_INMs!B$4:F$49,3,FALSE),1)</f>
        <v>1</v>
      </c>
      <c r="AI639" s="190">
        <f>IFERROR(VLOOKUP(Y639,SISP_Deflatores_e_INMs!B$4:G$49,5,FALSE),1)</f>
        <v>1</v>
      </c>
      <c r="AJ639" s="191" t="str">
        <f t="shared" si="171"/>
        <v/>
      </c>
      <c r="AK639" s="237" t="str">
        <f t="shared" si="160"/>
        <v/>
      </c>
      <c r="AL639" s="237" t="str">
        <f t="shared" si="172"/>
        <v/>
      </c>
      <c r="AM639" s="192" t="e">
        <f t="shared" si="161"/>
        <v>#VALUE!</v>
      </c>
      <c r="AN639" s="193" t="e">
        <f t="shared" si="162"/>
        <v>#VALUE!</v>
      </c>
      <c r="AO639" s="193" t="e">
        <f t="shared" si="163"/>
        <v>#VALUE!</v>
      </c>
      <c r="AP639" s="193"/>
      <c r="AQ639" s="204"/>
      <c r="AR639" s="204"/>
      <c r="AS639" s="204"/>
      <c r="AT639" s="205"/>
      <c r="AU639"/>
    </row>
    <row r="640" spans="2:47" ht="15" customHeight="1" x14ac:dyDescent="0.25">
      <c r="B640" s="206"/>
      <c r="C640" s="185"/>
      <c r="D640" s="164"/>
      <c r="E640" s="174"/>
      <c r="F640" s="164"/>
      <c r="G640" s="174"/>
      <c r="H640" s="164"/>
      <c r="I640" s="174"/>
      <c r="J640" s="184"/>
      <c r="K640" s="186"/>
      <c r="L640" s="187" t="str">
        <f t="shared" si="164"/>
        <v/>
      </c>
      <c r="M640" s="187" t="str">
        <f t="shared" si="165"/>
        <v/>
      </c>
      <c r="N640" s="187" t="str">
        <f t="shared" si="157"/>
        <v>D</v>
      </c>
      <c r="O640" s="187" t="str">
        <f t="shared" si="166"/>
        <v>D</v>
      </c>
      <c r="P640" s="187">
        <f t="shared" si="167"/>
        <v>1</v>
      </c>
      <c r="Q640" s="187">
        <f>IFERROR(VLOOKUP(E640,Tabela_Deflator:E$43,5,FALSE),1)</f>
        <v>1</v>
      </c>
      <c r="R640" s="188" t="str">
        <f t="shared" si="168"/>
        <v/>
      </c>
      <c r="S640" s="237" t="str">
        <f t="shared" si="158"/>
        <v/>
      </c>
      <c r="T640" s="237" t="str">
        <f t="shared" si="173"/>
        <v/>
      </c>
      <c r="U640" s="189"/>
      <c r="V640" s="167"/>
      <c r="W640" s="165"/>
      <c r="X640" s="164"/>
      <c r="Y640" s="164"/>
      <c r="Z640" s="164"/>
      <c r="AA640" s="174"/>
      <c r="AB640" s="164"/>
      <c r="AC640" s="174"/>
      <c r="AD640" s="184"/>
      <c r="AE640" s="190" t="str">
        <f t="shared" si="169"/>
        <v/>
      </c>
      <c r="AF640" s="190" t="str">
        <f t="shared" si="170"/>
        <v/>
      </c>
      <c r="AG640" s="190" t="str">
        <f t="shared" si="159"/>
        <v>D</v>
      </c>
      <c r="AH640" s="190">
        <f>IFERROR(VLOOKUP(Y640,SISP_Deflatores_e_INMs!B$4:F$49,3,FALSE),1)</f>
        <v>1</v>
      </c>
      <c r="AI640" s="190">
        <f>IFERROR(VLOOKUP(Y640,SISP_Deflatores_e_INMs!B$4:G$49,5,FALSE),1)</f>
        <v>1</v>
      </c>
      <c r="AJ640" s="191" t="str">
        <f t="shared" si="171"/>
        <v/>
      </c>
      <c r="AK640" s="237" t="str">
        <f t="shared" si="160"/>
        <v/>
      </c>
      <c r="AL640" s="237" t="str">
        <f t="shared" si="172"/>
        <v/>
      </c>
      <c r="AM640" s="192" t="e">
        <f t="shared" si="161"/>
        <v>#VALUE!</v>
      </c>
      <c r="AN640" s="193" t="e">
        <f t="shared" si="162"/>
        <v>#VALUE!</v>
      </c>
      <c r="AO640" s="193" t="e">
        <f t="shared" si="163"/>
        <v>#VALUE!</v>
      </c>
      <c r="AP640" s="193"/>
      <c r="AQ640" s="204"/>
      <c r="AR640" s="204"/>
      <c r="AS640" s="204"/>
      <c r="AT640" s="205"/>
      <c r="AU640"/>
    </row>
    <row r="641" spans="2:47" ht="15" customHeight="1" x14ac:dyDescent="0.25">
      <c r="B641" s="206"/>
      <c r="C641" s="185"/>
      <c r="D641" s="164"/>
      <c r="E641" s="174"/>
      <c r="F641" s="164"/>
      <c r="G641" s="174"/>
      <c r="H641" s="164"/>
      <c r="I641" s="174"/>
      <c r="J641" s="184"/>
      <c r="K641" s="186"/>
      <c r="L641" s="187" t="str">
        <f t="shared" si="164"/>
        <v/>
      </c>
      <c r="M641" s="187" t="str">
        <f t="shared" si="165"/>
        <v/>
      </c>
      <c r="N641" s="187" t="str">
        <f t="shared" si="157"/>
        <v>D</v>
      </c>
      <c r="O641" s="187" t="str">
        <f t="shared" si="166"/>
        <v>D</v>
      </c>
      <c r="P641" s="187">
        <f t="shared" si="167"/>
        <v>1</v>
      </c>
      <c r="Q641" s="187">
        <f>IFERROR(VLOOKUP(E641,Tabela_Deflator:E$43,5,FALSE),1)</f>
        <v>1</v>
      </c>
      <c r="R641" s="188" t="str">
        <f t="shared" si="168"/>
        <v/>
      </c>
      <c r="S641" s="237" t="str">
        <f t="shared" si="158"/>
        <v/>
      </c>
      <c r="T641" s="237" t="str">
        <f t="shared" si="173"/>
        <v/>
      </c>
      <c r="U641" s="189"/>
      <c r="V641" s="167"/>
      <c r="W641" s="165"/>
      <c r="X641" s="164"/>
      <c r="Y641" s="164"/>
      <c r="Z641" s="164"/>
      <c r="AA641" s="174"/>
      <c r="AB641" s="164"/>
      <c r="AC641" s="174"/>
      <c r="AD641" s="184"/>
      <c r="AE641" s="190" t="str">
        <f t="shared" si="169"/>
        <v/>
      </c>
      <c r="AF641" s="190" t="str">
        <f t="shared" si="170"/>
        <v/>
      </c>
      <c r="AG641" s="190" t="str">
        <f t="shared" si="159"/>
        <v>D</v>
      </c>
      <c r="AH641" s="190">
        <f>IFERROR(VLOOKUP(Y641,SISP_Deflatores_e_INMs!B$4:F$49,3,FALSE),1)</f>
        <v>1</v>
      </c>
      <c r="AI641" s="190">
        <f>IFERROR(VLOOKUP(Y641,SISP_Deflatores_e_INMs!B$4:G$49,5,FALSE),1)</f>
        <v>1</v>
      </c>
      <c r="AJ641" s="191" t="str">
        <f t="shared" si="171"/>
        <v/>
      </c>
      <c r="AK641" s="237" t="str">
        <f t="shared" si="160"/>
        <v/>
      </c>
      <c r="AL641" s="237" t="str">
        <f t="shared" si="172"/>
        <v/>
      </c>
      <c r="AM641" s="192" t="e">
        <f t="shared" si="161"/>
        <v>#VALUE!</v>
      </c>
      <c r="AN641" s="193" t="e">
        <f t="shared" si="162"/>
        <v>#VALUE!</v>
      </c>
      <c r="AO641" s="193" t="e">
        <f t="shared" si="163"/>
        <v>#VALUE!</v>
      </c>
      <c r="AP641" s="193"/>
      <c r="AQ641" s="204"/>
      <c r="AR641" s="204"/>
      <c r="AS641" s="204"/>
      <c r="AT641" s="205"/>
      <c r="AU641"/>
    </row>
    <row r="642" spans="2:47" ht="15" customHeight="1" x14ac:dyDescent="0.25">
      <c r="B642" s="206"/>
      <c r="C642" s="185"/>
      <c r="D642" s="164"/>
      <c r="E642" s="174"/>
      <c r="F642" s="164"/>
      <c r="G642" s="174"/>
      <c r="H642" s="164"/>
      <c r="I642" s="174"/>
      <c r="J642" s="184"/>
      <c r="K642" s="186"/>
      <c r="L642" s="187" t="str">
        <f t="shared" si="164"/>
        <v/>
      </c>
      <c r="M642" s="187" t="str">
        <f t="shared" si="165"/>
        <v/>
      </c>
      <c r="N642" s="187" t="str">
        <f t="shared" si="157"/>
        <v>D</v>
      </c>
      <c r="O642" s="187" t="str">
        <f t="shared" si="166"/>
        <v>D</v>
      </c>
      <c r="P642" s="187">
        <f t="shared" si="167"/>
        <v>1</v>
      </c>
      <c r="Q642" s="187">
        <f>IFERROR(VLOOKUP(E642,Tabela_Deflator:E$43,5,FALSE),1)</f>
        <v>1</v>
      </c>
      <c r="R642" s="188" t="str">
        <f t="shared" si="168"/>
        <v/>
      </c>
      <c r="S642" s="237" t="str">
        <f t="shared" si="158"/>
        <v/>
      </c>
      <c r="T642" s="237" t="str">
        <f t="shared" si="173"/>
        <v/>
      </c>
      <c r="U642" s="189"/>
      <c r="V642" s="167"/>
      <c r="W642" s="165"/>
      <c r="X642" s="164"/>
      <c r="Y642" s="164"/>
      <c r="Z642" s="164"/>
      <c r="AA642" s="174"/>
      <c r="AB642" s="164"/>
      <c r="AC642" s="174"/>
      <c r="AD642" s="184"/>
      <c r="AE642" s="190" t="str">
        <f t="shared" si="169"/>
        <v/>
      </c>
      <c r="AF642" s="190" t="str">
        <f t="shared" si="170"/>
        <v/>
      </c>
      <c r="AG642" s="190" t="str">
        <f t="shared" si="159"/>
        <v>D</v>
      </c>
      <c r="AH642" s="190">
        <f>IFERROR(VLOOKUP(Y642,SISP_Deflatores_e_INMs!B$4:F$49,3,FALSE),1)</f>
        <v>1</v>
      </c>
      <c r="AI642" s="190">
        <f>IFERROR(VLOOKUP(Y642,SISP_Deflatores_e_INMs!B$4:G$49,5,FALSE),1)</f>
        <v>1</v>
      </c>
      <c r="AJ642" s="191" t="str">
        <f t="shared" si="171"/>
        <v/>
      </c>
      <c r="AK642" s="237" t="str">
        <f t="shared" si="160"/>
        <v/>
      </c>
      <c r="AL642" s="237" t="str">
        <f t="shared" si="172"/>
        <v/>
      </c>
      <c r="AM642" s="192" t="e">
        <f t="shared" si="161"/>
        <v>#VALUE!</v>
      </c>
      <c r="AN642" s="193" t="e">
        <f t="shared" si="162"/>
        <v>#VALUE!</v>
      </c>
      <c r="AO642" s="193" t="e">
        <f t="shared" si="163"/>
        <v>#VALUE!</v>
      </c>
      <c r="AP642" s="193"/>
      <c r="AQ642" s="204"/>
      <c r="AR642" s="204"/>
      <c r="AS642" s="204"/>
      <c r="AT642" s="205"/>
      <c r="AU642"/>
    </row>
    <row r="643" spans="2:47" ht="15" customHeight="1" x14ac:dyDescent="0.25">
      <c r="B643" s="206"/>
      <c r="C643" s="185"/>
      <c r="D643" s="164"/>
      <c r="E643" s="174"/>
      <c r="F643" s="164"/>
      <c r="G643" s="174"/>
      <c r="H643" s="164"/>
      <c r="I643" s="174"/>
      <c r="J643" s="184"/>
      <c r="K643" s="186"/>
      <c r="L643" s="187" t="str">
        <f t="shared" si="164"/>
        <v/>
      </c>
      <c r="M643" s="187" t="str">
        <f t="shared" si="165"/>
        <v/>
      </c>
      <c r="N643" s="187" t="str">
        <f t="shared" si="157"/>
        <v>D</v>
      </c>
      <c r="O643" s="187" t="str">
        <f t="shared" si="166"/>
        <v>D</v>
      </c>
      <c r="P643" s="187">
        <f t="shared" si="167"/>
        <v>1</v>
      </c>
      <c r="Q643" s="187">
        <f>IFERROR(VLOOKUP(E643,Tabela_Deflator:E$43,5,FALSE),1)</f>
        <v>1</v>
      </c>
      <c r="R643" s="188" t="str">
        <f t="shared" si="168"/>
        <v/>
      </c>
      <c r="S643" s="237" t="str">
        <f t="shared" si="158"/>
        <v/>
      </c>
      <c r="T643" s="237" t="str">
        <f t="shared" si="173"/>
        <v/>
      </c>
      <c r="U643" s="189"/>
      <c r="V643" s="167"/>
      <c r="W643" s="165"/>
      <c r="X643" s="164"/>
      <c r="Y643" s="164"/>
      <c r="Z643" s="164"/>
      <c r="AA643" s="174"/>
      <c r="AB643" s="164"/>
      <c r="AC643" s="174"/>
      <c r="AD643" s="184"/>
      <c r="AE643" s="190" t="str">
        <f t="shared" si="169"/>
        <v/>
      </c>
      <c r="AF643" s="190" t="str">
        <f t="shared" si="170"/>
        <v/>
      </c>
      <c r="AG643" s="190" t="str">
        <f t="shared" si="159"/>
        <v>D</v>
      </c>
      <c r="AH643" s="190">
        <f>IFERROR(VLOOKUP(Y643,SISP_Deflatores_e_INMs!B$4:F$49,3,FALSE),1)</f>
        <v>1</v>
      </c>
      <c r="AI643" s="190">
        <f>IFERROR(VLOOKUP(Y643,SISP_Deflatores_e_INMs!B$4:G$49,5,FALSE),1)</f>
        <v>1</v>
      </c>
      <c r="AJ643" s="191" t="str">
        <f t="shared" si="171"/>
        <v/>
      </c>
      <c r="AK643" s="237" t="str">
        <f t="shared" si="160"/>
        <v/>
      </c>
      <c r="AL643" s="237" t="str">
        <f t="shared" si="172"/>
        <v/>
      </c>
      <c r="AM643" s="192" t="e">
        <f t="shared" si="161"/>
        <v>#VALUE!</v>
      </c>
      <c r="AN643" s="193" t="e">
        <f t="shared" si="162"/>
        <v>#VALUE!</v>
      </c>
      <c r="AO643" s="193" t="e">
        <f t="shared" si="163"/>
        <v>#VALUE!</v>
      </c>
      <c r="AP643" s="193"/>
      <c r="AQ643" s="204"/>
      <c r="AR643" s="204"/>
      <c r="AS643" s="204"/>
      <c r="AT643" s="205"/>
      <c r="AU643"/>
    </row>
    <row r="644" spans="2:47" ht="15" customHeight="1" x14ac:dyDescent="0.25">
      <c r="B644" s="206"/>
      <c r="C644" s="185"/>
      <c r="D644" s="164"/>
      <c r="E644" s="174"/>
      <c r="F644" s="164"/>
      <c r="G644" s="174"/>
      <c r="H644" s="164"/>
      <c r="I644" s="174"/>
      <c r="J644" s="184"/>
      <c r="K644" s="186"/>
      <c r="L644" s="187" t="str">
        <f t="shared" si="164"/>
        <v/>
      </c>
      <c r="M644" s="187" t="str">
        <f t="shared" si="165"/>
        <v/>
      </c>
      <c r="N644" s="187" t="str">
        <f t="shared" ref="N644:N707" si="174">IF(Tipo_de_contagem="Contagem Detalhada","D",IF(Tipo_de_contagem="Contagem Estimada","E","S"))</f>
        <v>D</v>
      </c>
      <c r="O644" s="187" t="str">
        <f t="shared" si="166"/>
        <v>D</v>
      </c>
      <c r="P644" s="187">
        <f t="shared" si="167"/>
        <v>1</v>
      </c>
      <c r="Q644" s="187">
        <f>IFERROR(VLOOKUP(E644,Tabela_Deflator:E$43,5,FALSE),1)</f>
        <v>1</v>
      </c>
      <c r="R644" s="188" t="str">
        <f t="shared" si="168"/>
        <v/>
      </c>
      <c r="S644" s="237" t="str">
        <f t="shared" ref="S644:S707" si="175">IF(D644="N/A","",IF(D644="","",IFERROR(IF(D644="INM",P644*J644,VLOOKUP(O644,Tabela_Pontuação,2,FALSE)),0)))</f>
        <v/>
      </c>
      <c r="T644" s="237" t="str">
        <f t="shared" si="173"/>
        <v/>
      </c>
      <c r="U644" s="189"/>
      <c r="V644" s="167"/>
      <c r="W644" s="165"/>
      <c r="X644" s="164"/>
      <c r="Y644" s="164"/>
      <c r="Z644" s="164"/>
      <c r="AA644" s="174"/>
      <c r="AB644" s="164"/>
      <c r="AC644" s="174"/>
      <c r="AD644" s="184"/>
      <c r="AE644" s="190" t="str">
        <f t="shared" si="169"/>
        <v/>
      </c>
      <c r="AF644" s="190" t="str">
        <f t="shared" si="170"/>
        <v/>
      </c>
      <c r="AG644" s="190" t="str">
        <f t="shared" ref="AG644:AG707" si="176">IF(N644="S",X644,CONCATENATE(X644,AE644,N644))</f>
        <v>D</v>
      </c>
      <c r="AH644" s="190">
        <f>IFERROR(VLOOKUP(Y644,SISP_Deflatores_e_INMs!B$4:F$49,3,FALSE),1)</f>
        <v>1</v>
      </c>
      <c r="AI644" s="190">
        <f>IFERROR(VLOOKUP(Y644,SISP_Deflatores_e_INMs!B$4:G$49,5,FALSE),1)</f>
        <v>1</v>
      </c>
      <c r="AJ644" s="191" t="str">
        <f t="shared" si="171"/>
        <v/>
      </c>
      <c r="AK644" s="237" t="str">
        <f t="shared" ref="AK644:AK707" si="177">IFERROR(IF(X644="INM",AH644*AD644,VLOOKUP(AG644,Tabela_Pontuação,2,FALSE)),"")</f>
        <v/>
      </c>
      <c r="AL644" s="237" t="str">
        <f t="shared" si="172"/>
        <v/>
      </c>
      <c r="AM644" s="192" t="e">
        <f t="shared" ref="AM644:AM707" si="178">IF(S644&lt;=0,0,AK644-S644)</f>
        <v>#VALUE!</v>
      </c>
      <c r="AN644" s="193" t="e">
        <f t="shared" ref="AN644:AN707" si="179">AM644/S644</f>
        <v>#VALUE!</v>
      </c>
      <c r="AO644" s="193" t="e">
        <f t="shared" ref="AO644:AO707" si="180">IF(T644&lt;=0,0,AL644-T644)</f>
        <v>#VALUE!</v>
      </c>
      <c r="AP644" s="193"/>
      <c r="AQ644" s="204"/>
      <c r="AR644" s="204"/>
      <c r="AS644" s="204"/>
      <c r="AT644" s="205"/>
      <c r="AU644"/>
    </row>
    <row r="645" spans="2:47" ht="15" customHeight="1" x14ac:dyDescent="0.25">
      <c r="B645" s="206"/>
      <c r="C645" s="185"/>
      <c r="D645" s="164"/>
      <c r="E645" s="174"/>
      <c r="F645" s="164"/>
      <c r="G645" s="174"/>
      <c r="H645" s="164"/>
      <c r="I645" s="174"/>
      <c r="J645" s="184"/>
      <c r="K645" s="186"/>
      <c r="L645" s="187" t="str">
        <f t="shared" ref="L645:L708" si="181">IF(OR(ISBLANK(F645),ISBLANK(H645)),IF(OR(D645="ALI",D645="AIE"),"L",IF(ISBLANK(D645),"","A")),IF(D645="EE",IF(H645&gt;=3,IF(F645&gt;=5,"H","A"),IF(H645&gt;=2,IF(F645&gt;=16,"H",IF(F645&lt;=4,"L","A")),IF(F645&lt;=15,"L","A"))),IF(OR(D645="SE",D645="CE"),IF(H645&gt;=4,IF(F645&gt;=6,"H","A"),IF(H645&gt;=2,IF(F645&gt;=20,"H",IF(F645&lt;=5,"L","A")),IF(F645&lt;=19,"L","A"))),IF(OR(D645="ALI",D645="AIE"),IF(H645&gt;=6,IF(F645&gt;=20,"H","A"),IF(H645&gt;=2,IF(F645&gt;=51,"H",IF(F645&lt;=19,"L","A")),IF(F645&lt;=50,"L","A")))))))</f>
        <v/>
      </c>
      <c r="M645" s="187" t="str">
        <f t="shared" ref="M645:M708" si="182">CONCATENATE(D645,L645)</f>
        <v/>
      </c>
      <c r="N645" s="187" t="str">
        <f t="shared" si="174"/>
        <v>D</v>
      </c>
      <c r="O645" s="187" t="str">
        <f t="shared" ref="O645:O708" si="183">IF(N645="S",D645,CONCATENATE(D645,L645,N645))</f>
        <v>D</v>
      </c>
      <c r="P645" s="187">
        <f t="shared" ref="P645:P708" si="184">IFERROR(VLOOKUP(E645,Tabela_Deflator,3,FALSE),1)</f>
        <v>1</v>
      </c>
      <c r="Q645" s="187">
        <f>IFERROR(VLOOKUP(E645,Tabela_Deflator:E$43,5,FALSE),1)</f>
        <v>1</v>
      </c>
      <c r="R645" s="188" t="str">
        <f t="shared" ref="R645:R708" si="185">IF(OR(D645="INM",D645="N/A"),"",IF(L645="L","Baixa",IF(L645="A","Média",IF(L645="","","Alta"))))</f>
        <v/>
      </c>
      <c r="S645" s="237" t="str">
        <f t="shared" si="175"/>
        <v/>
      </c>
      <c r="T645" s="237" t="str">
        <f t="shared" si="173"/>
        <v/>
      </c>
      <c r="U645" s="189"/>
      <c r="V645" s="167"/>
      <c r="W645" s="165"/>
      <c r="X645" s="164"/>
      <c r="Y645" s="164"/>
      <c r="Z645" s="164"/>
      <c r="AA645" s="174"/>
      <c r="AB645" s="164"/>
      <c r="AC645" s="174"/>
      <c r="AD645" s="184"/>
      <c r="AE645" s="190" t="str">
        <f t="shared" ref="AE645:AE708" si="186">IF(OR(ISBLANK(Z645),ISBLANK(AB645)),IF(OR(X645="ALI",X645="AIE"),"L",IF(ISBLANK(X645),"","A")),IF(X645="EE",IF(AB645&gt;=3,IF(Z645&gt;=5,"H","A"),IF(AB645&gt;=2,IF(Z645&gt;=16,"H",IF(Z645&lt;=4,"L","A")),IF(Z645&lt;=15,"L","A"))),IF(OR(X645="SE",X645="CE"),IF(AB645&gt;=4,IF(Z645&gt;=6,"H","A"),IF(AB645&gt;=2,IF(Z645&gt;=20,"H",IF(Z645&lt;=5,"L","A")),IF(Z645&lt;=19,"L","A"))),IF(OR(X645="ALI",X645="AIE"),IF(AB645&gt;=6,IF(Z645&gt;=20,"H","A"),IF(AB645&gt;=2,IF(Z645&gt;=51,"H",IF(Z645&lt;=19,"L","A")),IF(Z645&lt;=50,"L","A")))))))</f>
        <v/>
      </c>
      <c r="AF645" s="190" t="str">
        <f t="shared" ref="AF645:AF708" si="187">CONCATENATE(X645,AE645)</f>
        <v/>
      </c>
      <c r="AG645" s="190" t="str">
        <f t="shared" si="176"/>
        <v>D</v>
      </c>
      <c r="AH645" s="190">
        <f>IFERROR(VLOOKUP(Y645,SISP_Deflatores_e_INMs!B$4:F$49,3,FALSE),1)</f>
        <v>1</v>
      </c>
      <c r="AI645" s="190">
        <f>IFERROR(VLOOKUP(Y645,SISP_Deflatores_e_INMs!B$4:G$49,5,FALSE),1)</f>
        <v>1</v>
      </c>
      <c r="AJ645" s="191" t="str">
        <f t="shared" ref="AJ645:AJ708" si="188">IF(OR(X645="INM",X645="N/A"),"",IF(AE645="L","Baixa",IF(AE645="A","Média",IF(AE645="","","Alta"))))</f>
        <v/>
      </c>
      <c r="AK645" s="237" t="str">
        <f t="shared" si="177"/>
        <v/>
      </c>
      <c r="AL645" s="237" t="str">
        <f t="shared" ref="AL645:AL708" si="189">IFERROR(IF(OR(ISBLANK(V645),V645="NOK"),"",IF(X645="INM",(1*AH645)*AD645,AK645*AH645)),"")</f>
        <v/>
      </c>
      <c r="AM645" s="192" t="e">
        <f t="shared" si="178"/>
        <v>#VALUE!</v>
      </c>
      <c r="AN645" s="193" t="e">
        <f t="shared" si="179"/>
        <v>#VALUE!</v>
      </c>
      <c r="AO645" s="193" t="e">
        <f t="shared" si="180"/>
        <v>#VALUE!</v>
      </c>
      <c r="AP645" s="193"/>
      <c r="AQ645" s="204"/>
      <c r="AR645" s="204"/>
      <c r="AS645" s="204"/>
      <c r="AT645" s="205"/>
      <c r="AU645"/>
    </row>
    <row r="646" spans="2:47" ht="15" customHeight="1" x14ac:dyDescent="0.25">
      <c r="B646" s="206"/>
      <c r="C646" s="185"/>
      <c r="D646" s="164"/>
      <c r="E646" s="174"/>
      <c r="F646" s="164"/>
      <c r="G646" s="174"/>
      <c r="H646" s="164"/>
      <c r="I646" s="174"/>
      <c r="J646" s="184"/>
      <c r="K646" s="186"/>
      <c r="L646" s="187" t="str">
        <f t="shared" si="181"/>
        <v/>
      </c>
      <c r="M646" s="187" t="str">
        <f t="shared" si="182"/>
        <v/>
      </c>
      <c r="N646" s="187" t="str">
        <f t="shared" si="174"/>
        <v>D</v>
      </c>
      <c r="O646" s="187" t="str">
        <f t="shared" si="183"/>
        <v>D</v>
      </c>
      <c r="P646" s="187">
        <f t="shared" si="184"/>
        <v>1</v>
      </c>
      <c r="Q646" s="187">
        <f>IFERROR(VLOOKUP(E646,Tabela_Deflator:E$43,5,FALSE),1)</f>
        <v>1</v>
      </c>
      <c r="R646" s="188" t="str">
        <f t="shared" si="185"/>
        <v/>
      </c>
      <c r="S646" s="237" t="str">
        <f t="shared" si="175"/>
        <v/>
      </c>
      <c r="T646" s="237" t="str">
        <f t="shared" ref="T646:T709" si="190" xml:space="preserve"> IF(D646="N/A","",IF(D646="","",IF(D646="INM",(1*P646)*J646,S646*P646)))</f>
        <v/>
      </c>
      <c r="U646" s="189"/>
      <c r="V646" s="167"/>
      <c r="W646" s="165"/>
      <c r="X646" s="164"/>
      <c r="Y646" s="164"/>
      <c r="Z646" s="164"/>
      <c r="AA646" s="174"/>
      <c r="AB646" s="164"/>
      <c r="AC646" s="174"/>
      <c r="AD646" s="184"/>
      <c r="AE646" s="190" t="str">
        <f t="shared" si="186"/>
        <v/>
      </c>
      <c r="AF646" s="190" t="str">
        <f t="shared" si="187"/>
        <v/>
      </c>
      <c r="AG646" s="190" t="str">
        <f t="shared" si="176"/>
        <v>D</v>
      </c>
      <c r="AH646" s="190">
        <f>IFERROR(VLOOKUP(Y646,SISP_Deflatores_e_INMs!B$4:F$49,3,FALSE),1)</f>
        <v>1</v>
      </c>
      <c r="AI646" s="190">
        <f>IFERROR(VLOOKUP(Y646,SISP_Deflatores_e_INMs!B$4:G$49,5,FALSE),1)</f>
        <v>1</v>
      </c>
      <c r="AJ646" s="191" t="str">
        <f t="shared" si="188"/>
        <v/>
      </c>
      <c r="AK646" s="237" t="str">
        <f t="shared" si="177"/>
        <v/>
      </c>
      <c r="AL646" s="237" t="str">
        <f t="shared" si="189"/>
        <v/>
      </c>
      <c r="AM646" s="192" t="e">
        <f t="shared" si="178"/>
        <v>#VALUE!</v>
      </c>
      <c r="AN646" s="193" t="e">
        <f t="shared" si="179"/>
        <v>#VALUE!</v>
      </c>
      <c r="AO646" s="193" t="e">
        <f t="shared" si="180"/>
        <v>#VALUE!</v>
      </c>
      <c r="AP646" s="193"/>
      <c r="AQ646" s="204"/>
      <c r="AR646" s="204"/>
      <c r="AS646" s="204"/>
      <c r="AT646" s="205"/>
      <c r="AU646"/>
    </row>
    <row r="647" spans="2:47" ht="15" customHeight="1" x14ac:dyDescent="0.25">
      <c r="B647" s="206"/>
      <c r="C647" s="185"/>
      <c r="D647" s="164"/>
      <c r="E647" s="174"/>
      <c r="F647" s="164"/>
      <c r="G647" s="174"/>
      <c r="H647" s="164"/>
      <c r="I647" s="174"/>
      <c r="J647" s="184"/>
      <c r="K647" s="186"/>
      <c r="L647" s="187" t="str">
        <f t="shared" si="181"/>
        <v/>
      </c>
      <c r="M647" s="187" t="str">
        <f t="shared" si="182"/>
        <v/>
      </c>
      <c r="N647" s="187" t="str">
        <f t="shared" si="174"/>
        <v>D</v>
      </c>
      <c r="O647" s="187" t="str">
        <f t="shared" si="183"/>
        <v>D</v>
      </c>
      <c r="P647" s="187">
        <f t="shared" si="184"/>
        <v>1</v>
      </c>
      <c r="Q647" s="187">
        <f>IFERROR(VLOOKUP(E647,Tabela_Deflator:E$43,5,FALSE),1)</f>
        <v>1</v>
      </c>
      <c r="R647" s="188" t="str">
        <f t="shared" si="185"/>
        <v/>
      </c>
      <c r="S647" s="237" t="str">
        <f t="shared" si="175"/>
        <v/>
      </c>
      <c r="T647" s="237" t="str">
        <f t="shared" si="190"/>
        <v/>
      </c>
      <c r="U647" s="189"/>
      <c r="V647" s="167"/>
      <c r="W647" s="165"/>
      <c r="X647" s="164"/>
      <c r="Y647" s="164"/>
      <c r="Z647" s="164"/>
      <c r="AA647" s="174"/>
      <c r="AB647" s="164"/>
      <c r="AC647" s="174"/>
      <c r="AD647" s="184"/>
      <c r="AE647" s="190" t="str">
        <f t="shared" si="186"/>
        <v/>
      </c>
      <c r="AF647" s="190" t="str">
        <f t="shared" si="187"/>
        <v/>
      </c>
      <c r="AG647" s="190" t="str">
        <f t="shared" si="176"/>
        <v>D</v>
      </c>
      <c r="AH647" s="190">
        <f>IFERROR(VLOOKUP(Y647,SISP_Deflatores_e_INMs!B$4:F$49,3,FALSE),1)</f>
        <v>1</v>
      </c>
      <c r="AI647" s="190">
        <f>IFERROR(VLOOKUP(Y647,SISP_Deflatores_e_INMs!B$4:G$49,5,FALSE),1)</f>
        <v>1</v>
      </c>
      <c r="AJ647" s="191" t="str">
        <f t="shared" si="188"/>
        <v/>
      </c>
      <c r="AK647" s="237" t="str">
        <f t="shared" si="177"/>
        <v/>
      </c>
      <c r="AL647" s="237" t="str">
        <f t="shared" si="189"/>
        <v/>
      </c>
      <c r="AM647" s="192" t="e">
        <f t="shared" si="178"/>
        <v>#VALUE!</v>
      </c>
      <c r="AN647" s="193" t="e">
        <f t="shared" si="179"/>
        <v>#VALUE!</v>
      </c>
      <c r="AO647" s="193" t="e">
        <f t="shared" si="180"/>
        <v>#VALUE!</v>
      </c>
      <c r="AP647" s="193"/>
      <c r="AQ647" s="204"/>
      <c r="AR647" s="204"/>
      <c r="AS647" s="204"/>
      <c r="AT647" s="205"/>
      <c r="AU647"/>
    </row>
    <row r="648" spans="2:47" ht="15" customHeight="1" x14ac:dyDescent="0.25">
      <c r="B648" s="206"/>
      <c r="C648" s="185"/>
      <c r="D648" s="164"/>
      <c r="E648" s="174"/>
      <c r="F648" s="164"/>
      <c r="G648" s="174"/>
      <c r="H648" s="164"/>
      <c r="I648" s="174"/>
      <c r="J648" s="184"/>
      <c r="K648" s="186"/>
      <c r="L648" s="187" t="str">
        <f t="shared" si="181"/>
        <v/>
      </c>
      <c r="M648" s="187" t="str">
        <f t="shared" si="182"/>
        <v/>
      </c>
      <c r="N648" s="187" t="str">
        <f t="shared" si="174"/>
        <v>D</v>
      </c>
      <c r="O648" s="187" t="str">
        <f t="shared" si="183"/>
        <v>D</v>
      </c>
      <c r="P648" s="187">
        <f t="shared" si="184"/>
        <v>1</v>
      </c>
      <c r="Q648" s="187">
        <f>IFERROR(VLOOKUP(E648,Tabela_Deflator:E$43,5,FALSE),1)</f>
        <v>1</v>
      </c>
      <c r="R648" s="188" t="str">
        <f t="shared" si="185"/>
        <v/>
      </c>
      <c r="S648" s="237" t="str">
        <f t="shared" si="175"/>
        <v/>
      </c>
      <c r="T648" s="237" t="str">
        <f t="shared" si="190"/>
        <v/>
      </c>
      <c r="U648" s="189"/>
      <c r="V648" s="167"/>
      <c r="W648" s="165"/>
      <c r="X648" s="164"/>
      <c r="Y648" s="164"/>
      <c r="Z648" s="164"/>
      <c r="AA648" s="174"/>
      <c r="AB648" s="164"/>
      <c r="AC648" s="174"/>
      <c r="AD648" s="184"/>
      <c r="AE648" s="190" t="str">
        <f t="shared" si="186"/>
        <v/>
      </c>
      <c r="AF648" s="190" t="str">
        <f t="shared" si="187"/>
        <v/>
      </c>
      <c r="AG648" s="190" t="str">
        <f t="shared" si="176"/>
        <v>D</v>
      </c>
      <c r="AH648" s="190">
        <f>IFERROR(VLOOKUP(Y648,SISP_Deflatores_e_INMs!B$4:F$49,3,FALSE),1)</f>
        <v>1</v>
      </c>
      <c r="AI648" s="190">
        <f>IFERROR(VLOOKUP(Y648,SISP_Deflatores_e_INMs!B$4:G$49,5,FALSE),1)</f>
        <v>1</v>
      </c>
      <c r="AJ648" s="191" t="str">
        <f t="shared" si="188"/>
        <v/>
      </c>
      <c r="AK648" s="237" t="str">
        <f t="shared" si="177"/>
        <v/>
      </c>
      <c r="AL648" s="237" t="str">
        <f t="shared" si="189"/>
        <v/>
      </c>
      <c r="AM648" s="192" t="e">
        <f t="shared" si="178"/>
        <v>#VALUE!</v>
      </c>
      <c r="AN648" s="193" t="e">
        <f t="shared" si="179"/>
        <v>#VALUE!</v>
      </c>
      <c r="AO648" s="193" t="e">
        <f t="shared" si="180"/>
        <v>#VALUE!</v>
      </c>
      <c r="AP648" s="193"/>
      <c r="AQ648" s="204"/>
      <c r="AR648" s="204"/>
      <c r="AS648" s="204"/>
      <c r="AT648" s="205"/>
      <c r="AU648"/>
    </row>
    <row r="649" spans="2:47" ht="15" customHeight="1" x14ac:dyDescent="0.25">
      <c r="B649" s="206"/>
      <c r="C649" s="185"/>
      <c r="D649" s="164"/>
      <c r="E649" s="174"/>
      <c r="F649" s="164"/>
      <c r="G649" s="174"/>
      <c r="H649" s="164"/>
      <c r="I649" s="174"/>
      <c r="J649" s="184"/>
      <c r="K649" s="186"/>
      <c r="L649" s="187" t="str">
        <f t="shared" si="181"/>
        <v/>
      </c>
      <c r="M649" s="187" t="str">
        <f t="shared" si="182"/>
        <v/>
      </c>
      <c r="N649" s="187" t="str">
        <f t="shared" si="174"/>
        <v>D</v>
      </c>
      <c r="O649" s="187" t="str">
        <f t="shared" si="183"/>
        <v>D</v>
      </c>
      <c r="P649" s="187">
        <f t="shared" si="184"/>
        <v>1</v>
      </c>
      <c r="Q649" s="187">
        <f>IFERROR(VLOOKUP(E649,Tabela_Deflator:E$43,5,FALSE),1)</f>
        <v>1</v>
      </c>
      <c r="R649" s="188" t="str">
        <f t="shared" si="185"/>
        <v/>
      </c>
      <c r="S649" s="237" t="str">
        <f t="shared" si="175"/>
        <v/>
      </c>
      <c r="T649" s="237" t="str">
        <f t="shared" si="190"/>
        <v/>
      </c>
      <c r="U649" s="189"/>
      <c r="V649" s="167"/>
      <c r="W649" s="165"/>
      <c r="X649" s="164"/>
      <c r="Y649" s="164"/>
      <c r="Z649" s="164"/>
      <c r="AA649" s="174"/>
      <c r="AB649" s="164"/>
      <c r="AC649" s="174"/>
      <c r="AD649" s="184"/>
      <c r="AE649" s="190" t="str">
        <f t="shared" si="186"/>
        <v/>
      </c>
      <c r="AF649" s="190" t="str">
        <f t="shared" si="187"/>
        <v/>
      </c>
      <c r="AG649" s="190" t="str">
        <f t="shared" si="176"/>
        <v>D</v>
      </c>
      <c r="AH649" s="190">
        <f>IFERROR(VLOOKUP(Y649,SISP_Deflatores_e_INMs!B$4:F$49,3,FALSE),1)</f>
        <v>1</v>
      </c>
      <c r="AI649" s="190">
        <f>IFERROR(VLOOKUP(Y649,SISP_Deflatores_e_INMs!B$4:G$49,5,FALSE),1)</f>
        <v>1</v>
      </c>
      <c r="AJ649" s="191" t="str">
        <f t="shared" si="188"/>
        <v/>
      </c>
      <c r="AK649" s="237" t="str">
        <f t="shared" si="177"/>
        <v/>
      </c>
      <c r="AL649" s="237" t="str">
        <f t="shared" si="189"/>
        <v/>
      </c>
      <c r="AM649" s="192" t="e">
        <f t="shared" si="178"/>
        <v>#VALUE!</v>
      </c>
      <c r="AN649" s="193" t="e">
        <f t="shared" si="179"/>
        <v>#VALUE!</v>
      </c>
      <c r="AO649" s="193" t="e">
        <f t="shared" si="180"/>
        <v>#VALUE!</v>
      </c>
      <c r="AP649" s="193"/>
      <c r="AQ649" s="204"/>
      <c r="AR649" s="204"/>
      <c r="AS649" s="204"/>
      <c r="AT649" s="205"/>
      <c r="AU649"/>
    </row>
    <row r="650" spans="2:47" ht="15" customHeight="1" x14ac:dyDescent="0.25">
      <c r="B650" s="206"/>
      <c r="C650" s="185"/>
      <c r="D650" s="164"/>
      <c r="E650" s="174"/>
      <c r="F650" s="164"/>
      <c r="G650" s="174"/>
      <c r="H650" s="164"/>
      <c r="I650" s="174"/>
      <c r="J650" s="184"/>
      <c r="K650" s="186"/>
      <c r="L650" s="187" t="str">
        <f t="shared" si="181"/>
        <v/>
      </c>
      <c r="M650" s="187" t="str">
        <f t="shared" si="182"/>
        <v/>
      </c>
      <c r="N650" s="187" t="str">
        <f t="shared" si="174"/>
        <v>D</v>
      </c>
      <c r="O650" s="187" t="str">
        <f t="shared" si="183"/>
        <v>D</v>
      </c>
      <c r="P650" s="187">
        <f t="shared" si="184"/>
        <v>1</v>
      </c>
      <c r="Q650" s="187">
        <f>IFERROR(VLOOKUP(E650,Tabela_Deflator:E$43,5,FALSE),1)</f>
        <v>1</v>
      </c>
      <c r="R650" s="188" t="str">
        <f t="shared" si="185"/>
        <v/>
      </c>
      <c r="S650" s="237" t="str">
        <f t="shared" si="175"/>
        <v/>
      </c>
      <c r="T650" s="237" t="str">
        <f t="shared" si="190"/>
        <v/>
      </c>
      <c r="U650" s="189"/>
      <c r="V650" s="167"/>
      <c r="W650" s="165"/>
      <c r="X650" s="164"/>
      <c r="Y650" s="164"/>
      <c r="Z650" s="164"/>
      <c r="AA650" s="174"/>
      <c r="AB650" s="164"/>
      <c r="AC650" s="174"/>
      <c r="AD650" s="184"/>
      <c r="AE650" s="190" t="str">
        <f t="shared" si="186"/>
        <v/>
      </c>
      <c r="AF650" s="190" t="str">
        <f t="shared" si="187"/>
        <v/>
      </c>
      <c r="AG650" s="190" t="str">
        <f t="shared" si="176"/>
        <v>D</v>
      </c>
      <c r="AH650" s="190">
        <f>IFERROR(VLOOKUP(Y650,SISP_Deflatores_e_INMs!B$4:F$49,3,FALSE),1)</f>
        <v>1</v>
      </c>
      <c r="AI650" s="190">
        <f>IFERROR(VLOOKUP(Y650,SISP_Deflatores_e_INMs!B$4:G$49,5,FALSE),1)</f>
        <v>1</v>
      </c>
      <c r="AJ650" s="191" t="str">
        <f t="shared" si="188"/>
        <v/>
      </c>
      <c r="AK650" s="237" t="str">
        <f t="shared" si="177"/>
        <v/>
      </c>
      <c r="AL650" s="237" t="str">
        <f t="shared" si="189"/>
        <v/>
      </c>
      <c r="AM650" s="192" t="e">
        <f t="shared" si="178"/>
        <v>#VALUE!</v>
      </c>
      <c r="AN650" s="193" t="e">
        <f t="shared" si="179"/>
        <v>#VALUE!</v>
      </c>
      <c r="AO650" s="193" t="e">
        <f t="shared" si="180"/>
        <v>#VALUE!</v>
      </c>
      <c r="AP650" s="193"/>
      <c r="AQ650" s="204"/>
      <c r="AR650" s="204"/>
      <c r="AS650" s="204"/>
      <c r="AT650" s="205"/>
      <c r="AU650"/>
    </row>
    <row r="651" spans="2:47" ht="15" customHeight="1" x14ac:dyDescent="0.25">
      <c r="B651" s="206"/>
      <c r="C651" s="185"/>
      <c r="D651" s="164"/>
      <c r="E651" s="174"/>
      <c r="F651" s="164"/>
      <c r="G651" s="174"/>
      <c r="H651" s="164"/>
      <c r="I651" s="174"/>
      <c r="J651" s="184"/>
      <c r="K651" s="186"/>
      <c r="L651" s="187" t="str">
        <f t="shared" si="181"/>
        <v/>
      </c>
      <c r="M651" s="187" t="str">
        <f t="shared" si="182"/>
        <v/>
      </c>
      <c r="N651" s="187" t="str">
        <f t="shared" si="174"/>
        <v>D</v>
      </c>
      <c r="O651" s="187" t="str">
        <f t="shared" si="183"/>
        <v>D</v>
      </c>
      <c r="P651" s="187">
        <f t="shared" si="184"/>
        <v>1</v>
      </c>
      <c r="Q651" s="187">
        <f>IFERROR(VLOOKUP(E651,Tabela_Deflator:E$43,5,FALSE),1)</f>
        <v>1</v>
      </c>
      <c r="R651" s="188" t="str">
        <f t="shared" si="185"/>
        <v/>
      </c>
      <c r="S651" s="237" t="str">
        <f t="shared" si="175"/>
        <v/>
      </c>
      <c r="T651" s="237" t="str">
        <f t="shared" si="190"/>
        <v/>
      </c>
      <c r="U651" s="189"/>
      <c r="V651" s="167"/>
      <c r="W651" s="165"/>
      <c r="X651" s="164"/>
      <c r="Y651" s="164"/>
      <c r="Z651" s="164"/>
      <c r="AA651" s="174"/>
      <c r="AB651" s="164"/>
      <c r="AC651" s="174"/>
      <c r="AD651" s="184"/>
      <c r="AE651" s="190" t="str">
        <f t="shared" si="186"/>
        <v/>
      </c>
      <c r="AF651" s="190" t="str">
        <f t="shared" si="187"/>
        <v/>
      </c>
      <c r="AG651" s="190" t="str">
        <f t="shared" si="176"/>
        <v>D</v>
      </c>
      <c r="AH651" s="190">
        <f>IFERROR(VLOOKUP(Y651,SISP_Deflatores_e_INMs!B$4:F$49,3,FALSE),1)</f>
        <v>1</v>
      </c>
      <c r="AI651" s="190">
        <f>IFERROR(VLOOKUP(Y651,SISP_Deflatores_e_INMs!B$4:G$49,5,FALSE),1)</f>
        <v>1</v>
      </c>
      <c r="AJ651" s="191" t="str">
        <f t="shared" si="188"/>
        <v/>
      </c>
      <c r="AK651" s="237" t="str">
        <f t="shared" si="177"/>
        <v/>
      </c>
      <c r="AL651" s="237" t="str">
        <f t="shared" si="189"/>
        <v/>
      </c>
      <c r="AM651" s="192" t="e">
        <f t="shared" si="178"/>
        <v>#VALUE!</v>
      </c>
      <c r="AN651" s="193" t="e">
        <f t="shared" si="179"/>
        <v>#VALUE!</v>
      </c>
      <c r="AO651" s="193" t="e">
        <f t="shared" si="180"/>
        <v>#VALUE!</v>
      </c>
      <c r="AP651" s="193"/>
      <c r="AQ651" s="204"/>
      <c r="AR651" s="204"/>
      <c r="AS651" s="204"/>
      <c r="AT651" s="205"/>
      <c r="AU651"/>
    </row>
    <row r="652" spans="2:47" ht="15" customHeight="1" x14ac:dyDescent="0.25">
      <c r="B652" s="206"/>
      <c r="C652" s="185"/>
      <c r="D652" s="164"/>
      <c r="E652" s="174"/>
      <c r="F652" s="164"/>
      <c r="G652" s="174"/>
      <c r="H652" s="164"/>
      <c r="I652" s="174"/>
      <c r="J652" s="184"/>
      <c r="K652" s="186"/>
      <c r="L652" s="187" t="str">
        <f t="shared" si="181"/>
        <v/>
      </c>
      <c r="M652" s="187" t="str">
        <f t="shared" si="182"/>
        <v/>
      </c>
      <c r="N652" s="187" t="str">
        <f t="shared" si="174"/>
        <v>D</v>
      </c>
      <c r="O652" s="187" t="str">
        <f t="shared" si="183"/>
        <v>D</v>
      </c>
      <c r="P652" s="187">
        <f t="shared" si="184"/>
        <v>1</v>
      </c>
      <c r="Q652" s="187">
        <f>IFERROR(VLOOKUP(E652,Tabela_Deflator:E$43,5,FALSE),1)</f>
        <v>1</v>
      </c>
      <c r="R652" s="188" t="str">
        <f t="shared" si="185"/>
        <v/>
      </c>
      <c r="S652" s="237" t="str">
        <f t="shared" si="175"/>
        <v/>
      </c>
      <c r="T652" s="237" t="str">
        <f t="shared" si="190"/>
        <v/>
      </c>
      <c r="U652" s="189"/>
      <c r="V652" s="167"/>
      <c r="W652" s="165"/>
      <c r="X652" s="164"/>
      <c r="Y652" s="164"/>
      <c r="Z652" s="164"/>
      <c r="AA652" s="174"/>
      <c r="AB652" s="164"/>
      <c r="AC652" s="174"/>
      <c r="AD652" s="184"/>
      <c r="AE652" s="190" t="str">
        <f t="shared" si="186"/>
        <v/>
      </c>
      <c r="AF652" s="190" t="str">
        <f t="shared" si="187"/>
        <v/>
      </c>
      <c r="AG652" s="190" t="str">
        <f t="shared" si="176"/>
        <v>D</v>
      </c>
      <c r="AH652" s="190">
        <f>IFERROR(VLOOKUP(Y652,SISP_Deflatores_e_INMs!B$4:F$49,3,FALSE),1)</f>
        <v>1</v>
      </c>
      <c r="AI652" s="190">
        <f>IFERROR(VLOOKUP(Y652,SISP_Deflatores_e_INMs!B$4:G$49,5,FALSE),1)</f>
        <v>1</v>
      </c>
      <c r="AJ652" s="191" t="str">
        <f t="shared" si="188"/>
        <v/>
      </c>
      <c r="AK652" s="237" t="str">
        <f t="shared" si="177"/>
        <v/>
      </c>
      <c r="AL652" s="237" t="str">
        <f t="shared" si="189"/>
        <v/>
      </c>
      <c r="AM652" s="192" t="e">
        <f t="shared" si="178"/>
        <v>#VALUE!</v>
      </c>
      <c r="AN652" s="193" t="e">
        <f t="shared" si="179"/>
        <v>#VALUE!</v>
      </c>
      <c r="AO652" s="193" t="e">
        <f t="shared" si="180"/>
        <v>#VALUE!</v>
      </c>
      <c r="AP652" s="193"/>
      <c r="AQ652" s="204"/>
      <c r="AR652" s="204"/>
      <c r="AS652" s="204"/>
      <c r="AT652" s="205"/>
      <c r="AU652"/>
    </row>
    <row r="653" spans="2:47" ht="15" customHeight="1" x14ac:dyDescent="0.25">
      <c r="B653" s="206"/>
      <c r="C653" s="185"/>
      <c r="D653" s="164"/>
      <c r="E653" s="174"/>
      <c r="F653" s="164"/>
      <c r="G653" s="174"/>
      <c r="H653" s="164"/>
      <c r="I653" s="174"/>
      <c r="J653" s="184"/>
      <c r="K653" s="186"/>
      <c r="L653" s="187" t="str">
        <f t="shared" si="181"/>
        <v/>
      </c>
      <c r="M653" s="187" t="str">
        <f t="shared" si="182"/>
        <v/>
      </c>
      <c r="N653" s="187" t="str">
        <f t="shared" si="174"/>
        <v>D</v>
      </c>
      <c r="O653" s="187" t="str">
        <f t="shared" si="183"/>
        <v>D</v>
      </c>
      <c r="P653" s="187">
        <f t="shared" si="184"/>
        <v>1</v>
      </c>
      <c r="Q653" s="187">
        <f>IFERROR(VLOOKUP(E653,Tabela_Deflator:E$43,5,FALSE),1)</f>
        <v>1</v>
      </c>
      <c r="R653" s="188" t="str">
        <f t="shared" si="185"/>
        <v/>
      </c>
      <c r="S653" s="237" t="str">
        <f t="shared" si="175"/>
        <v/>
      </c>
      <c r="T653" s="237" t="str">
        <f t="shared" si="190"/>
        <v/>
      </c>
      <c r="U653" s="189"/>
      <c r="V653" s="167"/>
      <c r="W653" s="165"/>
      <c r="X653" s="164"/>
      <c r="Y653" s="164"/>
      <c r="Z653" s="164"/>
      <c r="AA653" s="174"/>
      <c r="AB653" s="164"/>
      <c r="AC653" s="174"/>
      <c r="AD653" s="184"/>
      <c r="AE653" s="190" t="str">
        <f t="shared" si="186"/>
        <v/>
      </c>
      <c r="AF653" s="190" t="str">
        <f t="shared" si="187"/>
        <v/>
      </c>
      <c r="AG653" s="190" t="str">
        <f t="shared" si="176"/>
        <v>D</v>
      </c>
      <c r="AH653" s="190">
        <f>IFERROR(VLOOKUP(Y653,SISP_Deflatores_e_INMs!B$4:F$49,3,FALSE),1)</f>
        <v>1</v>
      </c>
      <c r="AI653" s="190">
        <f>IFERROR(VLOOKUP(Y653,SISP_Deflatores_e_INMs!B$4:G$49,5,FALSE),1)</f>
        <v>1</v>
      </c>
      <c r="AJ653" s="191" t="str">
        <f t="shared" si="188"/>
        <v/>
      </c>
      <c r="AK653" s="237" t="str">
        <f t="shared" si="177"/>
        <v/>
      </c>
      <c r="AL653" s="237" t="str">
        <f t="shared" si="189"/>
        <v/>
      </c>
      <c r="AM653" s="192" t="e">
        <f t="shared" si="178"/>
        <v>#VALUE!</v>
      </c>
      <c r="AN653" s="193" t="e">
        <f t="shared" si="179"/>
        <v>#VALUE!</v>
      </c>
      <c r="AO653" s="193" t="e">
        <f t="shared" si="180"/>
        <v>#VALUE!</v>
      </c>
      <c r="AP653" s="193"/>
      <c r="AQ653" s="204"/>
      <c r="AR653" s="204"/>
      <c r="AS653" s="204"/>
      <c r="AT653" s="205"/>
      <c r="AU653"/>
    </row>
    <row r="654" spans="2:47" ht="15" customHeight="1" x14ac:dyDescent="0.25">
      <c r="B654" s="206"/>
      <c r="C654" s="185"/>
      <c r="D654" s="164"/>
      <c r="E654" s="174"/>
      <c r="F654" s="164"/>
      <c r="G654" s="174"/>
      <c r="H654" s="164"/>
      <c r="I654" s="174"/>
      <c r="J654" s="184"/>
      <c r="K654" s="186"/>
      <c r="L654" s="187" t="str">
        <f t="shared" si="181"/>
        <v/>
      </c>
      <c r="M654" s="187" t="str">
        <f t="shared" si="182"/>
        <v/>
      </c>
      <c r="N654" s="187" t="str">
        <f t="shared" si="174"/>
        <v>D</v>
      </c>
      <c r="O654" s="187" t="str">
        <f t="shared" si="183"/>
        <v>D</v>
      </c>
      <c r="P654" s="187">
        <f t="shared" si="184"/>
        <v>1</v>
      </c>
      <c r="Q654" s="187">
        <f>IFERROR(VLOOKUP(E654,Tabela_Deflator:E$43,5,FALSE),1)</f>
        <v>1</v>
      </c>
      <c r="R654" s="188" t="str">
        <f t="shared" si="185"/>
        <v/>
      </c>
      <c r="S654" s="237" t="str">
        <f t="shared" si="175"/>
        <v/>
      </c>
      <c r="T654" s="237" t="str">
        <f t="shared" si="190"/>
        <v/>
      </c>
      <c r="U654" s="189"/>
      <c r="V654" s="167"/>
      <c r="W654" s="165"/>
      <c r="X654" s="164"/>
      <c r="Y654" s="164"/>
      <c r="Z654" s="164"/>
      <c r="AA654" s="174"/>
      <c r="AB654" s="164"/>
      <c r="AC654" s="174"/>
      <c r="AD654" s="184"/>
      <c r="AE654" s="190" t="str">
        <f t="shared" si="186"/>
        <v/>
      </c>
      <c r="AF654" s="190" t="str">
        <f t="shared" si="187"/>
        <v/>
      </c>
      <c r="AG654" s="190" t="str">
        <f t="shared" si="176"/>
        <v>D</v>
      </c>
      <c r="AH654" s="190">
        <f>IFERROR(VLOOKUP(Y654,SISP_Deflatores_e_INMs!B$4:F$49,3,FALSE),1)</f>
        <v>1</v>
      </c>
      <c r="AI654" s="190">
        <f>IFERROR(VLOOKUP(Y654,SISP_Deflatores_e_INMs!B$4:G$49,5,FALSE),1)</f>
        <v>1</v>
      </c>
      <c r="AJ654" s="191" t="str">
        <f t="shared" si="188"/>
        <v/>
      </c>
      <c r="AK654" s="237" t="str">
        <f t="shared" si="177"/>
        <v/>
      </c>
      <c r="AL654" s="237" t="str">
        <f t="shared" si="189"/>
        <v/>
      </c>
      <c r="AM654" s="192" t="e">
        <f t="shared" si="178"/>
        <v>#VALUE!</v>
      </c>
      <c r="AN654" s="193" t="e">
        <f t="shared" si="179"/>
        <v>#VALUE!</v>
      </c>
      <c r="AO654" s="193" t="e">
        <f t="shared" si="180"/>
        <v>#VALUE!</v>
      </c>
      <c r="AP654" s="193"/>
      <c r="AQ654" s="204"/>
      <c r="AR654" s="204"/>
      <c r="AS654" s="204"/>
      <c r="AT654" s="205"/>
      <c r="AU654"/>
    </row>
    <row r="655" spans="2:47" ht="15" customHeight="1" x14ac:dyDescent="0.25">
      <c r="B655" s="206"/>
      <c r="C655" s="185"/>
      <c r="D655" s="164"/>
      <c r="E655" s="174"/>
      <c r="F655" s="164"/>
      <c r="G655" s="174"/>
      <c r="H655" s="164"/>
      <c r="I655" s="174"/>
      <c r="J655" s="184"/>
      <c r="K655" s="186"/>
      <c r="L655" s="187" t="str">
        <f t="shared" si="181"/>
        <v/>
      </c>
      <c r="M655" s="187" t="str">
        <f t="shared" si="182"/>
        <v/>
      </c>
      <c r="N655" s="187" t="str">
        <f t="shared" si="174"/>
        <v>D</v>
      </c>
      <c r="O655" s="187" t="str">
        <f t="shared" si="183"/>
        <v>D</v>
      </c>
      <c r="P655" s="187">
        <f t="shared" si="184"/>
        <v>1</v>
      </c>
      <c r="Q655" s="187">
        <f>IFERROR(VLOOKUP(E655,Tabela_Deflator:E$43,5,FALSE),1)</f>
        <v>1</v>
      </c>
      <c r="R655" s="188" t="str">
        <f t="shared" si="185"/>
        <v/>
      </c>
      <c r="S655" s="237" t="str">
        <f t="shared" si="175"/>
        <v/>
      </c>
      <c r="T655" s="237" t="str">
        <f t="shared" si="190"/>
        <v/>
      </c>
      <c r="U655" s="189"/>
      <c r="V655" s="167"/>
      <c r="W655" s="165"/>
      <c r="X655" s="164"/>
      <c r="Y655" s="164"/>
      <c r="Z655" s="164"/>
      <c r="AA655" s="174"/>
      <c r="AB655" s="164"/>
      <c r="AC655" s="174"/>
      <c r="AD655" s="184"/>
      <c r="AE655" s="190" t="str">
        <f t="shared" si="186"/>
        <v/>
      </c>
      <c r="AF655" s="190" t="str">
        <f t="shared" si="187"/>
        <v/>
      </c>
      <c r="AG655" s="190" t="str">
        <f t="shared" si="176"/>
        <v>D</v>
      </c>
      <c r="AH655" s="190">
        <f>IFERROR(VLOOKUP(Y655,SISP_Deflatores_e_INMs!B$4:F$49,3,FALSE),1)</f>
        <v>1</v>
      </c>
      <c r="AI655" s="190">
        <f>IFERROR(VLOOKUP(Y655,SISP_Deflatores_e_INMs!B$4:G$49,5,FALSE),1)</f>
        <v>1</v>
      </c>
      <c r="AJ655" s="191" t="str">
        <f t="shared" si="188"/>
        <v/>
      </c>
      <c r="AK655" s="237" t="str">
        <f t="shared" si="177"/>
        <v/>
      </c>
      <c r="AL655" s="237" t="str">
        <f t="shared" si="189"/>
        <v/>
      </c>
      <c r="AM655" s="192" t="e">
        <f t="shared" si="178"/>
        <v>#VALUE!</v>
      </c>
      <c r="AN655" s="193" t="e">
        <f t="shared" si="179"/>
        <v>#VALUE!</v>
      </c>
      <c r="AO655" s="193" t="e">
        <f t="shared" si="180"/>
        <v>#VALUE!</v>
      </c>
      <c r="AP655" s="193"/>
      <c r="AQ655" s="204"/>
      <c r="AR655" s="204"/>
      <c r="AS655" s="204"/>
      <c r="AT655" s="205"/>
      <c r="AU655"/>
    </row>
    <row r="656" spans="2:47" ht="15" customHeight="1" x14ac:dyDescent="0.25">
      <c r="B656" s="206"/>
      <c r="C656" s="185"/>
      <c r="D656" s="164"/>
      <c r="E656" s="174"/>
      <c r="F656" s="164"/>
      <c r="G656" s="174"/>
      <c r="H656" s="164"/>
      <c r="I656" s="174"/>
      <c r="J656" s="184"/>
      <c r="K656" s="186"/>
      <c r="L656" s="187" t="str">
        <f t="shared" si="181"/>
        <v/>
      </c>
      <c r="M656" s="187" t="str">
        <f t="shared" si="182"/>
        <v/>
      </c>
      <c r="N656" s="187" t="str">
        <f t="shared" si="174"/>
        <v>D</v>
      </c>
      <c r="O656" s="187" t="str">
        <f t="shared" si="183"/>
        <v>D</v>
      </c>
      <c r="P656" s="187">
        <f t="shared" si="184"/>
        <v>1</v>
      </c>
      <c r="Q656" s="187">
        <f>IFERROR(VLOOKUP(E656,Tabela_Deflator:E$43,5,FALSE),1)</f>
        <v>1</v>
      </c>
      <c r="R656" s="188" t="str">
        <f t="shared" si="185"/>
        <v/>
      </c>
      <c r="S656" s="237" t="str">
        <f t="shared" si="175"/>
        <v/>
      </c>
      <c r="T656" s="237" t="str">
        <f t="shared" si="190"/>
        <v/>
      </c>
      <c r="U656" s="189"/>
      <c r="V656" s="167"/>
      <c r="W656" s="165"/>
      <c r="X656" s="164"/>
      <c r="Y656" s="164"/>
      <c r="Z656" s="164"/>
      <c r="AA656" s="174"/>
      <c r="AB656" s="164"/>
      <c r="AC656" s="174"/>
      <c r="AD656" s="184"/>
      <c r="AE656" s="190" t="str">
        <f t="shared" si="186"/>
        <v/>
      </c>
      <c r="AF656" s="190" t="str">
        <f t="shared" si="187"/>
        <v/>
      </c>
      <c r="AG656" s="190" t="str">
        <f t="shared" si="176"/>
        <v>D</v>
      </c>
      <c r="AH656" s="190">
        <f>IFERROR(VLOOKUP(Y656,SISP_Deflatores_e_INMs!B$4:F$49,3,FALSE),1)</f>
        <v>1</v>
      </c>
      <c r="AI656" s="190">
        <f>IFERROR(VLOOKUP(Y656,SISP_Deflatores_e_INMs!B$4:G$49,5,FALSE),1)</f>
        <v>1</v>
      </c>
      <c r="AJ656" s="191" t="str">
        <f t="shared" si="188"/>
        <v/>
      </c>
      <c r="AK656" s="237" t="str">
        <f t="shared" si="177"/>
        <v/>
      </c>
      <c r="AL656" s="237" t="str">
        <f t="shared" si="189"/>
        <v/>
      </c>
      <c r="AM656" s="192" t="e">
        <f t="shared" si="178"/>
        <v>#VALUE!</v>
      </c>
      <c r="AN656" s="193" t="e">
        <f t="shared" si="179"/>
        <v>#VALUE!</v>
      </c>
      <c r="AO656" s="193" t="e">
        <f t="shared" si="180"/>
        <v>#VALUE!</v>
      </c>
      <c r="AP656" s="193"/>
      <c r="AQ656" s="204"/>
      <c r="AR656" s="204"/>
      <c r="AS656" s="204"/>
      <c r="AT656" s="205"/>
      <c r="AU656"/>
    </row>
    <row r="657" spans="2:47" ht="15" customHeight="1" x14ac:dyDescent="0.25">
      <c r="B657" s="206"/>
      <c r="C657" s="185"/>
      <c r="D657" s="164"/>
      <c r="E657" s="174"/>
      <c r="F657" s="164"/>
      <c r="G657" s="174"/>
      <c r="H657" s="164"/>
      <c r="I657" s="174"/>
      <c r="J657" s="184"/>
      <c r="K657" s="186"/>
      <c r="L657" s="187" t="str">
        <f t="shared" si="181"/>
        <v/>
      </c>
      <c r="M657" s="187" t="str">
        <f t="shared" si="182"/>
        <v/>
      </c>
      <c r="N657" s="187" t="str">
        <f t="shared" si="174"/>
        <v>D</v>
      </c>
      <c r="O657" s="187" t="str">
        <f t="shared" si="183"/>
        <v>D</v>
      </c>
      <c r="P657" s="187">
        <f t="shared" si="184"/>
        <v>1</v>
      </c>
      <c r="Q657" s="187">
        <f>IFERROR(VLOOKUP(E657,Tabela_Deflator:E$43,5,FALSE),1)</f>
        <v>1</v>
      </c>
      <c r="R657" s="188" t="str">
        <f t="shared" si="185"/>
        <v/>
      </c>
      <c r="S657" s="237" t="str">
        <f t="shared" si="175"/>
        <v/>
      </c>
      <c r="T657" s="237" t="str">
        <f t="shared" si="190"/>
        <v/>
      </c>
      <c r="U657" s="189"/>
      <c r="V657" s="167"/>
      <c r="W657" s="165"/>
      <c r="X657" s="164"/>
      <c r="Y657" s="164"/>
      <c r="Z657" s="164"/>
      <c r="AA657" s="174"/>
      <c r="AB657" s="164"/>
      <c r="AC657" s="174"/>
      <c r="AD657" s="184"/>
      <c r="AE657" s="190" t="str">
        <f t="shared" si="186"/>
        <v/>
      </c>
      <c r="AF657" s="190" t="str">
        <f t="shared" si="187"/>
        <v/>
      </c>
      <c r="AG657" s="190" t="str">
        <f t="shared" si="176"/>
        <v>D</v>
      </c>
      <c r="AH657" s="190">
        <f>IFERROR(VLOOKUP(Y657,SISP_Deflatores_e_INMs!B$4:F$49,3,FALSE),1)</f>
        <v>1</v>
      </c>
      <c r="AI657" s="190">
        <f>IFERROR(VLOOKUP(Y657,SISP_Deflatores_e_INMs!B$4:G$49,5,FALSE),1)</f>
        <v>1</v>
      </c>
      <c r="AJ657" s="191" t="str">
        <f t="shared" si="188"/>
        <v/>
      </c>
      <c r="AK657" s="237" t="str">
        <f t="shared" si="177"/>
        <v/>
      </c>
      <c r="AL657" s="237" t="str">
        <f t="shared" si="189"/>
        <v/>
      </c>
      <c r="AM657" s="192" t="e">
        <f t="shared" si="178"/>
        <v>#VALUE!</v>
      </c>
      <c r="AN657" s="193" t="e">
        <f t="shared" si="179"/>
        <v>#VALUE!</v>
      </c>
      <c r="AO657" s="193" t="e">
        <f t="shared" si="180"/>
        <v>#VALUE!</v>
      </c>
      <c r="AP657" s="193"/>
      <c r="AQ657" s="204"/>
      <c r="AR657" s="204"/>
      <c r="AS657" s="204"/>
      <c r="AT657" s="205"/>
      <c r="AU657"/>
    </row>
    <row r="658" spans="2:47" ht="15" customHeight="1" x14ac:dyDescent="0.25">
      <c r="B658" s="206"/>
      <c r="C658" s="185"/>
      <c r="D658" s="164"/>
      <c r="E658" s="174"/>
      <c r="F658" s="164"/>
      <c r="G658" s="174"/>
      <c r="H658" s="164"/>
      <c r="I658" s="174"/>
      <c r="J658" s="184"/>
      <c r="K658" s="186"/>
      <c r="L658" s="187" t="str">
        <f t="shared" si="181"/>
        <v/>
      </c>
      <c r="M658" s="187" t="str">
        <f t="shared" si="182"/>
        <v/>
      </c>
      <c r="N658" s="187" t="str">
        <f t="shared" si="174"/>
        <v>D</v>
      </c>
      <c r="O658" s="187" t="str">
        <f t="shared" si="183"/>
        <v>D</v>
      </c>
      <c r="P658" s="187">
        <f t="shared" si="184"/>
        <v>1</v>
      </c>
      <c r="Q658" s="187">
        <f>IFERROR(VLOOKUP(E658,Tabela_Deflator:E$43,5,FALSE),1)</f>
        <v>1</v>
      </c>
      <c r="R658" s="188" t="str">
        <f t="shared" si="185"/>
        <v/>
      </c>
      <c r="S658" s="237" t="str">
        <f t="shared" si="175"/>
        <v/>
      </c>
      <c r="T658" s="237" t="str">
        <f t="shared" si="190"/>
        <v/>
      </c>
      <c r="U658" s="189"/>
      <c r="V658" s="167"/>
      <c r="W658" s="165"/>
      <c r="X658" s="164"/>
      <c r="Y658" s="164"/>
      <c r="Z658" s="164"/>
      <c r="AA658" s="174"/>
      <c r="AB658" s="164"/>
      <c r="AC658" s="174"/>
      <c r="AD658" s="184"/>
      <c r="AE658" s="190" t="str">
        <f t="shared" si="186"/>
        <v/>
      </c>
      <c r="AF658" s="190" t="str">
        <f t="shared" si="187"/>
        <v/>
      </c>
      <c r="AG658" s="190" t="str">
        <f t="shared" si="176"/>
        <v>D</v>
      </c>
      <c r="AH658" s="190">
        <f>IFERROR(VLOOKUP(Y658,SISP_Deflatores_e_INMs!B$4:F$49,3,FALSE),1)</f>
        <v>1</v>
      </c>
      <c r="AI658" s="190">
        <f>IFERROR(VLOOKUP(Y658,SISP_Deflatores_e_INMs!B$4:G$49,5,FALSE),1)</f>
        <v>1</v>
      </c>
      <c r="AJ658" s="191" t="str">
        <f t="shared" si="188"/>
        <v/>
      </c>
      <c r="AK658" s="237" t="str">
        <f t="shared" si="177"/>
        <v/>
      </c>
      <c r="AL658" s="237" t="str">
        <f t="shared" si="189"/>
        <v/>
      </c>
      <c r="AM658" s="192" t="e">
        <f t="shared" si="178"/>
        <v>#VALUE!</v>
      </c>
      <c r="AN658" s="193" t="e">
        <f t="shared" si="179"/>
        <v>#VALUE!</v>
      </c>
      <c r="AO658" s="193" t="e">
        <f t="shared" si="180"/>
        <v>#VALUE!</v>
      </c>
      <c r="AP658" s="193"/>
      <c r="AQ658" s="204"/>
      <c r="AR658" s="204"/>
      <c r="AS658" s="204"/>
      <c r="AT658" s="205"/>
      <c r="AU658"/>
    </row>
    <row r="659" spans="2:47" ht="15" customHeight="1" x14ac:dyDescent="0.25">
      <c r="B659" s="206"/>
      <c r="C659" s="185"/>
      <c r="D659" s="164"/>
      <c r="E659" s="174"/>
      <c r="F659" s="164"/>
      <c r="G659" s="174"/>
      <c r="H659" s="164"/>
      <c r="I659" s="174"/>
      <c r="J659" s="184"/>
      <c r="K659" s="186"/>
      <c r="L659" s="187" t="str">
        <f t="shared" si="181"/>
        <v/>
      </c>
      <c r="M659" s="187" t="str">
        <f t="shared" si="182"/>
        <v/>
      </c>
      <c r="N659" s="187" t="str">
        <f t="shared" si="174"/>
        <v>D</v>
      </c>
      <c r="O659" s="187" t="str">
        <f t="shared" si="183"/>
        <v>D</v>
      </c>
      <c r="P659" s="187">
        <f t="shared" si="184"/>
        <v>1</v>
      </c>
      <c r="Q659" s="187">
        <f>IFERROR(VLOOKUP(E659,Tabela_Deflator:E$43,5,FALSE),1)</f>
        <v>1</v>
      </c>
      <c r="R659" s="188" t="str">
        <f t="shared" si="185"/>
        <v/>
      </c>
      <c r="S659" s="237" t="str">
        <f t="shared" si="175"/>
        <v/>
      </c>
      <c r="T659" s="237" t="str">
        <f t="shared" si="190"/>
        <v/>
      </c>
      <c r="U659" s="189"/>
      <c r="V659" s="167"/>
      <c r="W659" s="165"/>
      <c r="X659" s="164"/>
      <c r="Y659" s="164"/>
      <c r="Z659" s="164"/>
      <c r="AA659" s="174"/>
      <c r="AB659" s="164"/>
      <c r="AC659" s="174"/>
      <c r="AD659" s="184"/>
      <c r="AE659" s="190" t="str">
        <f t="shared" si="186"/>
        <v/>
      </c>
      <c r="AF659" s="190" t="str">
        <f t="shared" si="187"/>
        <v/>
      </c>
      <c r="AG659" s="190" t="str">
        <f t="shared" si="176"/>
        <v>D</v>
      </c>
      <c r="AH659" s="190">
        <f>IFERROR(VLOOKUP(Y659,SISP_Deflatores_e_INMs!B$4:F$49,3,FALSE),1)</f>
        <v>1</v>
      </c>
      <c r="AI659" s="190">
        <f>IFERROR(VLOOKUP(Y659,SISP_Deflatores_e_INMs!B$4:G$49,5,FALSE),1)</f>
        <v>1</v>
      </c>
      <c r="AJ659" s="191" t="str">
        <f t="shared" si="188"/>
        <v/>
      </c>
      <c r="AK659" s="237" t="str">
        <f t="shared" si="177"/>
        <v/>
      </c>
      <c r="AL659" s="237" t="str">
        <f t="shared" si="189"/>
        <v/>
      </c>
      <c r="AM659" s="192" t="e">
        <f t="shared" si="178"/>
        <v>#VALUE!</v>
      </c>
      <c r="AN659" s="193" t="e">
        <f t="shared" si="179"/>
        <v>#VALUE!</v>
      </c>
      <c r="AO659" s="193" t="e">
        <f t="shared" si="180"/>
        <v>#VALUE!</v>
      </c>
      <c r="AP659" s="193"/>
      <c r="AQ659" s="204"/>
      <c r="AR659" s="204"/>
      <c r="AS659" s="204"/>
      <c r="AT659" s="205"/>
      <c r="AU659"/>
    </row>
    <row r="660" spans="2:47" ht="15" customHeight="1" x14ac:dyDescent="0.25">
      <c r="B660" s="206"/>
      <c r="C660" s="185"/>
      <c r="D660" s="164"/>
      <c r="E660" s="174"/>
      <c r="F660" s="164"/>
      <c r="G660" s="174"/>
      <c r="H660" s="164"/>
      <c r="I660" s="174"/>
      <c r="J660" s="184"/>
      <c r="K660" s="186"/>
      <c r="L660" s="187" t="str">
        <f t="shared" si="181"/>
        <v/>
      </c>
      <c r="M660" s="187" t="str">
        <f t="shared" si="182"/>
        <v/>
      </c>
      <c r="N660" s="187" t="str">
        <f t="shared" si="174"/>
        <v>D</v>
      </c>
      <c r="O660" s="187" t="str">
        <f t="shared" si="183"/>
        <v>D</v>
      </c>
      <c r="P660" s="187">
        <f t="shared" si="184"/>
        <v>1</v>
      </c>
      <c r="Q660" s="187">
        <f>IFERROR(VLOOKUP(E660,Tabela_Deflator:E$43,5,FALSE),1)</f>
        <v>1</v>
      </c>
      <c r="R660" s="188" t="str">
        <f t="shared" si="185"/>
        <v/>
      </c>
      <c r="S660" s="237" t="str">
        <f t="shared" si="175"/>
        <v/>
      </c>
      <c r="T660" s="237" t="str">
        <f t="shared" si="190"/>
        <v/>
      </c>
      <c r="U660" s="189"/>
      <c r="V660" s="167"/>
      <c r="W660" s="165"/>
      <c r="X660" s="164"/>
      <c r="Y660" s="164"/>
      <c r="Z660" s="164"/>
      <c r="AA660" s="174"/>
      <c r="AB660" s="164"/>
      <c r="AC660" s="174"/>
      <c r="AD660" s="184"/>
      <c r="AE660" s="190" t="str">
        <f t="shared" si="186"/>
        <v/>
      </c>
      <c r="AF660" s="190" t="str">
        <f t="shared" si="187"/>
        <v/>
      </c>
      <c r="AG660" s="190" t="str">
        <f t="shared" si="176"/>
        <v>D</v>
      </c>
      <c r="AH660" s="190">
        <f>IFERROR(VLOOKUP(Y660,SISP_Deflatores_e_INMs!B$4:F$49,3,FALSE),1)</f>
        <v>1</v>
      </c>
      <c r="AI660" s="190">
        <f>IFERROR(VLOOKUP(Y660,SISP_Deflatores_e_INMs!B$4:G$49,5,FALSE),1)</f>
        <v>1</v>
      </c>
      <c r="AJ660" s="191" t="str">
        <f t="shared" si="188"/>
        <v/>
      </c>
      <c r="AK660" s="237" t="str">
        <f t="shared" si="177"/>
        <v/>
      </c>
      <c r="AL660" s="237" t="str">
        <f t="shared" si="189"/>
        <v/>
      </c>
      <c r="AM660" s="192" t="e">
        <f t="shared" si="178"/>
        <v>#VALUE!</v>
      </c>
      <c r="AN660" s="193" t="e">
        <f t="shared" si="179"/>
        <v>#VALUE!</v>
      </c>
      <c r="AO660" s="193" t="e">
        <f t="shared" si="180"/>
        <v>#VALUE!</v>
      </c>
      <c r="AP660" s="193"/>
      <c r="AQ660" s="204"/>
      <c r="AR660" s="204"/>
      <c r="AS660" s="204"/>
      <c r="AT660" s="205"/>
      <c r="AU660"/>
    </row>
    <row r="661" spans="2:47" ht="15" customHeight="1" x14ac:dyDescent="0.25">
      <c r="B661" s="206"/>
      <c r="C661" s="185"/>
      <c r="D661" s="164"/>
      <c r="E661" s="174"/>
      <c r="F661" s="164"/>
      <c r="G661" s="174"/>
      <c r="H661" s="164"/>
      <c r="I661" s="174"/>
      <c r="J661" s="184"/>
      <c r="K661" s="186"/>
      <c r="L661" s="187" t="str">
        <f t="shared" si="181"/>
        <v/>
      </c>
      <c r="M661" s="187" t="str">
        <f t="shared" si="182"/>
        <v/>
      </c>
      <c r="N661" s="187" t="str">
        <f t="shared" si="174"/>
        <v>D</v>
      </c>
      <c r="O661" s="187" t="str">
        <f t="shared" si="183"/>
        <v>D</v>
      </c>
      <c r="P661" s="187">
        <f t="shared" si="184"/>
        <v>1</v>
      </c>
      <c r="Q661" s="187">
        <f>IFERROR(VLOOKUP(E661,Tabela_Deflator:E$43,5,FALSE),1)</f>
        <v>1</v>
      </c>
      <c r="R661" s="188" t="str">
        <f t="shared" si="185"/>
        <v/>
      </c>
      <c r="S661" s="237" t="str">
        <f t="shared" si="175"/>
        <v/>
      </c>
      <c r="T661" s="237" t="str">
        <f t="shared" si="190"/>
        <v/>
      </c>
      <c r="U661" s="189"/>
      <c r="V661" s="167"/>
      <c r="W661" s="165"/>
      <c r="X661" s="164"/>
      <c r="Y661" s="164"/>
      <c r="Z661" s="164"/>
      <c r="AA661" s="174"/>
      <c r="AB661" s="164"/>
      <c r="AC661" s="174"/>
      <c r="AD661" s="184"/>
      <c r="AE661" s="190" t="str">
        <f t="shared" si="186"/>
        <v/>
      </c>
      <c r="AF661" s="190" t="str">
        <f t="shared" si="187"/>
        <v/>
      </c>
      <c r="AG661" s="190" t="str">
        <f t="shared" si="176"/>
        <v>D</v>
      </c>
      <c r="AH661" s="190">
        <f>IFERROR(VLOOKUP(Y661,SISP_Deflatores_e_INMs!B$4:F$49,3,FALSE),1)</f>
        <v>1</v>
      </c>
      <c r="AI661" s="190">
        <f>IFERROR(VLOOKUP(Y661,SISP_Deflatores_e_INMs!B$4:G$49,5,FALSE),1)</f>
        <v>1</v>
      </c>
      <c r="AJ661" s="191" t="str">
        <f t="shared" si="188"/>
        <v/>
      </c>
      <c r="AK661" s="237" t="str">
        <f t="shared" si="177"/>
        <v/>
      </c>
      <c r="AL661" s="237" t="str">
        <f t="shared" si="189"/>
        <v/>
      </c>
      <c r="AM661" s="192" t="e">
        <f t="shared" si="178"/>
        <v>#VALUE!</v>
      </c>
      <c r="AN661" s="193" t="e">
        <f t="shared" si="179"/>
        <v>#VALUE!</v>
      </c>
      <c r="AO661" s="193" t="e">
        <f t="shared" si="180"/>
        <v>#VALUE!</v>
      </c>
      <c r="AP661" s="193"/>
      <c r="AQ661" s="204"/>
      <c r="AR661" s="204"/>
      <c r="AS661" s="204"/>
      <c r="AT661" s="205"/>
      <c r="AU661"/>
    </row>
    <row r="662" spans="2:47" ht="15" customHeight="1" x14ac:dyDescent="0.25">
      <c r="B662" s="206"/>
      <c r="C662" s="185"/>
      <c r="D662" s="164"/>
      <c r="E662" s="174"/>
      <c r="F662" s="164"/>
      <c r="G662" s="174"/>
      <c r="H662" s="164"/>
      <c r="I662" s="174"/>
      <c r="J662" s="184"/>
      <c r="K662" s="186"/>
      <c r="L662" s="187" t="str">
        <f t="shared" si="181"/>
        <v/>
      </c>
      <c r="M662" s="187" t="str">
        <f t="shared" si="182"/>
        <v/>
      </c>
      <c r="N662" s="187" t="str">
        <f t="shared" si="174"/>
        <v>D</v>
      </c>
      <c r="O662" s="187" t="str">
        <f t="shared" si="183"/>
        <v>D</v>
      </c>
      <c r="P662" s="187">
        <f t="shared" si="184"/>
        <v>1</v>
      </c>
      <c r="Q662" s="187">
        <f>IFERROR(VLOOKUP(E662,Tabela_Deflator:E$43,5,FALSE),1)</f>
        <v>1</v>
      </c>
      <c r="R662" s="188" t="str">
        <f t="shared" si="185"/>
        <v/>
      </c>
      <c r="S662" s="237" t="str">
        <f t="shared" si="175"/>
        <v/>
      </c>
      <c r="T662" s="237" t="str">
        <f t="shared" si="190"/>
        <v/>
      </c>
      <c r="U662" s="189"/>
      <c r="V662" s="167"/>
      <c r="W662" s="165"/>
      <c r="X662" s="164"/>
      <c r="Y662" s="164"/>
      <c r="Z662" s="164"/>
      <c r="AA662" s="174"/>
      <c r="AB662" s="164"/>
      <c r="AC662" s="174"/>
      <c r="AD662" s="184"/>
      <c r="AE662" s="190" t="str">
        <f t="shared" si="186"/>
        <v/>
      </c>
      <c r="AF662" s="190" t="str">
        <f t="shared" si="187"/>
        <v/>
      </c>
      <c r="AG662" s="190" t="str">
        <f t="shared" si="176"/>
        <v>D</v>
      </c>
      <c r="AH662" s="190">
        <f>IFERROR(VLOOKUP(Y662,SISP_Deflatores_e_INMs!B$4:F$49,3,FALSE),1)</f>
        <v>1</v>
      </c>
      <c r="AI662" s="190">
        <f>IFERROR(VLOOKUP(Y662,SISP_Deflatores_e_INMs!B$4:G$49,5,FALSE),1)</f>
        <v>1</v>
      </c>
      <c r="AJ662" s="191" t="str">
        <f t="shared" si="188"/>
        <v/>
      </c>
      <c r="AK662" s="237" t="str">
        <f t="shared" si="177"/>
        <v/>
      </c>
      <c r="AL662" s="237" t="str">
        <f t="shared" si="189"/>
        <v/>
      </c>
      <c r="AM662" s="192" t="e">
        <f t="shared" si="178"/>
        <v>#VALUE!</v>
      </c>
      <c r="AN662" s="193" t="e">
        <f t="shared" si="179"/>
        <v>#VALUE!</v>
      </c>
      <c r="AO662" s="193" t="e">
        <f t="shared" si="180"/>
        <v>#VALUE!</v>
      </c>
      <c r="AP662" s="193"/>
      <c r="AQ662" s="204"/>
      <c r="AR662" s="204"/>
      <c r="AS662" s="204"/>
      <c r="AT662" s="205"/>
      <c r="AU662"/>
    </row>
    <row r="663" spans="2:47" ht="15" customHeight="1" x14ac:dyDescent="0.25">
      <c r="B663" s="206"/>
      <c r="C663" s="185"/>
      <c r="D663" s="164"/>
      <c r="E663" s="174"/>
      <c r="F663" s="164"/>
      <c r="G663" s="174"/>
      <c r="H663" s="164"/>
      <c r="I663" s="174"/>
      <c r="J663" s="184"/>
      <c r="K663" s="186"/>
      <c r="L663" s="187" t="str">
        <f t="shared" si="181"/>
        <v/>
      </c>
      <c r="M663" s="187" t="str">
        <f t="shared" si="182"/>
        <v/>
      </c>
      <c r="N663" s="187" t="str">
        <f t="shared" si="174"/>
        <v>D</v>
      </c>
      <c r="O663" s="187" t="str">
        <f t="shared" si="183"/>
        <v>D</v>
      </c>
      <c r="P663" s="187">
        <f t="shared" si="184"/>
        <v>1</v>
      </c>
      <c r="Q663" s="187">
        <f>IFERROR(VLOOKUP(E663,Tabela_Deflator:E$43,5,FALSE),1)</f>
        <v>1</v>
      </c>
      <c r="R663" s="188" t="str">
        <f t="shared" si="185"/>
        <v/>
      </c>
      <c r="S663" s="237" t="str">
        <f t="shared" si="175"/>
        <v/>
      </c>
      <c r="T663" s="237" t="str">
        <f t="shared" si="190"/>
        <v/>
      </c>
      <c r="U663" s="189"/>
      <c r="V663" s="167"/>
      <c r="W663" s="165"/>
      <c r="X663" s="164"/>
      <c r="Y663" s="164"/>
      <c r="Z663" s="164"/>
      <c r="AA663" s="174"/>
      <c r="AB663" s="164"/>
      <c r="AC663" s="174"/>
      <c r="AD663" s="184"/>
      <c r="AE663" s="190" t="str">
        <f t="shared" si="186"/>
        <v/>
      </c>
      <c r="AF663" s="190" t="str">
        <f t="shared" si="187"/>
        <v/>
      </c>
      <c r="AG663" s="190" t="str">
        <f t="shared" si="176"/>
        <v>D</v>
      </c>
      <c r="AH663" s="190">
        <f>IFERROR(VLOOKUP(Y663,SISP_Deflatores_e_INMs!B$4:F$49,3,FALSE),1)</f>
        <v>1</v>
      </c>
      <c r="AI663" s="190">
        <f>IFERROR(VLOOKUP(Y663,SISP_Deflatores_e_INMs!B$4:G$49,5,FALSE),1)</f>
        <v>1</v>
      </c>
      <c r="AJ663" s="191" t="str">
        <f t="shared" si="188"/>
        <v/>
      </c>
      <c r="AK663" s="237" t="str">
        <f t="shared" si="177"/>
        <v/>
      </c>
      <c r="AL663" s="237" t="str">
        <f t="shared" si="189"/>
        <v/>
      </c>
      <c r="AM663" s="192" t="e">
        <f t="shared" si="178"/>
        <v>#VALUE!</v>
      </c>
      <c r="AN663" s="193" t="e">
        <f t="shared" si="179"/>
        <v>#VALUE!</v>
      </c>
      <c r="AO663" s="193" t="e">
        <f t="shared" si="180"/>
        <v>#VALUE!</v>
      </c>
      <c r="AP663" s="193"/>
      <c r="AQ663" s="204"/>
      <c r="AR663" s="204"/>
      <c r="AS663" s="204"/>
      <c r="AT663" s="205"/>
      <c r="AU663"/>
    </row>
    <row r="664" spans="2:47" ht="15" customHeight="1" x14ac:dyDescent="0.25">
      <c r="B664" s="206"/>
      <c r="C664" s="185"/>
      <c r="D664" s="164"/>
      <c r="E664" s="174"/>
      <c r="F664" s="164"/>
      <c r="G664" s="174"/>
      <c r="H664" s="164"/>
      <c r="I664" s="174"/>
      <c r="J664" s="184"/>
      <c r="K664" s="186"/>
      <c r="L664" s="187" t="str">
        <f t="shared" si="181"/>
        <v/>
      </c>
      <c r="M664" s="187" t="str">
        <f t="shared" si="182"/>
        <v/>
      </c>
      <c r="N664" s="187" t="str">
        <f t="shared" si="174"/>
        <v>D</v>
      </c>
      <c r="O664" s="187" t="str">
        <f t="shared" si="183"/>
        <v>D</v>
      </c>
      <c r="P664" s="187">
        <f t="shared" si="184"/>
        <v>1</v>
      </c>
      <c r="Q664" s="187">
        <f>IFERROR(VLOOKUP(E664,Tabela_Deflator:E$43,5,FALSE),1)</f>
        <v>1</v>
      </c>
      <c r="R664" s="188" t="str">
        <f t="shared" si="185"/>
        <v/>
      </c>
      <c r="S664" s="237" t="str">
        <f t="shared" si="175"/>
        <v/>
      </c>
      <c r="T664" s="237" t="str">
        <f t="shared" si="190"/>
        <v/>
      </c>
      <c r="U664" s="189"/>
      <c r="V664" s="167"/>
      <c r="W664" s="165"/>
      <c r="X664" s="164"/>
      <c r="Y664" s="164"/>
      <c r="Z664" s="164"/>
      <c r="AA664" s="174"/>
      <c r="AB664" s="164"/>
      <c r="AC664" s="174"/>
      <c r="AD664" s="184"/>
      <c r="AE664" s="190" t="str">
        <f t="shared" si="186"/>
        <v/>
      </c>
      <c r="AF664" s="190" t="str">
        <f t="shared" si="187"/>
        <v/>
      </c>
      <c r="AG664" s="190" t="str">
        <f t="shared" si="176"/>
        <v>D</v>
      </c>
      <c r="AH664" s="190">
        <f>IFERROR(VLOOKUP(Y664,SISP_Deflatores_e_INMs!B$4:F$49,3,FALSE),1)</f>
        <v>1</v>
      </c>
      <c r="AI664" s="190">
        <f>IFERROR(VLOOKUP(Y664,SISP_Deflatores_e_INMs!B$4:G$49,5,FALSE),1)</f>
        <v>1</v>
      </c>
      <c r="AJ664" s="191" t="str">
        <f t="shared" si="188"/>
        <v/>
      </c>
      <c r="AK664" s="237" t="str">
        <f t="shared" si="177"/>
        <v/>
      </c>
      <c r="AL664" s="237" t="str">
        <f t="shared" si="189"/>
        <v/>
      </c>
      <c r="AM664" s="192" t="e">
        <f t="shared" si="178"/>
        <v>#VALUE!</v>
      </c>
      <c r="AN664" s="193" t="e">
        <f t="shared" si="179"/>
        <v>#VALUE!</v>
      </c>
      <c r="AO664" s="193" t="e">
        <f t="shared" si="180"/>
        <v>#VALUE!</v>
      </c>
      <c r="AP664" s="193"/>
      <c r="AQ664" s="204"/>
      <c r="AR664" s="204"/>
      <c r="AS664" s="204"/>
      <c r="AT664" s="205"/>
      <c r="AU664"/>
    </row>
    <row r="665" spans="2:47" ht="15" customHeight="1" x14ac:dyDescent="0.25">
      <c r="B665" s="206"/>
      <c r="C665" s="185"/>
      <c r="D665" s="164"/>
      <c r="E665" s="174"/>
      <c r="F665" s="164"/>
      <c r="G665" s="174"/>
      <c r="H665" s="164"/>
      <c r="I665" s="174"/>
      <c r="J665" s="184"/>
      <c r="K665" s="186"/>
      <c r="L665" s="187" t="str">
        <f t="shared" si="181"/>
        <v/>
      </c>
      <c r="M665" s="187" t="str">
        <f t="shared" si="182"/>
        <v/>
      </c>
      <c r="N665" s="187" t="str">
        <f t="shared" si="174"/>
        <v>D</v>
      </c>
      <c r="O665" s="187" t="str">
        <f t="shared" si="183"/>
        <v>D</v>
      </c>
      <c r="P665" s="187">
        <f t="shared" si="184"/>
        <v>1</v>
      </c>
      <c r="Q665" s="187">
        <f>IFERROR(VLOOKUP(E665,Tabela_Deflator:E$43,5,FALSE),1)</f>
        <v>1</v>
      </c>
      <c r="R665" s="188" t="str">
        <f t="shared" si="185"/>
        <v/>
      </c>
      <c r="S665" s="237" t="str">
        <f t="shared" si="175"/>
        <v/>
      </c>
      <c r="T665" s="237" t="str">
        <f t="shared" si="190"/>
        <v/>
      </c>
      <c r="U665" s="189"/>
      <c r="V665" s="167"/>
      <c r="W665" s="165"/>
      <c r="X665" s="164"/>
      <c r="Y665" s="164"/>
      <c r="Z665" s="164"/>
      <c r="AA665" s="174"/>
      <c r="AB665" s="164"/>
      <c r="AC665" s="174"/>
      <c r="AD665" s="184"/>
      <c r="AE665" s="190" t="str">
        <f t="shared" si="186"/>
        <v/>
      </c>
      <c r="AF665" s="190" t="str">
        <f t="shared" si="187"/>
        <v/>
      </c>
      <c r="AG665" s="190" t="str">
        <f t="shared" si="176"/>
        <v>D</v>
      </c>
      <c r="AH665" s="190">
        <f>IFERROR(VLOOKUP(Y665,SISP_Deflatores_e_INMs!B$4:F$49,3,FALSE),1)</f>
        <v>1</v>
      </c>
      <c r="AI665" s="190">
        <f>IFERROR(VLOOKUP(Y665,SISP_Deflatores_e_INMs!B$4:G$49,5,FALSE),1)</f>
        <v>1</v>
      </c>
      <c r="AJ665" s="191" t="str">
        <f t="shared" si="188"/>
        <v/>
      </c>
      <c r="AK665" s="237" t="str">
        <f t="shared" si="177"/>
        <v/>
      </c>
      <c r="AL665" s="237" t="str">
        <f t="shared" si="189"/>
        <v/>
      </c>
      <c r="AM665" s="192" t="e">
        <f t="shared" si="178"/>
        <v>#VALUE!</v>
      </c>
      <c r="AN665" s="193" t="e">
        <f t="shared" si="179"/>
        <v>#VALUE!</v>
      </c>
      <c r="AO665" s="193" t="e">
        <f t="shared" si="180"/>
        <v>#VALUE!</v>
      </c>
      <c r="AP665" s="193"/>
      <c r="AQ665" s="204"/>
      <c r="AR665" s="204"/>
      <c r="AS665" s="204"/>
      <c r="AT665" s="205"/>
      <c r="AU665"/>
    </row>
    <row r="666" spans="2:47" ht="15" customHeight="1" x14ac:dyDescent="0.25">
      <c r="B666" s="206"/>
      <c r="C666" s="185"/>
      <c r="D666" s="164"/>
      <c r="E666" s="174"/>
      <c r="F666" s="164"/>
      <c r="G666" s="174"/>
      <c r="H666" s="164"/>
      <c r="I666" s="174"/>
      <c r="J666" s="184"/>
      <c r="K666" s="186"/>
      <c r="L666" s="187" t="str">
        <f t="shared" si="181"/>
        <v/>
      </c>
      <c r="M666" s="187" t="str">
        <f t="shared" si="182"/>
        <v/>
      </c>
      <c r="N666" s="187" t="str">
        <f t="shared" si="174"/>
        <v>D</v>
      </c>
      <c r="O666" s="187" t="str">
        <f t="shared" si="183"/>
        <v>D</v>
      </c>
      <c r="P666" s="187">
        <f t="shared" si="184"/>
        <v>1</v>
      </c>
      <c r="Q666" s="187">
        <f>IFERROR(VLOOKUP(E666,Tabela_Deflator:E$43,5,FALSE),1)</f>
        <v>1</v>
      </c>
      <c r="R666" s="188" t="str">
        <f t="shared" si="185"/>
        <v/>
      </c>
      <c r="S666" s="237" t="str">
        <f t="shared" si="175"/>
        <v/>
      </c>
      <c r="T666" s="237" t="str">
        <f t="shared" si="190"/>
        <v/>
      </c>
      <c r="U666" s="189"/>
      <c r="V666" s="167"/>
      <c r="W666" s="165"/>
      <c r="X666" s="164"/>
      <c r="Y666" s="164"/>
      <c r="Z666" s="164"/>
      <c r="AA666" s="174"/>
      <c r="AB666" s="164"/>
      <c r="AC666" s="174"/>
      <c r="AD666" s="184"/>
      <c r="AE666" s="190" t="str">
        <f t="shared" si="186"/>
        <v/>
      </c>
      <c r="AF666" s="190" t="str">
        <f t="shared" si="187"/>
        <v/>
      </c>
      <c r="AG666" s="190" t="str">
        <f t="shared" si="176"/>
        <v>D</v>
      </c>
      <c r="AH666" s="190">
        <f>IFERROR(VLOOKUP(Y666,SISP_Deflatores_e_INMs!B$4:F$49,3,FALSE),1)</f>
        <v>1</v>
      </c>
      <c r="AI666" s="190">
        <f>IFERROR(VLOOKUP(Y666,SISP_Deflatores_e_INMs!B$4:G$49,5,FALSE),1)</f>
        <v>1</v>
      </c>
      <c r="AJ666" s="191" t="str">
        <f t="shared" si="188"/>
        <v/>
      </c>
      <c r="AK666" s="237" t="str">
        <f t="shared" si="177"/>
        <v/>
      </c>
      <c r="AL666" s="237" t="str">
        <f t="shared" si="189"/>
        <v/>
      </c>
      <c r="AM666" s="192" t="e">
        <f t="shared" si="178"/>
        <v>#VALUE!</v>
      </c>
      <c r="AN666" s="193" t="e">
        <f t="shared" si="179"/>
        <v>#VALUE!</v>
      </c>
      <c r="AO666" s="193" t="e">
        <f t="shared" si="180"/>
        <v>#VALUE!</v>
      </c>
      <c r="AP666" s="193"/>
      <c r="AQ666" s="204"/>
      <c r="AR666" s="204"/>
      <c r="AS666" s="204"/>
      <c r="AT666" s="205"/>
      <c r="AU666"/>
    </row>
    <row r="667" spans="2:47" ht="15" customHeight="1" x14ac:dyDescent="0.25">
      <c r="B667" s="206"/>
      <c r="C667" s="185"/>
      <c r="D667" s="164"/>
      <c r="E667" s="174"/>
      <c r="F667" s="164"/>
      <c r="G667" s="174"/>
      <c r="H667" s="164"/>
      <c r="I667" s="174"/>
      <c r="J667" s="184"/>
      <c r="K667" s="186"/>
      <c r="L667" s="187" t="str">
        <f t="shared" si="181"/>
        <v/>
      </c>
      <c r="M667" s="187" t="str">
        <f t="shared" si="182"/>
        <v/>
      </c>
      <c r="N667" s="187" t="str">
        <f t="shared" si="174"/>
        <v>D</v>
      </c>
      <c r="O667" s="187" t="str">
        <f t="shared" si="183"/>
        <v>D</v>
      </c>
      <c r="P667" s="187">
        <f t="shared" si="184"/>
        <v>1</v>
      </c>
      <c r="Q667" s="187">
        <f>IFERROR(VLOOKUP(E667,Tabela_Deflator:E$43,5,FALSE),1)</f>
        <v>1</v>
      </c>
      <c r="R667" s="188" t="str">
        <f t="shared" si="185"/>
        <v/>
      </c>
      <c r="S667" s="237" t="str">
        <f t="shared" si="175"/>
        <v/>
      </c>
      <c r="T667" s="237" t="str">
        <f t="shared" si="190"/>
        <v/>
      </c>
      <c r="U667" s="189"/>
      <c r="V667" s="167"/>
      <c r="W667" s="165"/>
      <c r="X667" s="164"/>
      <c r="Y667" s="164"/>
      <c r="Z667" s="164"/>
      <c r="AA667" s="174"/>
      <c r="AB667" s="164"/>
      <c r="AC667" s="174"/>
      <c r="AD667" s="184"/>
      <c r="AE667" s="190" t="str">
        <f t="shared" si="186"/>
        <v/>
      </c>
      <c r="AF667" s="190" t="str">
        <f t="shared" si="187"/>
        <v/>
      </c>
      <c r="AG667" s="190" t="str">
        <f t="shared" si="176"/>
        <v>D</v>
      </c>
      <c r="AH667" s="190">
        <f>IFERROR(VLOOKUP(Y667,SISP_Deflatores_e_INMs!B$4:F$49,3,FALSE),1)</f>
        <v>1</v>
      </c>
      <c r="AI667" s="190">
        <f>IFERROR(VLOOKUP(Y667,SISP_Deflatores_e_INMs!B$4:G$49,5,FALSE),1)</f>
        <v>1</v>
      </c>
      <c r="AJ667" s="191" t="str">
        <f t="shared" si="188"/>
        <v/>
      </c>
      <c r="AK667" s="237" t="str">
        <f t="shared" si="177"/>
        <v/>
      </c>
      <c r="AL667" s="237" t="str">
        <f t="shared" si="189"/>
        <v/>
      </c>
      <c r="AM667" s="192" t="e">
        <f t="shared" si="178"/>
        <v>#VALUE!</v>
      </c>
      <c r="AN667" s="193" t="e">
        <f t="shared" si="179"/>
        <v>#VALUE!</v>
      </c>
      <c r="AO667" s="193" t="e">
        <f t="shared" si="180"/>
        <v>#VALUE!</v>
      </c>
      <c r="AP667" s="193"/>
      <c r="AQ667" s="204"/>
      <c r="AR667" s="204"/>
      <c r="AS667" s="204"/>
      <c r="AT667" s="205"/>
      <c r="AU667"/>
    </row>
    <row r="668" spans="2:47" ht="15" customHeight="1" x14ac:dyDescent="0.25">
      <c r="B668" s="206"/>
      <c r="C668" s="185"/>
      <c r="D668" s="164"/>
      <c r="E668" s="174"/>
      <c r="F668" s="164"/>
      <c r="G668" s="174"/>
      <c r="H668" s="164"/>
      <c r="I668" s="174"/>
      <c r="J668" s="184"/>
      <c r="K668" s="186"/>
      <c r="L668" s="187" t="str">
        <f t="shared" si="181"/>
        <v/>
      </c>
      <c r="M668" s="187" t="str">
        <f t="shared" si="182"/>
        <v/>
      </c>
      <c r="N668" s="187" t="str">
        <f t="shared" si="174"/>
        <v>D</v>
      </c>
      <c r="O668" s="187" t="str">
        <f t="shared" si="183"/>
        <v>D</v>
      </c>
      <c r="P668" s="187">
        <f t="shared" si="184"/>
        <v>1</v>
      </c>
      <c r="Q668" s="187">
        <f>IFERROR(VLOOKUP(E668,Tabela_Deflator:E$43,5,FALSE),1)</f>
        <v>1</v>
      </c>
      <c r="R668" s="188" t="str">
        <f t="shared" si="185"/>
        <v/>
      </c>
      <c r="S668" s="237" t="str">
        <f t="shared" si="175"/>
        <v/>
      </c>
      <c r="T668" s="237" t="str">
        <f t="shared" si="190"/>
        <v/>
      </c>
      <c r="U668" s="189"/>
      <c r="V668" s="167"/>
      <c r="W668" s="165"/>
      <c r="X668" s="164"/>
      <c r="Y668" s="164"/>
      <c r="Z668" s="164"/>
      <c r="AA668" s="174"/>
      <c r="AB668" s="164"/>
      <c r="AC668" s="174"/>
      <c r="AD668" s="184"/>
      <c r="AE668" s="190" t="str">
        <f t="shared" si="186"/>
        <v/>
      </c>
      <c r="AF668" s="190" t="str">
        <f t="shared" si="187"/>
        <v/>
      </c>
      <c r="AG668" s="190" t="str">
        <f t="shared" si="176"/>
        <v>D</v>
      </c>
      <c r="AH668" s="190">
        <f>IFERROR(VLOOKUP(Y668,SISP_Deflatores_e_INMs!B$4:F$49,3,FALSE),1)</f>
        <v>1</v>
      </c>
      <c r="AI668" s="190">
        <f>IFERROR(VLOOKUP(Y668,SISP_Deflatores_e_INMs!B$4:G$49,5,FALSE),1)</f>
        <v>1</v>
      </c>
      <c r="AJ668" s="191" t="str">
        <f t="shared" si="188"/>
        <v/>
      </c>
      <c r="AK668" s="237" t="str">
        <f t="shared" si="177"/>
        <v/>
      </c>
      <c r="AL668" s="237" t="str">
        <f t="shared" si="189"/>
        <v/>
      </c>
      <c r="AM668" s="192" t="e">
        <f t="shared" si="178"/>
        <v>#VALUE!</v>
      </c>
      <c r="AN668" s="193" t="e">
        <f t="shared" si="179"/>
        <v>#VALUE!</v>
      </c>
      <c r="AO668" s="193" t="e">
        <f t="shared" si="180"/>
        <v>#VALUE!</v>
      </c>
      <c r="AP668" s="193"/>
      <c r="AQ668" s="204"/>
      <c r="AR668" s="204"/>
      <c r="AS668" s="204"/>
      <c r="AT668" s="205"/>
      <c r="AU668"/>
    </row>
    <row r="669" spans="2:47" ht="15" customHeight="1" x14ac:dyDescent="0.25">
      <c r="B669" s="206"/>
      <c r="C669" s="185"/>
      <c r="D669" s="164"/>
      <c r="E669" s="174"/>
      <c r="F669" s="164"/>
      <c r="G669" s="174"/>
      <c r="H669" s="164"/>
      <c r="I669" s="174"/>
      <c r="J669" s="184"/>
      <c r="K669" s="186"/>
      <c r="L669" s="187" t="str">
        <f t="shared" si="181"/>
        <v/>
      </c>
      <c r="M669" s="187" t="str">
        <f t="shared" si="182"/>
        <v/>
      </c>
      <c r="N669" s="187" t="str">
        <f t="shared" si="174"/>
        <v>D</v>
      </c>
      <c r="O669" s="187" t="str">
        <f t="shared" si="183"/>
        <v>D</v>
      </c>
      <c r="P669" s="187">
        <f t="shared" si="184"/>
        <v>1</v>
      </c>
      <c r="Q669" s="187">
        <f>IFERROR(VLOOKUP(E669,Tabela_Deflator:E$43,5,FALSE),1)</f>
        <v>1</v>
      </c>
      <c r="R669" s="188" t="str">
        <f t="shared" si="185"/>
        <v/>
      </c>
      <c r="S669" s="237" t="str">
        <f t="shared" si="175"/>
        <v/>
      </c>
      <c r="T669" s="237" t="str">
        <f t="shared" si="190"/>
        <v/>
      </c>
      <c r="U669" s="189"/>
      <c r="V669" s="167"/>
      <c r="W669" s="165"/>
      <c r="X669" s="164"/>
      <c r="Y669" s="164"/>
      <c r="Z669" s="164"/>
      <c r="AA669" s="174"/>
      <c r="AB669" s="164"/>
      <c r="AC669" s="174"/>
      <c r="AD669" s="184"/>
      <c r="AE669" s="190" t="str">
        <f t="shared" si="186"/>
        <v/>
      </c>
      <c r="AF669" s="190" t="str">
        <f t="shared" si="187"/>
        <v/>
      </c>
      <c r="AG669" s="190" t="str">
        <f t="shared" si="176"/>
        <v>D</v>
      </c>
      <c r="AH669" s="190">
        <f>IFERROR(VLOOKUP(Y669,SISP_Deflatores_e_INMs!B$4:F$49,3,FALSE),1)</f>
        <v>1</v>
      </c>
      <c r="AI669" s="190">
        <f>IFERROR(VLOOKUP(Y669,SISP_Deflatores_e_INMs!B$4:G$49,5,FALSE),1)</f>
        <v>1</v>
      </c>
      <c r="AJ669" s="191" t="str">
        <f t="shared" si="188"/>
        <v/>
      </c>
      <c r="AK669" s="237" t="str">
        <f t="shared" si="177"/>
        <v/>
      </c>
      <c r="AL669" s="237" t="str">
        <f t="shared" si="189"/>
        <v/>
      </c>
      <c r="AM669" s="192" t="e">
        <f t="shared" si="178"/>
        <v>#VALUE!</v>
      </c>
      <c r="AN669" s="193" t="e">
        <f t="shared" si="179"/>
        <v>#VALUE!</v>
      </c>
      <c r="AO669" s="193" t="e">
        <f t="shared" si="180"/>
        <v>#VALUE!</v>
      </c>
      <c r="AP669" s="193"/>
      <c r="AQ669" s="204"/>
      <c r="AR669" s="204"/>
      <c r="AS669" s="204"/>
      <c r="AT669" s="205"/>
      <c r="AU669"/>
    </row>
    <row r="670" spans="2:47" ht="15" customHeight="1" x14ac:dyDescent="0.25">
      <c r="B670" s="206"/>
      <c r="C670" s="185"/>
      <c r="D670" s="164"/>
      <c r="E670" s="174"/>
      <c r="F670" s="164"/>
      <c r="G670" s="174"/>
      <c r="H670" s="164"/>
      <c r="I670" s="174"/>
      <c r="J670" s="184"/>
      <c r="K670" s="186"/>
      <c r="L670" s="187" t="str">
        <f t="shared" si="181"/>
        <v/>
      </c>
      <c r="M670" s="187" t="str">
        <f t="shared" si="182"/>
        <v/>
      </c>
      <c r="N670" s="187" t="str">
        <f t="shared" si="174"/>
        <v>D</v>
      </c>
      <c r="O670" s="187" t="str">
        <f t="shared" si="183"/>
        <v>D</v>
      </c>
      <c r="P670" s="187">
        <f t="shared" si="184"/>
        <v>1</v>
      </c>
      <c r="Q670" s="187">
        <f>IFERROR(VLOOKUP(E670,Tabela_Deflator:E$43,5,FALSE),1)</f>
        <v>1</v>
      </c>
      <c r="R670" s="188" t="str">
        <f t="shared" si="185"/>
        <v/>
      </c>
      <c r="S670" s="237" t="str">
        <f t="shared" si="175"/>
        <v/>
      </c>
      <c r="T670" s="237" t="str">
        <f t="shared" si="190"/>
        <v/>
      </c>
      <c r="U670" s="189"/>
      <c r="V670" s="167"/>
      <c r="W670" s="165"/>
      <c r="X670" s="164"/>
      <c r="Y670" s="164"/>
      <c r="Z670" s="164"/>
      <c r="AA670" s="174"/>
      <c r="AB670" s="164"/>
      <c r="AC670" s="174"/>
      <c r="AD670" s="184"/>
      <c r="AE670" s="190" t="str">
        <f t="shared" si="186"/>
        <v/>
      </c>
      <c r="AF670" s="190" t="str">
        <f t="shared" si="187"/>
        <v/>
      </c>
      <c r="AG670" s="190" t="str">
        <f t="shared" si="176"/>
        <v>D</v>
      </c>
      <c r="AH670" s="190">
        <f>IFERROR(VLOOKUP(Y670,SISP_Deflatores_e_INMs!B$4:F$49,3,FALSE),1)</f>
        <v>1</v>
      </c>
      <c r="AI670" s="190">
        <f>IFERROR(VLOOKUP(Y670,SISP_Deflatores_e_INMs!B$4:G$49,5,FALSE),1)</f>
        <v>1</v>
      </c>
      <c r="AJ670" s="191" t="str">
        <f t="shared" si="188"/>
        <v/>
      </c>
      <c r="AK670" s="237" t="str">
        <f t="shared" si="177"/>
        <v/>
      </c>
      <c r="AL670" s="237" t="str">
        <f t="shared" si="189"/>
        <v/>
      </c>
      <c r="AM670" s="192" t="e">
        <f t="shared" si="178"/>
        <v>#VALUE!</v>
      </c>
      <c r="AN670" s="193" t="e">
        <f t="shared" si="179"/>
        <v>#VALUE!</v>
      </c>
      <c r="AO670" s="193" t="e">
        <f t="shared" si="180"/>
        <v>#VALUE!</v>
      </c>
      <c r="AP670" s="193"/>
      <c r="AQ670" s="204"/>
      <c r="AR670" s="204"/>
      <c r="AS670" s="204"/>
      <c r="AT670" s="205"/>
      <c r="AU670"/>
    </row>
    <row r="671" spans="2:47" ht="15" customHeight="1" x14ac:dyDescent="0.25">
      <c r="B671" s="206"/>
      <c r="C671" s="185"/>
      <c r="D671" s="164"/>
      <c r="E671" s="174"/>
      <c r="F671" s="164"/>
      <c r="G671" s="174"/>
      <c r="H671" s="164"/>
      <c r="I671" s="174"/>
      <c r="J671" s="184"/>
      <c r="K671" s="186"/>
      <c r="L671" s="187" t="str">
        <f t="shared" si="181"/>
        <v/>
      </c>
      <c r="M671" s="187" t="str">
        <f t="shared" si="182"/>
        <v/>
      </c>
      <c r="N671" s="187" t="str">
        <f t="shared" si="174"/>
        <v>D</v>
      </c>
      <c r="O671" s="187" t="str">
        <f t="shared" si="183"/>
        <v>D</v>
      </c>
      <c r="P671" s="187">
        <f t="shared" si="184"/>
        <v>1</v>
      </c>
      <c r="Q671" s="187">
        <f>IFERROR(VLOOKUP(E671,Tabela_Deflator:E$43,5,FALSE),1)</f>
        <v>1</v>
      </c>
      <c r="R671" s="188" t="str">
        <f t="shared" si="185"/>
        <v/>
      </c>
      <c r="S671" s="237" t="str">
        <f t="shared" si="175"/>
        <v/>
      </c>
      <c r="T671" s="237" t="str">
        <f t="shared" si="190"/>
        <v/>
      </c>
      <c r="U671" s="189"/>
      <c r="V671" s="167"/>
      <c r="W671" s="165"/>
      <c r="X671" s="164"/>
      <c r="Y671" s="164"/>
      <c r="Z671" s="164"/>
      <c r="AA671" s="174"/>
      <c r="AB671" s="164"/>
      <c r="AC671" s="174"/>
      <c r="AD671" s="184"/>
      <c r="AE671" s="190" t="str">
        <f t="shared" si="186"/>
        <v/>
      </c>
      <c r="AF671" s="190" t="str">
        <f t="shared" si="187"/>
        <v/>
      </c>
      <c r="AG671" s="190" t="str">
        <f t="shared" si="176"/>
        <v>D</v>
      </c>
      <c r="AH671" s="190">
        <f>IFERROR(VLOOKUP(Y671,SISP_Deflatores_e_INMs!B$4:F$49,3,FALSE),1)</f>
        <v>1</v>
      </c>
      <c r="AI671" s="190">
        <f>IFERROR(VLOOKUP(Y671,SISP_Deflatores_e_INMs!B$4:G$49,5,FALSE),1)</f>
        <v>1</v>
      </c>
      <c r="AJ671" s="191" t="str">
        <f t="shared" si="188"/>
        <v/>
      </c>
      <c r="AK671" s="237" t="str">
        <f t="shared" si="177"/>
        <v/>
      </c>
      <c r="AL671" s="237" t="str">
        <f t="shared" si="189"/>
        <v/>
      </c>
      <c r="AM671" s="192" t="e">
        <f t="shared" si="178"/>
        <v>#VALUE!</v>
      </c>
      <c r="AN671" s="193" t="e">
        <f t="shared" si="179"/>
        <v>#VALUE!</v>
      </c>
      <c r="AO671" s="193" t="e">
        <f t="shared" si="180"/>
        <v>#VALUE!</v>
      </c>
      <c r="AP671" s="193"/>
      <c r="AQ671" s="204"/>
      <c r="AR671" s="204"/>
      <c r="AS671" s="204"/>
      <c r="AT671" s="205"/>
      <c r="AU671"/>
    </row>
    <row r="672" spans="2:47" ht="15" customHeight="1" x14ac:dyDescent="0.25">
      <c r="B672" s="206"/>
      <c r="C672" s="185"/>
      <c r="D672" s="164"/>
      <c r="E672" s="174"/>
      <c r="F672" s="164"/>
      <c r="G672" s="174"/>
      <c r="H672" s="164"/>
      <c r="I672" s="174"/>
      <c r="J672" s="184"/>
      <c r="K672" s="186"/>
      <c r="L672" s="187" t="str">
        <f t="shared" si="181"/>
        <v/>
      </c>
      <c r="M672" s="187" t="str">
        <f t="shared" si="182"/>
        <v/>
      </c>
      <c r="N672" s="187" t="str">
        <f t="shared" si="174"/>
        <v>D</v>
      </c>
      <c r="O672" s="187" t="str">
        <f t="shared" si="183"/>
        <v>D</v>
      </c>
      <c r="P672" s="187">
        <f t="shared" si="184"/>
        <v>1</v>
      </c>
      <c r="Q672" s="187">
        <f>IFERROR(VLOOKUP(E672,Tabela_Deflator:E$43,5,FALSE),1)</f>
        <v>1</v>
      </c>
      <c r="R672" s="188" t="str">
        <f t="shared" si="185"/>
        <v/>
      </c>
      <c r="S672" s="237" t="str">
        <f t="shared" si="175"/>
        <v/>
      </c>
      <c r="T672" s="237" t="str">
        <f t="shared" si="190"/>
        <v/>
      </c>
      <c r="U672" s="189"/>
      <c r="V672" s="167"/>
      <c r="W672" s="165"/>
      <c r="X672" s="164"/>
      <c r="Y672" s="164"/>
      <c r="Z672" s="164"/>
      <c r="AA672" s="174"/>
      <c r="AB672" s="164"/>
      <c r="AC672" s="174"/>
      <c r="AD672" s="184"/>
      <c r="AE672" s="190" t="str">
        <f t="shared" si="186"/>
        <v/>
      </c>
      <c r="AF672" s="190" t="str">
        <f t="shared" si="187"/>
        <v/>
      </c>
      <c r="AG672" s="190" t="str">
        <f t="shared" si="176"/>
        <v>D</v>
      </c>
      <c r="AH672" s="190">
        <f>IFERROR(VLOOKUP(Y672,SISP_Deflatores_e_INMs!B$4:F$49,3,FALSE),1)</f>
        <v>1</v>
      </c>
      <c r="AI672" s="190">
        <f>IFERROR(VLOOKUP(Y672,SISP_Deflatores_e_INMs!B$4:G$49,5,FALSE),1)</f>
        <v>1</v>
      </c>
      <c r="AJ672" s="191" t="str">
        <f t="shared" si="188"/>
        <v/>
      </c>
      <c r="AK672" s="237" t="str">
        <f t="shared" si="177"/>
        <v/>
      </c>
      <c r="AL672" s="237" t="str">
        <f t="shared" si="189"/>
        <v/>
      </c>
      <c r="AM672" s="192" t="e">
        <f t="shared" si="178"/>
        <v>#VALUE!</v>
      </c>
      <c r="AN672" s="193" t="e">
        <f t="shared" si="179"/>
        <v>#VALUE!</v>
      </c>
      <c r="AO672" s="193" t="e">
        <f t="shared" si="180"/>
        <v>#VALUE!</v>
      </c>
      <c r="AP672" s="193"/>
      <c r="AQ672" s="204"/>
      <c r="AR672" s="204"/>
      <c r="AS672" s="204"/>
      <c r="AT672" s="205"/>
      <c r="AU672"/>
    </row>
    <row r="673" spans="2:47" ht="15" customHeight="1" x14ac:dyDescent="0.25">
      <c r="B673" s="206"/>
      <c r="C673" s="185"/>
      <c r="D673" s="164"/>
      <c r="E673" s="174"/>
      <c r="F673" s="164"/>
      <c r="G673" s="174"/>
      <c r="H673" s="164"/>
      <c r="I673" s="174"/>
      <c r="J673" s="184"/>
      <c r="K673" s="186"/>
      <c r="L673" s="187" t="str">
        <f t="shared" si="181"/>
        <v/>
      </c>
      <c r="M673" s="187" t="str">
        <f t="shared" si="182"/>
        <v/>
      </c>
      <c r="N673" s="187" t="str">
        <f t="shared" si="174"/>
        <v>D</v>
      </c>
      <c r="O673" s="187" t="str">
        <f t="shared" si="183"/>
        <v>D</v>
      </c>
      <c r="P673" s="187">
        <f t="shared" si="184"/>
        <v>1</v>
      </c>
      <c r="Q673" s="187">
        <f>IFERROR(VLOOKUP(E673,Tabela_Deflator:E$43,5,FALSE),1)</f>
        <v>1</v>
      </c>
      <c r="R673" s="188" t="str">
        <f t="shared" si="185"/>
        <v/>
      </c>
      <c r="S673" s="237" t="str">
        <f t="shared" si="175"/>
        <v/>
      </c>
      <c r="T673" s="237" t="str">
        <f t="shared" si="190"/>
        <v/>
      </c>
      <c r="U673" s="189"/>
      <c r="V673" s="167"/>
      <c r="W673" s="165"/>
      <c r="X673" s="164"/>
      <c r="Y673" s="164"/>
      <c r="Z673" s="164"/>
      <c r="AA673" s="174"/>
      <c r="AB673" s="164"/>
      <c r="AC673" s="174"/>
      <c r="AD673" s="184"/>
      <c r="AE673" s="190" t="str">
        <f t="shared" si="186"/>
        <v/>
      </c>
      <c r="AF673" s="190" t="str">
        <f t="shared" si="187"/>
        <v/>
      </c>
      <c r="AG673" s="190" t="str">
        <f t="shared" si="176"/>
        <v>D</v>
      </c>
      <c r="AH673" s="190">
        <f>IFERROR(VLOOKUP(Y673,SISP_Deflatores_e_INMs!B$4:F$49,3,FALSE),1)</f>
        <v>1</v>
      </c>
      <c r="AI673" s="190">
        <f>IFERROR(VLOOKUP(Y673,SISP_Deflatores_e_INMs!B$4:G$49,5,FALSE),1)</f>
        <v>1</v>
      </c>
      <c r="AJ673" s="191" t="str">
        <f t="shared" si="188"/>
        <v/>
      </c>
      <c r="AK673" s="237" t="str">
        <f t="shared" si="177"/>
        <v/>
      </c>
      <c r="AL673" s="237" t="str">
        <f t="shared" si="189"/>
        <v/>
      </c>
      <c r="AM673" s="192" t="e">
        <f t="shared" si="178"/>
        <v>#VALUE!</v>
      </c>
      <c r="AN673" s="193" t="e">
        <f t="shared" si="179"/>
        <v>#VALUE!</v>
      </c>
      <c r="AO673" s="193" t="e">
        <f t="shared" si="180"/>
        <v>#VALUE!</v>
      </c>
      <c r="AP673" s="193"/>
      <c r="AQ673" s="204"/>
      <c r="AR673" s="204"/>
      <c r="AS673" s="204"/>
      <c r="AT673" s="205"/>
      <c r="AU673"/>
    </row>
    <row r="674" spans="2:47" ht="15" customHeight="1" x14ac:dyDescent="0.25">
      <c r="B674" s="206"/>
      <c r="C674" s="185"/>
      <c r="D674" s="164"/>
      <c r="E674" s="174"/>
      <c r="F674" s="164"/>
      <c r="G674" s="174"/>
      <c r="H674" s="164"/>
      <c r="I674" s="174"/>
      <c r="J674" s="184"/>
      <c r="K674" s="186"/>
      <c r="L674" s="187" t="str">
        <f t="shared" si="181"/>
        <v/>
      </c>
      <c r="M674" s="187" t="str">
        <f t="shared" si="182"/>
        <v/>
      </c>
      <c r="N674" s="187" t="str">
        <f t="shared" si="174"/>
        <v>D</v>
      </c>
      <c r="O674" s="187" t="str">
        <f t="shared" si="183"/>
        <v>D</v>
      </c>
      <c r="P674" s="187">
        <f t="shared" si="184"/>
        <v>1</v>
      </c>
      <c r="Q674" s="187">
        <f>IFERROR(VLOOKUP(E674,Tabela_Deflator:E$43,5,FALSE),1)</f>
        <v>1</v>
      </c>
      <c r="R674" s="188" t="str">
        <f t="shared" si="185"/>
        <v/>
      </c>
      <c r="S674" s="237" t="str">
        <f t="shared" si="175"/>
        <v/>
      </c>
      <c r="T674" s="237" t="str">
        <f t="shared" si="190"/>
        <v/>
      </c>
      <c r="U674" s="189"/>
      <c r="V674" s="167"/>
      <c r="W674" s="165"/>
      <c r="X674" s="164"/>
      <c r="Y674" s="164"/>
      <c r="Z674" s="164"/>
      <c r="AA674" s="174"/>
      <c r="AB674" s="164"/>
      <c r="AC674" s="174"/>
      <c r="AD674" s="184"/>
      <c r="AE674" s="190" t="str">
        <f t="shared" si="186"/>
        <v/>
      </c>
      <c r="AF674" s="190" t="str">
        <f t="shared" si="187"/>
        <v/>
      </c>
      <c r="AG674" s="190" t="str">
        <f t="shared" si="176"/>
        <v>D</v>
      </c>
      <c r="AH674" s="190">
        <f>IFERROR(VLOOKUP(Y674,SISP_Deflatores_e_INMs!B$4:F$49,3,FALSE),1)</f>
        <v>1</v>
      </c>
      <c r="AI674" s="190">
        <f>IFERROR(VLOOKUP(Y674,SISP_Deflatores_e_INMs!B$4:G$49,5,FALSE),1)</f>
        <v>1</v>
      </c>
      <c r="AJ674" s="191" t="str">
        <f t="shared" si="188"/>
        <v/>
      </c>
      <c r="AK674" s="237" t="str">
        <f t="shared" si="177"/>
        <v/>
      </c>
      <c r="AL674" s="237" t="str">
        <f t="shared" si="189"/>
        <v/>
      </c>
      <c r="AM674" s="192" t="e">
        <f t="shared" si="178"/>
        <v>#VALUE!</v>
      </c>
      <c r="AN674" s="193" t="e">
        <f t="shared" si="179"/>
        <v>#VALUE!</v>
      </c>
      <c r="AO674" s="193" t="e">
        <f t="shared" si="180"/>
        <v>#VALUE!</v>
      </c>
      <c r="AP674" s="193"/>
      <c r="AQ674" s="204"/>
      <c r="AR674" s="204"/>
      <c r="AS674" s="204"/>
      <c r="AT674" s="205"/>
      <c r="AU674"/>
    </row>
    <row r="675" spans="2:47" ht="15" customHeight="1" x14ac:dyDescent="0.25">
      <c r="B675" s="206"/>
      <c r="C675" s="185"/>
      <c r="D675" s="164"/>
      <c r="E675" s="174"/>
      <c r="F675" s="164"/>
      <c r="G675" s="174"/>
      <c r="H675" s="164"/>
      <c r="I675" s="174"/>
      <c r="J675" s="184"/>
      <c r="K675" s="186"/>
      <c r="L675" s="187" t="str">
        <f t="shared" si="181"/>
        <v/>
      </c>
      <c r="M675" s="187" t="str">
        <f t="shared" si="182"/>
        <v/>
      </c>
      <c r="N675" s="187" t="str">
        <f t="shared" si="174"/>
        <v>D</v>
      </c>
      <c r="O675" s="187" t="str">
        <f t="shared" si="183"/>
        <v>D</v>
      </c>
      <c r="P675" s="187">
        <f t="shared" si="184"/>
        <v>1</v>
      </c>
      <c r="Q675" s="187">
        <f>IFERROR(VLOOKUP(E675,Tabela_Deflator:E$43,5,FALSE),1)</f>
        <v>1</v>
      </c>
      <c r="R675" s="188" t="str">
        <f t="shared" si="185"/>
        <v/>
      </c>
      <c r="S675" s="237" t="str">
        <f t="shared" si="175"/>
        <v/>
      </c>
      <c r="T675" s="237" t="str">
        <f t="shared" si="190"/>
        <v/>
      </c>
      <c r="U675" s="189"/>
      <c r="V675" s="167"/>
      <c r="W675" s="165"/>
      <c r="X675" s="164"/>
      <c r="Y675" s="164"/>
      <c r="Z675" s="164"/>
      <c r="AA675" s="174"/>
      <c r="AB675" s="164"/>
      <c r="AC675" s="174"/>
      <c r="AD675" s="184"/>
      <c r="AE675" s="190" t="str">
        <f t="shared" si="186"/>
        <v/>
      </c>
      <c r="AF675" s="190" t="str">
        <f t="shared" si="187"/>
        <v/>
      </c>
      <c r="AG675" s="190" t="str">
        <f t="shared" si="176"/>
        <v>D</v>
      </c>
      <c r="AH675" s="190">
        <f>IFERROR(VLOOKUP(Y675,SISP_Deflatores_e_INMs!B$4:F$49,3,FALSE),1)</f>
        <v>1</v>
      </c>
      <c r="AI675" s="190">
        <f>IFERROR(VLOOKUP(Y675,SISP_Deflatores_e_INMs!B$4:G$49,5,FALSE),1)</f>
        <v>1</v>
      </c>
      <c r="AJ675" s="191" t="str">
        <f t="shared" si="188"/>
        <v/>
      </c>
      <c r="AK675" s="237" t="str">
        <f t="shared" si="177"/>
        <v/>
      </c>
      <c r="AL675" s="237" t="str">
        <f t="shared" si="189"/>
        <v/>
      </c>
      <c r="AM675" s="192" t="e">
        <f t="shared" si="178"/>
        <v>#VALUE!</v>
      </c>
      <c r="AN675" s="193" t="e">
        <f t="shared" si="179"/>
        <v>#VALUE!</v>
      </c>
      <c r="AO675" s="193" t="e">
        <f t="shared" si="180"/>
        <v>#VALUE!</v>
      </c>
      <c r="AP675" s="193"/>
      <c r="AQ675" s="204"/>
      <c r="AR675" s="204"/>
      <c r="AS675" s="204"/>
      <c r="AT675" s="205"/>
      <c r="AU675"/>
    </row>
    <row r="676" spans="2:47" ht="15" customHeight="1" x14ac:dyDescent="0.25">
      <c r="B676" s="206"/>
      <c r="C676" s="185"/>
      <c r="D676" s="164"/>
      <c r="E676" s="174"/>
      <c r="F676" s="164"/>
      <c r="G676" s="174"/>
      <c r="H676" s="164"/>
      <c r="I676" s="174"/>
      <c r="J676" s="184"/>
      <c r="K676" s="186"/>
      <c r="L676" s="187" t="str">
        <f t="shared" si="181"/>
        <v/>
      </c>
      <c r="M676" s="187" t="str">
        <f t="shared" si="182"/>
        <v/>
      </c>
      <c r="N676" s="187" t="str">
        <f t="shared" si="174"/>
        <v>D</v>
      </c>
      <c r="O676" s="187" t="str">
        <f t="shared" si="183"/>
        <v>D</v>
      </c>
      <c r="P676" s="187">
        <f t="shared" si="184"/>
        <v>1</v>
      </c>
      <c r="Q676" s="187">
        <f>IFERROR(VLOOKUP(E676,Tabela_Deflator:E$43,5,FALSE),1)</f>
        <v>1</v>
      </c>
      <c r="R676" s="188" t="str">
        <f t="shared" si="185"/>
        <v/>
      </c>
      <c r="S676" s="237" t="str">
        <f t="shared" si="175"/>
        <v/>
      </c>
      <c r="T676" s="237" t="str">
        <f t="shared" si="190"/>
        <v/>
      </c>
      <c r="U676" s="189"/>
      <c r="V676" s="167"/>
      <c r="W676" s="165"/>
      <c r="X676" s="164"/>
      <c r="Y676" s="164"/>
      <c r="Z676" s="164"/>
      <c r="AA676" s="174"/>
      <c r="AB676" s="164"/>
      <c r="AC676" s="174"/>
      <c r="AD676" s="184"/>
      <c r="AE676" s="190" t="str">
        <f t="shared" si="186"/>
        <v/>
      </c>
      <c r="AF676" s="190" t="str">
        <f t="shared" si="187"/>
        <v/>
      </c>
      <c r="AG676" s="190" t="str">
        <f t="shared" si="176"/>
        <v>D</v>
      </c>
      <c r="AH676" s="190">
        <f>IFERROR(VLOOKUP(Y676,SISP_Deflatores_e_INMs!B$4:F$49,3,FALSE),1)</f>
        <v>1</v>
      </c>
      <c r="AI676" s="190">
        <f>IFERROR(VLOOKUP(Y676,SISP_Deflatores_e_INMs!B$4:G$49,5,FALSE),1)</f>
        <v>1</v>
      </c>
      <c r="AJ676" s="191" t="str">
        <f t="shared" si="188"/>
        <v/>
      </c>
      <c r="AK676" s="237" t="str">
        <f t="shared" si="177"/>
        <v/>
      </c>
      <c r="AL676" s="237" t="str">
        <f t="shared" si="189"/>
        <v/>
      </c>
      <c r="AM676" s="192" t="e">
        <f t="shared" si="178"/>
        <v>#VALUE!</v>
      </c>
      <c r="AN676" s="193" t="e">
        <f t="shared" si="179"/>
        <v>#VALUE!</v>
      </c>
      <c r="AO676" s="193" t="e">
        <f t="shared" si="180"/>
        <v>#VALUE!</v>
      </c>
      <c r="AP676" s="193"/>
      <c r="AQ676" s="204"/>
      <c r="AR676" s="204"/>
      <c r="AS676" s="204"/>
      <c r="AT676" s="205"/>
      <c r="AU676"/>
    </row>
    <row r="677" spans="2:47" ht="15" customHeight="1" x14ac:dyDescent="0.25">
      <c r="B677" s="206"/>
      <c r="C677" s="185"/>
      <c r="D677" s="164"/>
      <c r="E677" s="174"/>
      <c r="F677" s="164"/>
      <c r="G677" s="174"/>
      <c r="H677" s="164"/>
      <c r="I677" s="174"/>
      <c r="J677" s="184"/>
      <c r="K677" s="186"/>
      <c r="L677" s="187" t="str">
        <f t="shared" si="181"/>
        <v/>
      </c>
      <c r="M677" s="187" t="str">
        <f t="shared" si="182"/>
        <v/>
      </c>
      <c r="N677" s="187" t="str">
        <f t="shared" si="174"/>
        <v>D</v>
      </c>
      <c r="O677" s="187" t="str">
        <f t="shared" si="183"/>
        <v>D</v>
      </c>
      <c r="P677" s="187">
        <f t="shared" si="184"/>
        <v>1</v>
      </c>
      <c r="Q677" s="187">
        <f>IFERROR(VLOOKUP(E677,Tabela_Deflator:E$43,5,FALSE),1)</f>
        <v>1</v>
      </c>
      <c r="R677" s="188" t="str">
        <f t="shared" si="185"/>
        <v/>
      </c>
      <c r="S677" s="237" t="str">
        <f t="shared" si="175"/>
        <v/>
      </c>
      <c r="T677" s="237" t="str">
        <f t="shared" si="190"/>
        <v/>
      </c>
      <c r="U677" s="189"/>
      <c r="V677" s="167"/>
      <c r="W677" s="165"/>
      <c r="X677" s="164"/>
      <c r="Y677" s="164"/>
      <c r="Z677" s="164"/>
      <c r="AA677" s="174"/>
      <c r="AB677" s="164"/>
      <c r="AC677" s="174"/>
      <c r="AD677" s="184"/>
      <c r="AE677" s="190" t="str">
        <f t="shared" si="186"/>
        <v/>
      </c>
      <c r="AF677" s="190" t="str">
        <f t="shared" si="187"/>
        <v/>
      </c>
      <c r="AG677" s="190" t="str">
        <f t="shared" si="176"/>
        <v>D</v>
      </c>
      <c r="AH677" s="190">
        <f>IFERROR(VLOOKUP(Y677,SISP_Deflatores_e_INMs!B$4:F$49,3,FALSE),1)</f>
        <v>1</v>
      </c>
      <c r="AI677" s="190">
        <f>IFERROR(VLOOKUP(Y677,SISP_Deflatores_e_INMs!B$4:G$49,5,FALSE),1)</f>
        <v>1</v>
      </c>
      <c r="AJ677" s="191" t="str">
        <f t="shared" si="188"/>
        <v/>
      </c>
      <c r="AK677" s="237" t="str">
        <f t="shared" si="177"/>
        <v/>
      </c>
      <c r="AL677" s="237" t="str">
        <f t="shared" si="189"/>
        <v/>
      </c>
      <c r="AM677" s="192" t="e">
        <f t="shared" si="178"/>
        <v>#VALUE!</v>
      </c>
      <c r="AN677" s="193" t="e">
        <f t="shared" si="179"/>
        <v>#VALUE!</v>
      </c>
      <c r="AO677" s="193" t="e">
        <f t="shared" si="180"/>
        <v>#VALUE!</v>
      </c>
      <c r="AP677" s="193"/>
      <c r="AQ677" s="204"/>
      <c r="AR677" s="204"/>
      <c r="AS677" s="204"/>
      <c r="AT677" s="205"/>
      <c r="AU677"/>
    </row>
    <row r="678" spans="2:47" ht="15" customHeight="1" x14ac:dyDescent="0.25">
      <c r="B678" s="206"/>
      <c r="C678" s="185"/>
      <c r="D678" s="164"/>
      <c r="E678" s="174"/>
      <c r="F678" s="164"/>
      <c r="G678" s="174"/>
      <c r="H678" s="164"/>
      <c r="I678" s="174"/>
      <c r="J678" s="184"/>
      <c r="K678" s="186"/>
      <c r="L678" s="187" t="str">
        <f t="shared" si="181"/>
        <v/>
      </c>
      <c r="M678" s="187" t="str">
        <f t="shared" si="182"/>
        <v/>
      </c>
      <c r="N678" s="187" t="str">
        <f t="shared" si="174"/>
        <v>D</v>
      </c>
      <c r="O678" s="187" t="str">
        <f t="shared" si="183"/>
        <v>D</v>
      </c>
      <c r="P678" s="187">
        <f t="shared" si="184"/>
        <v>1</v>
      </c>
      <c r="Q678" s="187">
        <f>IFERROR(VLOOKUP(E678,Tabela_Deflator:E$43,5,FALSE),1)</f>
        <v>1</v>
      </c>
      <c r="R678" s="188" t="str">
        <f t="shared" si="185"/>
        <v/>
      </c>
      <c r="S678" s="237" t="str">
        <f t="shared" si="175"/>
        <v/>
      </c>
      <c r="T678" s="237" t="str">
        <f t="shared" si="190"/>
        <v/>
      </c>
      <c r="U678" s="189"/>
      <c r="V678" s="167"/>
      <c r="W678" s="165"/>
      <c r="X678" s="164"/>
      <c r="Y678" s="164"/>
      <c r="Z678" s="164"/>
      <c r="AA678" s="174"/>
      <c r="AB678" s="164"/>
      <c r="AC678" s="174"/>
      <c r="AD678" s="184"/>
      <c r="AE678" s="190" t="str">
        <f t="shared" si="186"/>
        <v/>
      </c>
      <c r="AF678" s="190" t="str">
        <f t="shared" si="187"/>
        <v/>
      </c>
      <c r="AG678" s="190" t="str">
        <f t="shared" si="176"/>
        <v>D</v>
      </c>
      <c r="AH678" s="190">
        <f>IFERROR(VLOOKUP(Y678,SISP_Deflatores_e_INMs!B$4:F$49,3,FALSE),1)</f>
        <v>1</v>
      </c>
      <c r="AI678" s="190">
        <f>IFERROR(VLOOKUP(Y678,SISP_Deflatores_e_INMs!B$4:G$49,5,FALSE),1)</f>
        <v>1</v>
      </c>
      <c r="AJ678" s="191" t="str">
        <f t="shared" si="188"/>
        <v/>
      </c>
      <c r="AK678" s="237" t="str">
        <f t="shared" si="177"/>
        <v/>
      </c>
      <c r="AL678" s="237" t="str">
        <f t="shared" si="189"/>
        <v/>
      </c>
      <c r="AM678" s="192" t="e">
        <f t="shared" si="178"/>
        <v>#VALUE!</v>
      </c>
      <c r="AN678" s="193" t="e">
        <f t="shared" si="179"/>
        <v>#VALUE!</v>
      </c>
      <c r="AO678" s="193" t="e">
        <f t="shared" si="180"/>
        <v>#VALUE!</v>
      </c>
      <c r="AP678" s="193"/>
      <c r="AQ678" s="204"/>
      <c r="AR678" s="204"/>
      <c r="AS678" s="204"/>
      <c r="AT678" s="205"/>
      <c r="AU678"/>
    </row>
    <row r="679" spans="2:47" ht="15" customHeight="1" x14ac:dyDescent="0.25">
      <c r="B679" s="206"/>
      <c r="C679" s="185"/>
      <c r="D679" s="164"/>
      <c r="E679" s="174"/>
      <c r="F679" s="164"/>
      <c r="G679" s="174"/>
      <c r="H679" s="164"/>
      <c r="I679" s="174"/>
      <c r="J679" s="184"/>
      <c r="K679" s="186"/>
      <c r="L679" s="187" t="str">
        <f t="shared" si="181"/>
        <v/>
      </c>
      <c r="M679" s="187" t="str">
        <f t="shared" si="182"/>
        <v/>
      </c>
      <c r="N679" s="187" t="str">
        <f t="shared" si="174"/>
        <v>D</v>
      </c>
      <c r="O679" s="187" t="str">
        <f t="shared" si="183"/>
        <v>D</v>
      </c>
      <c r="P679" s="187">
        <f t="shared" si="184"/>
        <v>1</v>
      </c>
      <c r="Q679" s="187">
        <f>IFERROR(VLOOKUP(E679,Tabela_Deflator:E$43,5,FALSE),1)</f>
        <v>1</v>
      </c>
      <c r="R679" s="188" t="str">
        <f t="shared" si="185"/>
        <v/>
      </c>
      <c r="S679" s="237" t="str">
        <f t="shared" si="175"/>
        <v/>
      </c>
      <c r="T679" s="237" t="str">
        <f t="shared" si="190"/>
        <v/>
      </c>
      <c r="U679" s="189"/>
      <c r="V679" s="167"/>
      <c r="W679" s="165"/>
      <c r="X679" s="164"/>
      <c r="Y679" s="164"/>
      <c r="Z679" s="164"/>
      <c r="AA679" s="174"/>
      <c r="AB679" s="164"/>
      <c r="AC679" s="174"/>
      <c r="AD679" s="184"/>
      <c r="AE679" s="190" t="str">
        <f t="shared" si="186"/>
        <v/>
      </c>
      <c r="AF679" s="190" t="str">
        <f t="shared" si="187"/>
        <v/>
      </c>
      <c r="AG679" s="190" t="str">
        <f t="shared" si="176"/>
        <v>D</v>
      </c>
      <c r="AH679" s="190">
        <f>IFERROR(VLOOKUP(Y679,SISP_Deflatores_e_INMs!B$4:F$49,3,FALSE),1)</f>
        <v>1</v>
      </c>
      <c r="AI679" s="190">
        <f>IFERROR(VLOOKUP(Y679,SISP_Deflatores_e_INMs!B$4:G$49,5,FALSE),1)</f>
        <v>1</v>
      </c>
      <c r="AJ679" s="191" t="str">
        <f t="shared" si="188"/>
        <v/>
      </c>
      <c r="AK679" s="237" t="str">
        <f t="shared" si="177"/>
        <v/>
      </c>
      <c r="AL679" s="237" t="str">
        <f t="shared" si="189"/>
        <v/>
      </c>
      <c r="AM679" s="192" t="e">
        <f t="shared" si="178"/>
        <v>#VALUE!</v>
      </c>
      <c r="AN679" s="193" t="e">
        <f t="shared" si="179"/>
        <v>#VALUE!</v>
      </c>
      <c r="AO679" s="193" t="e">
        <f t="shared" si="180"/>
        <v>#VALUE!</v>
      </c>
      <c r="AP679" s="193"/>
      <c r="AQ679" s="204"/>
      <c r="AR679" s="204"/>
      <c r="AS679" s="204"/>
      <c r="AT679" s="205"/>
      <c r="AU679"/>
    </row>
    <row r="680" spans="2:47" ht="15" customHeight="1" x14ac:dyDescent="0.25">
      <c r="B680" s="206"/>
      <c r="C680" s="185"/>
      <c r="D680" s="164"/>
      <c r="E680" s="174"/>
      <c r="F680" s="164"/>
      <c r="G680" s="174"/>
      <c r="H680" s="164"/>
      <c r="I680" s="174"/>
      <c r="J680" s="184"/>
      <c r="K680" s="186"/>
      <c r="L680" s="187" t="str">
        <f t="shared" si="181"/>
        <v/>
      </c>
      <c r="M680" s="187" t="str">
        <f t="shared" si="182"/>
        <v/>
      </c>
      <c r="N680" s="187" t="str">
        <f t="shared" si="174"/>
        <v>D</v>
      </c>
      <c r="O680" s="187" t="str">
        <f t="shared" si="183"/>
        <v>D</v>
      </c>
      <c r="P680" s="187">
        <f t="shared" si="184"/>
        <v>1</v>
      </c>
      <c r="Q680" s="187">
        <f>IFERROR(VLOOKUP(E680,Tabela_Deflator:E$43,5,FALSE),1)</f>
        <v>1</v>
      </c>
      <c r="R680" s="188" t="str">
        <f t="shared" si="185"/>
        <v/>
      </c>
      <c r="S680" s="237" t="str">
        <f t="shared" si="175"/>
        <v/>
      </c>
      <c r="T680" s="237" t="str">
        <f t="shared" si="190"/>
        <v/>
      </c>
      <c r="U680" s="189"/>
      <c r="V680" s="167"/>
      <c r="W680" s="165"/>
      <c r="X680" s="164"/>
      <c r="Y680" s="164"/>
      <c r="Z680" s="164"/>
      <c r="AA680" s="174"/>
      <c r="AB680" s="164"/>
      <c r="AC680" s="174"/>
      <c r="AD680" s="184"/>
      <c r="AE680" s="190" t="str">
        <f t="shared" si="186"/>
        <v/>
      </c>
      <c r="AF680" s="190" t="str">
        <f t="shared" si="187"/>
        <v/>
      </c>
      <c r="AG680" s="190" t="str">
        <f t="shared" si="176"/>
        <v>D</v>
      </c>
      <c r="AH680" s="190">
        <f>IFERROR(VLOOKUP(Y680,SISP_Deflatores_e_INMs!B$4:F$49,3,FALSE),1)</f>
        <v>1</v>
      </c>
      <c r="AI680" s="190">
        <f>IFERROR(VLOOKUP(Y680,SISP_Deflatores_e_INMs!B$4:G$49,5,FALSE),1)</f>
        <v>1</v>
      </c>
      <c r="AJ680" s="191" t="str">
        <f t="shared" si="188"/>
        <v/>
      </c>
      <c r="AK680" s="237" t="str">
        <f t="shared" si="177"/>
        <v/>
      </c>
      <c r="AL680" s="237" t="str">
        <f t="shared" si="189"/>
        <v/>
      </c>
      <c r="AM680" s="192" t="e">
        <f t="shared" si="178"/>
        <v>#VALUE!</v>
      </c>
      <c r="AN680" s="193" t="e">
        <f t="shared" si="179"/>
        <v>#VALUE!</v>
      </c>
      <c r="AO680" s="193" t="e">
        <f t="shared" si="180"/>
        <v>#VALUE!</v>
      </c>
      <c r="AP680" s="193"/>
      <c r="AQ680" s="204"/>
      <c r="AR680" s="204"/>
      <c r="AS680" s="204"/>
      <c r="AT680" s="205"/>
      <c r="AU680"/>
    </row>
    <row r="681" spans="2:47" ht="15" customHeight="1" x14ac:dyDescent="0.25">
      <c r="B681" s="206"/>
      <c r="C681" s="185"/>
      <c r="D681" s="164"/>
      <c r="E681" s="174"/>
      <c r="F681" s="164"/>
      <c r="G681" s="174"/>
      <c r="H681" s="164"/>
      <c r="I681" s="174"/>
      <c r="J681" s="184"/>
      <c r="K681" s="186"/>
      <c r="L681" s="187" t="str">
        <f t="shared" si="181"/>
        <v/>
      </c>
      <c r="M681" s="187" t="str">
        <f t="shared" si="182"/>
        <v/>
      </c>
      <c r="N681" s="187" t="str">
        <f t="shared" si="174"/>
        <v>D</v>
      </c>
      <c r="O681" s="187" t="str">
        <f t="shared" si="183"/>
        <v>D</v>
      </c>
      <c r="P681" s="187">
        <f t="shared" si="184"/>
        <v>1</v>
      </c>
      <c r="Q681" s="187">
        <f>IFERROR(VLOOKUP(E681,Tabela_Deflator:E$43,5,FALSE),1)</f>
        <v>1</v>
      </c>
      <c r="R681" s="188" t="str">
        <f t="shared" si="185"/>
        <v/>
      </c>
      <c r="S681" s="237" t="str">
        <f t="shared" si="175"/>
        <v/>
      </c>
      <c r="T681" s="237" t="str">
        <f t="shared" si="190"/>
        <v/>
      </c>
      <c r="U681" s="189"/>
      <c r="V681" s="167"/>
      <c r="W681" s="165"/>
      <c r="X681" s="164"/>
      <c r="Y681" s="164"/>
      <c r="Z681" s="164"/>
      <c r="AA681" s="174"/>
      <c r="AB681" s="164"/>
      <c r="AC681" s="174"/>
      <c r="AD681" s="184"/>
      <c r="AE681" s="190" t="str">
        <f t="shared" si="186"/>
        <v/>
      </c>
      <c r="AF681" s="190" t="str">
        <f t="shared" si="187"/>
        <v/>
      </c>
      <c r="AG681" s="190" t="str">
        <f t="shared" si="176"/>
        <v>D</v>
      </c>
      <c r="AH681" s="190">
        <f>IFERROR(VLOOKUP(Y681,SISP_Deflatores_e_INMs!B$4:F$49,3,FALSE),1)</f>
        <v>1</v>
      </c>
      <c r="AI681" s="190">
        <f>IFERROR(VLOOKUP(Y681,SISP_Deflatores_e_INMs!B$4:G$49,5,FALSE),1)</f>
        <v>1</v>
      </c>
      <c r="AJ681" s="191" t="str">
        <f t="shared" si="188"/>
        <v/>
      </c>
      <c r="AK681" s="237" t="str">
        <f t="shared" si="177"/>
        <v/>
      </c>
      <c r="AL681" s="237" t="str">
        <f t="shared" si="189"/>
        <v/>
      </c>
      <c r="AM681" s="192" t="e">
        <f t="shared" si="178"/>
        <v>#VALUE!</v>
      </c>
      <c r="AN681" s="193" t="e">
        <f t="shared" si="179"/>
        <v>#VALUE!</v>
      </c>
      <c r="AO681" s="193" t="e">
        <f t="shared" si="180"/>
        <v>#VALUE!</v>
      </c>
      <c r="AP681" s="193"/>
      <c r="AQ681" s="204"/>
      <c r="AR681" s="204"/>
      <c r="AS681" s="204"/>
      <c r="AT681" s="205"/>
      <c r="AU681"/>
    </row>
    <row r="682" spans="2:47" ht="15" customHeight="1" x14ac:dyDescent="0.25">
      <c r="B682" s="206"/>
      <c r="C682" s="185"/>
      <c r="D682" s="164"/>
      <c r="E682" s="174"/>
      <c r="F682" s="164"/>
      <c r="G682" s="174"/>
      <c r="H682" s="164"/>
      <c r="I682" s="174"/>
      <c r="J682" s="184"/>
      <c r="K682" s="186"/>
      <c r="L682" s="187" t="str">
        <f t="shared" si="181"/>
        <v/>
      </c>
      <c r="M682" s="187" t="str">
        <f t="shared" si="182"/>
        <v/>
      </c>
      <c r="N682" s="187" t="str">
        <f t="shared" si="174"/>
        <v>D</v>
      </c>
      <c r="O682" s="187" t="str">
        <f t="shared" si="183"/>
        <v>D</v>
      </c>
      <c r="P682" s="187">
        <f t="shared" si="184"/>
        <v>1</v>
      </c>
      <c r="Q682" s="187">
        <f>IFERROR(VLOOKUP(E682,Tabela_Deflator:E$43,5,FALSE),1)</f>
        <v>1</v>
      </c>
      <c r="R682" s="188" t="str">
        <f t="shared" si="185"/>
        <v/>
      </c>
      <c r="S682" s="237" t="str">
        <f t="shared" si="175"/>
        <v/>
      </c>
      <c r="T682" s="237" t="str">
        <f t="shared" si="190"/>
        <v/>
      </c>
      <c r="U682" s="189"/>
      <c r="V682" s="167"/>
      <c r="W682" s="165"/>
      <c r="X682" s="164"/>
      <c r="Y682" s="164"/>
      <c r="Z682" s="164"/>
      <c r="AA682" s="174"/>
      <c r="AB682" s="164"/>
      <c r="AC682" s="174"/>
      <c r="AD682" s="184"/>
      <c r="AE682" s="190" t="str">
        <f t="shared" si="186"/>
        <v/>
      </c>
      <c r="AF682" s="190" t="str">
        <f t="shared" si="187"/>
        <v/>
      </c>
      <c r="AG682" s="190" t="str">
        <f t="shared" si="176"/>
        <v>D</v>
      </c>
      <c r="AH682" s="190">
        <f>IFERROR(VLOOKUP(Y682,SISP_Deflatores_e_INMs!B$4:F$49,3,FALSE),1)</f>
        <v>1</v>
      </c>
      <c r="AI682" s="190">
        <f>IFERROR(VLOOKUP(Y682,SISP_Deflatores_e_INMs!B$4:G$49,5,FALSE),1)</f>
        <v>1</v>
      </c>
      <c r="AJ682" s="191" t="str">
        <f t="shared" si="188"/>
        <v/>
      </c>
      <c r="AK682" s="237" t="str">
        <f t="shared" si="177"/>
        <v/>
      </c>
      <c r="AL682" s="237" t="str">
        <f t="shared" si="189"/>
        <v/>
      </c>
      <c r="AM682" s="192" t="e">
        <f t="shared" si="178"/>
        <v>#VALUE!</v>
      </c>
      <c r="AN682" s="193" t="e">
        <f t="shared" si="179"/>
        <v>#VALUE!</v>
      </c>
      <c r="AO682" s="193" t="e">
        <f t="shared" si="180"/>
        <v>#VALUE!</v>
      </c>
      <c r="AP682" s="193"/>
      <c r="AQ682" s="204"/>
      <c r="AR682" s="204"/>
      <c r="AS682" s="204"/>
      <c r="AT682" s="205"/>
      <c r="AU682"/>
    </row>
    <row r="683" spans="2:47" ht="15" customHeight="1" x14ac:dyDescent="0.25">
      <c r="B683" s="206"/>
      <c r="C683" s="185"/>
      <c r="D683" s="164"/>
      <c r="E683" s="174"/>
      <c r="F683" s="164"/>
      <c r="G683" s="174"/>
      <c r="H683" s="164"/>
      <c r="I683" s="174"/>
      <c r="J683" s="184"/>
      <c r="K683" s="186"/>
      <c r="L683" s="187" t="str">
        <f t="shared" si="181"/>
        <v/>
      </c>
      <c r="M683" s="187" t="str">
        <f t="shared" si="182"/>
        <v/>
      </c>
      <c r="N683" s="187" t="str">
        <f t="shared" si="174"/>
        <v>D</v>
      </c>
      <c r="O683" s="187" t="str">
        <f t="shared" si="183"/>
        <v>D</v>
      </c>
      <c r="P683" s="187">
        <f t="shared" si="184"/>
        <v>1</v>
      </c>
      <c r="Q683" s="187">
        <f>IFERROR(VLOOKUP(E683,Tabela_Deflator:E$43,5,FALSE),1)</f>
        <v>1</v>
      </c>
      <c r="R683" s="188" t="str">
        <f t="shared" si="185"/>
        <v/>
      </c>
      <c r="S683" s="237" t="str">
        <f t="shared" si="175"/>
        <v/>
      </c>
      <c r="T683" s="237" t="str">
        <f t="shared" si="190"/>
        <v/>
      </c>
      <c r="U683" s="189"/>
      <c r="V683" s="167"/>
      <c r="W683" s="165"/>
      <c r="X683" s="164"/>
      <c r="Y683" s="164"/>
      <c r="Z683" s="164"/>
      <c r="AA683" s="174"/>
      <c r="AB683" s="164"/>
      <c r="AC683" s="174"/>
      <c r="AD683" s="184"/>
      <c r="AE683" s="190" t="str">
        <f t="shared" si="186"/>
        <v/>
      </c>
      <c r="AF683" s="190" t="str">
        <f t="shared" si="187"/>
        <v/>
      </c>
      <c r="AG683" s="190" t="str">
        <f t="shared" si="176"/>
        <v>D</v>
      </c>
      <c r="AH683" s="190">
        <f>IFERROR(VLOOKUP(Y683,SISP_Deflatores_e_INMs!B$4:F$49,3,FALSE),1)</f>
        <v>1</v>
      </c>
      <c r="AI683" s="190">
        <f>IFERROR(VLOOKUP(Y683,SISP_Deflatores_e_INMs!B$4:G$49,5,FALSE),1)</f>
        <v>1</v>
      </c>
      <c r="AJ683" s="191" t="str">
        <f t="shared" si="188"/>
        <v/>
      </c>
      <c r="AK683" s="237" t="str">
        <f t="shared" si="177"/>
        <v/>
      </c>
      <c r="AL683" s="237" t="str">
        <f t="shared" si="189"/>
        <v/>
      </c>
      <c r="AM683" s="192" t="e">
        <f t="shared" si="178"/>
        <v>#VALUE!</v>
      </c>
      <c r="AN683" s="193" t="e">
        <f t="shared" si="179"/>
        <v>#VALUE!</v>
      </c>
      <c r="AO683" s="193" t="e">
        <f t="shared" si="180"/>
        <v>#VALUE!</v>
      </c>
      <c r="AP683" s="193"/>
      <c r="AQ683" s="204"/>
      <c r="AR683" s="204"/>
      <c r="AS683" s="204"/>
      <c r="AT683" s="205"/>
      <c r="AU683"/>
    </row>
    <row r="684" spans="2:47" ht="15" customHeight="1" x14ac:dyDescent="0.25">
      <c r="B684" s="206"/>
      <c r="C684" s="185"/>
      <c r="D684" s="164"/>
      <c r="E684" s="174"/>
      <c r="F684" s="164"/>
      <c r="G684" s="174"/>
      <c r="H684" s="164"/>
      <c r="I684" s="174"/>
      <c r="J684" s="184"/>
      <c r="K684" s="186"/>
      <c r="L684" s="187" t="str">
        <f t="shared" si="181"/>
        <v/>
      </c>
      <c r="M684" s="187" t="str">
        <f t="shared" si="182"/>
        <v/>
      </c>
      <c r="N684" s="187" t="str">
        <f t="shared" si="174"/>
        <v>D</v>
      </c>
      <c r="O684" s="187" t="str">
        <f t="shared" si="183"/>
        <v>D</v>
      </c>
      <c r="P684" s="187">
        <f t="shared" si="184"/>
        <v>1</v>
      </c>
      <c r="Q684" s="187">
        <f>IFERROR(VLOOKUP(E684,Tabela_Deflator:E$43,5,FALSE),1)</f>
        <v>1</v>
      </c>
      <c r="R684" s="188" t="str">
        <f t="shared" si="185"/>
        <v/>
      </c>
      <c r="S684" s="237" t="str">
        <f t="shared" si="175"/>
        <v/>
      </c>
      <c r="T684" s="237" t="str">
        <f t="shared" si="190"/>
        <v/>
      </c>
      <c r="U684" s="189"/>
      <c r="V684" s="167"/>
      <c r="W684" s="165"/>
      <c r="X684" s="164"/>
      <c r="Y684" s="164"/>
      <c r="Z684" s="164"/>
      <c r="AA684" s="174"/>
      <c r="AB684" s="164"/>
      <c r="AC684" s="174"/>
      <c r="AD684" s="184"/>
      <c r="AE684" s="190" t="str">
        <f t="shared" si="186"/>
        <v/>
      </c>
      <c r="AF684" s="190" t="str">
        <f t="shared" si="187"/>
        <v/>
      </c>
      <c r="AG684" s="190" t="str">
        <f t="shared" si="176"/>
        <v>D</v>
      </c>
      <c r="AH684" s="190">
        <f>IFERROR(VLOOKUP(Y684,SISP_Deflatores_e_INMs!B$4:F$49,3,FALSE),1)</f>
        <v>1</v>
      </c>
      <c r="AI684" s="190">
        <f>IFERROR(VLOOKUP(Y684,SISP_Deflatores_e_INMs!B$4:G$49,5,FALSE),1)</f>
        <v>1</v>
      </c>
      <c r="AJ684" s="191" t="str">
        <f t="shared" si="188"/>
        <v/>
      </c>
      <c r="AK684" s="237" t="str">
        <f t="shared" si="177"/>
        <v/>
      </c>
      <c r="AL684" s="237" t="str">
        <f t="shared" si="189"/>
        <v/>
      </c>
      <c r="AM684" s="192" t="e">
        <f t="shared" si="178"/>
        <v>#VALUE!</v>
      </c>
      <c r="AN684" s="193" t="e">
        <f t="shared" si="179"/>
        <v>#VALUE!</v>
      </c>
      <c r="AO684" s="193" t="e">
        <f t="shared" si="180"/>
        <v>#VALUE!</v>
      </c>
      <c r="AP684" s="193"/>
      <c r="AQ684" s="204"/>
      <c r="AR684" s="204"/>
      <c r="AS684" s="204"/>
      <c r="AT684" s="205"/>
      <c r="AU684"/>
    </row>
    <row r="685" spans="2:47" ht="15" customHeight="1" x14ac:dyDescent="0.25">
      <c r="B685" s="206"/>
      <c r="C685" s="185"/>
      <c r="D685" s="164"/>
      <c r="E685" s="174"/>
      <c r="F685" s="164"/>
      <c r="G685" s="174"/>
      <c r="H685" s="164"/>
      <c r="I685" s="174"/>
      <c r="J685" s="184"/>
      <c r="K685" s="186"/>
      <c r="L685" s="187" t="str">
        <f t="shared" si="181"/>
        <v/>
      </c>
      <c r="M685" s="187" t="str">
        <f t="shared" si="182"/>
        <v/>
      </c>
      <c r="N685" s="187" t="str">
        <f t="shared" si="174"/>
        <v>D</v>
      </c>
      <c r="O685" s="187" t="str">
        <f t="shared" si="183"/>
        <v>D</v>
      </c>
      <c r="P685" s="187">
        <f t="shared" si="184"/>
        <v>1</v>
      </c>
      <c r="Q685" s="187">
        <f>IFERROR(VLOOKUP(E685,Tabela_Deflator:E$43,5,FALSE),1)</f>
        <v>1</v>
      </c>
      <c r="R685" s="188" t="str">
        <f t="shared" si="185"/>
        <v/>
      </c>
      <c r="S685" s="237" t="str">
        <f t="shared" si="175"/>
        <v/>
      </c>
      <c r="T685" s="237" t="str">
        <f t="shared" si="190"/>
        <v/>
      </c>
      <c r="U685" s="189"/>
      <c r="V685" s="167"/>
      <c r="W685" s="165"/>
      <c r="X685" s="164"/>
      <c r="Y685" s="164"/>
      <c r="Z685" s="164"/>
      <c r="AA685" s="174"/>
      <c r="AB685" s="164"/>
      <c r="AC685" s="174"/>
      <c r="AD685" s="184"/>
      <c r="AE685" s="190" t="str">
        <f t="shared" si="186"/>
        <v/>
      </c>
      <c r="AF685" s="190" t="str">
        <f t="shared" si="187"/>
        <v/>
      </c>
      <c r="AG685" s="190" t="str">
        <f t="shared" si="176"/>
        <v>D</v>
      </c>
      <c r="AH685" s="190">
        <f>IFERROR(VLOOKUP(Y685,SISP_Deflatores_e_INMs!B$4:F$49,3,FALSE),1)</f>
        <v>1</v>
      </c>
      <c r="AI685" s="190">
        <f>IFERROR(VLOOKUP(Y685,SISP_Deflatores_e_INMs!B$4:G$49,5,FALSE),1)</f>
        <v>1</v>
      </c>
      <c r="AJ685" s="191" t="str">
        <f t="shared" si="188"/>
        <v/>
      </c>
      <c r="AK685" s="237" t="str">
        <f t="shared" si="177"/>
        <v/>
      </c>
      <c r="AL685" s="237" t="str">
        <f t="shared" si="189"/>
        <v/>
      </c>
      <c r="AM685" s="192" t="e">
        <f t="shared" si="178"/>
        <v>#VALUE!</v>
      </c>
      <c r="AN685" s="193" t="e">
        <f t="shared" si="179"/>
        <v>#VALUE!</v>
      </c>
      <c r="AO685" s="193" t="e">
        <f t="shared" si="180"/>
        <v>#VALUE!</v>
      </c>
      <c r="AP685" s="193"/>
      <c r="AQ685" s="204"/>
      <c r="AR685" s="204"/>
      <c r="AS685" s="204"/>
      <c r="AT685" s="205"/>
      <c r="AU685"/>
    </row>
    <row r="686" spans="2:47" ht="15" customHeight="1" x14ac:dyDescent="0.25">
      <c r="B686" s="206"/>
      <c r="C686" s="185"/>
      <c r="D686" s="164"/>
      <c r="E686" s="174"/>
      <c r="F686" s="164"/>
      <c r="G686" s="174"/>
      <c r="H686" s="164"/>
      <c r="I686" s="174"/>
      <c r="J686" s="184"/>
      <c r="K686" s="186"/>
      <c r="L686" s="187" t="str">
        <f t="shared" si="181"/>
        <v/>
      </c>
      <c r="M686" s="187" t="str">
        <f t="shared" si="182"/>
        <v/>
      </c>
      <c r="N686" s="187" t="str">
        <f t="shared" si="174"/>
        <v>D</v>
      </c>
      <c r="O686" s="187" t="str">
        <f t="shared" si="183"/>
        <v>D</v>
      </c>
      <c r="P686" s="187">
        <f t="shared" si="184"/>
        <v>1</v>
      </c>
      <c r="Q686" s="187">
        <f>IFERROR(VLOOKUP(E686,Tabela_Deflator:E$43,5,FALSE),1)</f>
        <v>1</v>
      </c>
      <c r="R686" s="188" t="str">
        <f t="shared" si="185"/>
        <v/>
      </c>
      <c r="S686" s="237" t="str">
        <f t="shared" si="175"/>
        <v/>
      </c>
      <c r="T686" s="237" t="str">
        <f t="shared" si="190"/>
        <v/>
      </c>
      <c r="U686" s="189"/>
      <c r="V686" s="167"/>
      <c r="W686" s="165"/>
      <c r="X686" s="164"/>
      <c r="Y686" s="164"/>
      <c r="Z686" s="164"/>
      <c r="AA686" s="174"/>
      <c r="AB686" s="164"/>
      <c r="AC686" s="174"/>
      <c r="AD686" s="184"/>
      <c r="AE686" s="190" t="str">
        <f t="shared" si="186"/>
        <v/>
      </c>
      <c r="AF686" s="190" t="str">
        <f t="shared" si="187"/>
        <v/>
      </c>
      <c r="AG686" s="190" t="str">
        <f t="shared" si="176"/>
        <v>D</v>
      </c>
      <c r="AH686" s="190">
        <f>IFERROR(VLOOKUP(Y686,SISP_Deflatores_e_INMs!B$4:F$49,3,FALSE),1)</f>
        <v>1</v>
      </c>
      <c r="AI686" s="190">
        <f>IFERROR(VLOOKUP(Y686,SISP_Deflatores_e_INMs!B$4:G$49,5,FALSE),1)</f>
        <v>1</v>
      </c>
      <c r="AJ686" s="191" t="str">
        <f t="shared" si="188"/>
        <v/>
      </c>
      <c r="AK686" s="237" t="str">
        <f t="shared" si="177"/>
        <v/>
      </c>
      <c r="AL686" s="237" t="str">
        <f t="shared" si="189"/>
        <v/>
      </c>
      <c r="AM686" s="192" t="e">
        <f t="shared" si="178"/>
        <v>#VALUE!</v>
      </c>
      <c r="AN686" s="193" t="e">
        <f t="shared" si="179"/>
        <v>#VALUE!</v>
      </c>
      <c r="AO686" s="193" t="e">
        <f t="shared" si="180"/>
        <v>#VALUE!</v>
      </c>
      <c r="AP686" s="193"/>
      <c r="AQ686" s="204"/>
      <c r="AR686" s="204"/>
      <c r="AS686" s="204"/>
      <c r="AT686" s="205"/>
      <c r="AU686"/>
    </row>
    <row r="687" spans="2:47" ht="15" customHeight="1" x14ac:dyDescent="0.25">
      <c r="B687" s="206"/>
      <c r="C687" s="185"/>
      <c r="D687" s="164"/>
      <c r="E687" s="174"/>
      <c r="F687" s="164"/>
      <c r="G687" s="174"/>
      <c r="H687" s="164"/>
      <c r="I687" s="174"/>
      <c r="J687" s="184"/>
      <c r="K687" s="186"/>
      <c r="L687" s="187" t="str">
        <f t="shared" si="181"/>
        <v/>
      </c>
      <c r="M687" s="187" t="str">
        <f t="shared" si="182"/>
        <v/>
      </c>
      <c r="N687" s="187" t="str">
        <f t="shared" si="174"/>
        <v>D</v>
      </c>
      <c r="O687" s="187" t="str">
        <f t="shared" si="183"/>
        <v>D</v>
      </c>
      <c r="P687" s="187">
        <f t="shared" si="184"/>
        <v>1</v>
      </c>
      <c r="Q687" s="187">
        <f>IFERROR(VLOOKUP(E687,Tabela_Deflator:E$43,5,FALSE),1)</f>
        <v>1</v>
      </c>
      <c r="R687" s="188" t="str">
        <f t="shared" si="185"/>
        <v/>
      </c>
      <c r="S687" s="237" t="str">
        <f t="shared" si="175"/>
        <v/>
      </c>
      <c r="T687" s="237" t="str">
        <f t="shared" si="190"/>
        <v/>
      </c>
      <c r="U687" s="189"/>
      <c r="V687" s="167"/>
      <c r="W687" s="165"/>
      <c r="X687" s="164"/>
      <c r="Y687" s="164"/>
      <c r="Z687" s="164"/>
      <c r="AA687" s="174"/>
      <c r="AB687" s="164"/>
      <c r="AC687" s="174"/>
      <c r="AD687" s="184"/>
      <c r="AE687" s="190" t="str">
        <f t="shared" si="186"/>
        <v/>
      </c>
      <c r="AF687" s="190" t="str">
        <f t="shared" si="187"/>
        <v/>
      </c>
      <c r="AG687" s="190" t="str">
        <f t="shared" si="176"/>
        <v>D</v>
      </c>
      <c r="AH687" s="190">
        <f>IFERROR(VLOOKUP(Y687,SISP_Deflatores_e_INMs!B$4:F$49,3,FALSE),1)</f>
        <v>1</v>
      </c>
      <c r="AI687" s="190">
        <f>IFERROR(VLOOKUP(Y687,SISP_Deflatores_e_INMs!B$4:G$49,5,FALSE),1)</f>
        <v>1</v>
      </c>
      <c r="AJ687" s="191" t="str">
        <f t="shared" si="188"/>
        <v/>
      </c>
      <c r="AK687" s="237" t="str">
        <f t="shared" si="177"/>
        <v/>
      </c>
      <c r="AL687" s="237" t="str">
        <f t="shared" si="189"/>
        <v/>
      </c>
      <c r="AM687" s="192" t="e">
        <f t="shared" si="178"/>
        <v>#VALUE!</v>
      </c>
      <c r="AN687" s="193" t="e">
        <f t="shared" si="179"/>
        <v>#VALUE!</v>
      </c>
      <c r="AO687" s="193" t="e">
        <f t="shared" si="180"/>
        <v>#VALUE!</v>
      </c>
      <c r="AP687" s="193"/>
      <c r="AQ687" s="204"/>
      <c r="AR687" s="204"/>
      <c r="AS687" s="204"/>
      <c r="AT687" s="205"/>
      <c r="AU687"/>
    </row>
    <row r="688" spans="2:47" ht="15" customHeight="1" x14ac:dyDescent="0.25">
      <c r="B688" s="206"/>
      <c r="C688" s="185"/>
      <c r="D688" s="164"/>
      <c r="E688" s="174"/>
      <c r="F688" s="164"/>
      <c r="G688" s="174"/>
      <c r="H688" s="164"/>
      <c r="I688" s="174"/>
      <c r="J688" s="184"/>
      <c r="K688" s="186"/>
      <c r="L688" s="187" t="str">
        <f t="shared" si="181"/>
        <v/>
      </c>
      <c r="M688" s="187" t="str">
        <f t="shared" si="182"/>
        <v/>
      </c>
      <c r="N688" s="187" t="str">
        <f t="shared" si="174"/>
        <v>D</v>
      </c>
      <c r="O688" s="187" t="str">
        <f t="shared" si="183"/>
        <v>D</v>
      </c>
      <c r="P688" s="187">
        <f t="shared" si="184"/>
        <v>1</v>
      </c>
      <c r="Q688" s="187">
        <f>IFERROR(VLOOKUP(E688,Tabela_Deflator:E$43,5,FALSE),1)</f>
        <v>1</v>
      </c>
      <c r="R688" s="188" t="str">
        <f t="shared" si="185"/>
        <v/>
      </c>
      <c r="S688" s="237" t="str">
        <f t="shared" si="175"/>
        <v/>
      </c>
      <c r="T688" s="237" t="str">
        <f t="shared" si="190"/>
        <v/>
      </c>
      <c r="U688" s="189"/>
      <c r="V688" s="167"/>
      <c r="W688" s="165"/>
      <c r="X688" s="164"/>
      <c r="Y688" s="164"/>
      <c r="Z688" s="164"/>
      <c r="AA688" s="174"/>
      <c r="AB688" s="164"/>
      <c r="AC688" s="174"/>
      <c r="AD688" s="184"/>
      <c r="AE688" s="190" t="str">
        <f t="shared" si="186"/>
        <v/>
      </c>
      <c r="AF688" s="190" t="str">
        <f t="shared" si="187"/>
        <v/>
      </c>
      <c r="AG688" s="190" t="str">
        <f t="shared" si="176"/>
        <v>D</v>
      </c>
      <c r="AH688" s="190">
        <f>IFERROR(VLOOKUP(Y688,SISP_Deflatores_e_INMs!B$4:F$49,3,FALSE),1)</f>
        <v>1</v>
      </c>
      <c r="AI688" s="190">
        <f>IFERROR(VLOOKUP(Y688,SISP_Deflatores_e_INMs!B$4:G$49,5,FALSE),1)</f>
        <v>1</v>
      </c>
      <c r="AJ688" s="191" t="str">
        <f t="shared" si="188"/>
        <v/>
      </c>
      <c r="AK688" s="237" t="str">
        <f t="shared" si="177"/>
        <v/>
      </c>
      <c r="AL688" s="237" t="str">
        <f t="shared" si="189"/>
        <v/>
      </c>
      <c r="AM688" s="192" t="e">
        <f t="shared" si="178"/>
        <v>#VALUE!</v>
      </c>
      <c r="AN688" s="193" t="e">
        <f t="shared" si="179"/>
        <v>#VALUE!</v>
      </c>
      <c r="AO688" s="193" t="e">
        <f t="shared" si="180"/>
        <v>#VALUE!</v>
      </c>
      <c r="AP688" s="193"/>
      <c r="AQ688" s="204"/>
      <c r="AR688" s="204"/>
      <c r="AS688" s="204"/>
      <c r="AT688" s="205"/>
      <c r="AU688"/>
    </row>
    <row r="689" spans="2:47" ht="15" customHeight="1" x14ac:dyDescent="0.25">
      <c r="B689" s="206"/>
      <c r="C689" s="185"/>
      <c r="D689" s="164"/>
      <c r="E689" s="174"/>
      <c r="F689" s="164"/>
      <c r="G689" s="174"/>
      <c r="H689" s="164"/>
      <c r="I689" s="174"/>
      <c r="J689" s="184"/>
      <c r="K689" s="186"/>
      <c r="L689" s="187" t="str">
        <f t="shared" si="181"/>
        <v/>
      </c>
      <c r="M689" s="187" t="str">
        <f t="shared" si="182"/>
        <v/>
      </c>
      <c r="N689" s="187" t="str">
        <f t="shared" si="174"/>
        <v>D</v>
      </c>
      <c r="O689" s="187" t="str">
        <f t="shared" si="183"/>
        <v>D</v>
      </c>
      <c r="P689" s="187">
        <f t="shared" si="184"/>
        <v>1</v>
      </c>
      <c r="Q689" s="187">
        <f>IFERROR(VLOOKUP(E689,Tabela_Deflator:E$43,5,FALSE),1)</f>
        <v>1</v>
      </c>
      <c r="R689" s="188" t="str">
        <f t="shared" si="185"/>
        <v/>
      </c>
      <c r="S689" s="237" t="str">
        <f t="shared" si="175"/>
        <v/>
      </c>
      <c r="T689" s="237" t="str">
        <f t="shared" si="190"/>
        <v/>
      </c>
      <c r="U689" s="189"/>
      <c r="V689" s="167"/>
      <c r="W689" s="165"/>
      <c r="X689" s="164"/>
      <c r="Y689" s="164"/>
      <c r="Z689" s="164"/>
      <c r="AA689" s="174"/>
      <c r="AB689" s="164"/>
      <c r="AC689" s="174"/>
      <c r="AD689" s="184"/>
      <c r="AE689" s="190" t="str">
        <f t="shared" si="186"/>
        <v/>
      </c>
      <c r="AF689" s="190" t="str">
        <f t="shared" si="187"/>
        <v/>
      </c>
      <c r="AG689" s="190" t="str">
        <f t="shared" si="176"/>
        <v>D</v>
      </c>
      <c r="AH689" s="190">
        <f>IFERROR(VLOOKUP(Y689,SISP_Deflatores_e_INMs!B$4:F$49,3,FALSE),1)</f>
        <v>1</v>
      </c>
      <c r="AI689" s="190">
        <f>IFERROR(VLOOKUP(Y689,SISP_Deflatores_e_INMs!B$4:G$49,5,FALSE),1)</f>
        <v>1</v>
      </c>
      <c r="AJ689" s="191" t="str">
        <f t="shared" si="188"/>
        <v/>
      </c>
      <c r="AK689" s="237" t="str">
        <f t="shared" si="177"/>
        <v/>
      </c>
      <c r="AL689" s="237" t="str">
        <f t="shared" si="189"/>
        <v/>
      </c>
      <c r="AM689" s="192" t="e">
        <f t="shared" si="178"/>
        <v>#VALUE!</v>
      </c>
      <c r="AN689" s="193" t="e">
        <f t="shared" si="179"/>
        <v>#VALUE!</v>
      </c>
      <c r="AO689" s="193" t="e">
        <f t="shared" si="180"/>
        <v>#VALUE!</v>
      </c>
      <c r="AP689" s="193"/>
      <c r="AQ689" s="204"/>
      <c r="AR689" s="204"/>
      <c r="AS689" s="204"/>
      <c r="AT689" s="205"/>
      <c r="AU689"/>
    </row>
    <row r="690" spans="2:47" ht="15" customHeight="1" x14ac:dyDescent="0.25">
      <c r="B690" s="206"/>
      <c r="C690" s="185"/>
      <c r="D690" s="164"/>
      <c r="E690" s="174"/>
      <c r="F690" s="164"/>
      <c r="G690" s="174"/>
      <c r="H690" s="164"/>
      <c r="I690" s="174"/>
      <c r="J690" s="184"/>
      <c r="K690" s="186"/>
      <c r="L690" s="187" t="str">
        <f t="shared" si="181"/>
        <v/>
      </c>
      <c r="M690" s="187" t="str">
        <f t="shared" si="182"/>
        <v/>
      </c>
      <c r="N690" s="187" t="str">
        <f t="shared" si="174"/>
        <v>D</v>
      </c>
      <c r="O690" s="187" t="str">
        <f t="shared" si="183"/>
        <v>D</v>
      </c>
      <c r="P690" s="187">
        <f t="shared" si="184"/>
        <v>1</v>
      </c>
      <c r="Q690" s="187">
        <f>IFERROR(VLOOKUP(E690,Tabela_Deflator:E$43,5,FALSE),1)</f>
        <v>1</v>
      </c>
      <c r="R690" s="188" t="str">
        <f t="shared" si="185"/>
        <v/>
      </c>
      <c r="S690" s="237" t="str">
        <f t="shared" si="175"/>
        <v/>
      </c>
      <c r="T690" s="237" t="str">
        <f t="shared" si="190"/>
        <v/>
      </c>
      <c r="U690" s="189"/>
      <c r="V690" s="167"/>
      <c r="W690" s="165"/>
      <c r="X690" s="164"/>
      <c r="Y690" s="164"/>
      <c r="Z690" s="164"/>
      <c r="AA690" s="174"/>
      <c r="AB690" s="164"/>
      <c r="AC690" s="174"/>
      <c r="AD690" s="184"/>
      <c r="AE690" s="190" t="str">
        <f t="shared" si="186"/>
        <v/>
      </c>
      <c r="AF690" s="190" t="str">
        <f t="shared" si="187"/>
        <v/>
      </c>
      <c r="AG690" s="190" t="str">
        <f t="shared" si="176"/>
        <v>D</v>
      </c>
      <c r="AH690" s="190">
        <f>IFERROR(VLOOKUP(Y690,SISP_Deflatores_e_INMs!B$4:F$49,3,FALSE),1)</f>
        <v>1</v>
      </c>
      <c r="AI690" s="190">
        <f>IFERROR(VLOOKUP(Y690,SISP_Deflatores_e_INMs!B$4:G$49,5,FALSE),1)</f>
        <v>1</v>
      </c>
      <c r="AJ690" s="191" t="str">
        <f t="shared" si="188"/>
        <v/>
      </c>
      <c r="AK690" s="237" t="str">
        <f t="shared" si="177"/>
        <v/>
      </c>
      <c r="AL690" s="237" t="str">
        <f t="shared" si="189"/>
        <v/>
      </c>
      <c r="AM690" s="192" t="e">
        <f t="shared" si="178"/>
        <v>#VALUE!</v>
      </c>
      <c r="AN690" s="193" t="e">
        <f t="shared" si="179"/>
        <v>#VALUE!</v>
      </c>
      <c r="AO690" s="193" t="e">
        <f t="shared" si="180"/>
        <v>#VALUE!</v>
      </c>
      <c r="AP690" s="193"/>
      <c r="AQ690" s="204"/>
      <c r="AR690" s="204"/>
      <c r="AS690" s="204"/>
      <c r="AT690" s="205"/>
      <c r="AU690"/>
    </row>
    <row r="691" spans="2:47" ht="15" customHeight="1" x14ac:dyDescent="0.25">
      <c r="B691" s="206"/>
      <c r="C691" s="185"/>
      <c r="D691" s="164"/>
      <c r="E691" s="174"/>
      <c r="F691" s="164"/>
      <c r="G691" s="174"/>
      <c r="H691" s="164"/>
      <c r="I691" s="174"/>
      <c r="J691" s="184"/>
      <c r="K691" s="186"/>
      <c r="L691" s="187" t="str">
        <f t="shared" si="181"/>
        <v/>
      </c>
      <c r="M691" s="187" t="str">
        <f t="shared" si="182"/>
        <v/>
      </c>
      <c r="N691" s="187" t="str">
        <f t="shared" si="174"/>
        <v>D</v>
      </c>
      <c r="O691" s="187" t="str">
        <f t="shared" si="183"/>
        <v>D</v>
      </c>
      <c r="P691" s="187">
        <f t="shared" si="184"/>
        <v>1</v>
      </c>
      <c r="Q691" s="187">
        <f>IFERROR(VLOOKUP(E691,Tabela_Deflator:E$43,5,FALSE),1)</f>
        <v>1</v>
      </c>
      <c r="R691" s="188" t="str">
        <f t="shared" si="185"/>
        <v/>
      </c>
      <c r="S691" s="237" t="str">
        <f t="shared" si="175"/>
        <v/>
      </c>
      <c r="T691" s="237" t="str">
        <f t="shared" si="190"/>
        <v/>
      </c>
      <c r="U691" s="189"/>
      <c r="V691" s="167"/>
      <c r="W691" s="165"/>
      <c r="X691" s="164"/>
      <c r="Y691" s="164"/>
      <c r="Z691" s="164"/>
      <c r="AA691" s="174"/>
      <c r="AB691" s="164"/>
      <c r="AC691" s="174"/>
      <c r="AD691" s="184"/>
      <c r="AE691" s="190" t="str">
        <f t="shared" si="186"/>
        <v/>
      </c>
      <c r="AF691" s="190" t="str">
        <f t="shared" si="187"/>
        <v/>
      </c>
      <c r="AG691" s="190" t="str">
        <f t="shared" si="176"/>
        <v>D</v>
      </c>
      <c r="AH691" s="190">
        <f>IFERROR(VLOOKUP(Y691,SISP_Deflatores_e_INMs!B$4:F$49,3,FALSE),1)</f>
        <v>1</v>
      </c>
      <c r="AI691" s="190">
        <f>IFERROR(VLOOKUP(Y691,SISP_Deflatores_e_INMs!B$4:G$49,5,FALSE),1)</f>
        <v>1</v>
      </c>
      <c r="AJ691" s="191" t="str">
        <f t="shared" si="188"/>
        <v/>
      </c>
      <c r="AK691" s="237" t="str">
        <f t="shared" si="177"/>
        <v/>
      </c>
      <c r="AL691" s="237" t="str">
        <f t="shared" si="189"/>
        <v/>
      </c>
      <c r="AM691" s="192" t="e">
        <f t="shared" si="178"/>
        <v>#VALUE!</v>
      </c>
      <c r="AN691" s="193" t="e">
        <f t="shared" si="179"/>
        <v>#VALUE!</v>
      </c>
      <c r="AO691" s="193" t="e">
        <f t="shared" si="180"/>
        <v>#VALUE!</v>
      </c>
      <c r="AP691" s="193"/>
      <c r="AQ691" s="204"/>
      <c r="AR691" s="204"/>
      <c r="AS691" s="204"/>
      <c r="AT691" s="205"/>
      <c r="AU691"/>
    </row>
    <row r="692" spans="2:47" ht="15" customHeight="1" x14ac:dyDescent="0.25">
      <c r="B692" s="206"/>
      <c r="C692" s="185"/>
      <c r="D692" s="164"/>
      <c r="E692" s="174"/>
      <c r="F692" s="164"/>
      <c r="G692" s="174"/>
      <c r="H692" s="164"/>
      <c r="I692" s="174"/>
      <c r="J692" s="184"/>
      <c r="K692" s="186"/>
      <c r="L692" s="187" t="str">
        <f t="shared" si="181"/>
        <v/>
      </c>
      <c r="M692" s="187" t="str">
        <f t="shared" si="182"/>
        <v/>
      </c>
      <c r="N692" s="187" t="str">
        <f t="shared" si="174"/>
        <v>D</v>
      </c>
      <c r="O692" s="187" t="str">
        <f t="shared" si="183"/>
        <v>D</v>
      </c>
      <c r="P692" s="187">
        <f t="shared" si="184"/>
        <v>1</v>
      </c>
      <c r="Q692" s="187">
        <f>IFERROR(VLOOKUP(E692,Tabela_Deflator:E$43,5,FALSE),1)</f>
        <v>1</v>
      </c>
      <c r="R692" s="188" t="str">
        <f t="shared" si="185"/>
        <v/>
      </c>
      <c r="S692" s="237" t="str">
        <f t="shared" si="175"/>
        <v/>
      </c>
      <c r="T692" s="237" t="str">
        <f t="shared" si="190"/>
        <v/>
      </c>
      <c r="U692" s="189"/>
      <c r="V692" s="167"/>
      <c r="W692" s="165"/>
      <c r="X692" s="164"/>
      <c r="Y692" s="164"/>
      <c r="Z692" s="164"/>
      <c r="AA692" s="174"/>
      <c r="AB692" s="164"/>
      <c r="AC692" s="174"/>
      <c r="AD692" s="184"/>
      <c r="AE692" s="190" t="str">
        <f t="shared" si="186"/>
        <v/>
      </c>
      <c r="AF692" s="190" t="str">
        <f t="shared" si="187"/>
        <v/>
      </c>
      <c r="AG692" s="190" t="str">
        <f t="shared" si="176"/>
        <v>D</v>
      </c>
      <c r="AH692" s="190">
        <f>IFERROR(VLOOKUP(Y692,SISP_Deflatores_e_INMs!B$4:F$49,3,FALSE),1)</f>
        <v>1</v>
      </c>
      <c r="AI692" s="190">
        <f>IFERROR(VLOOKUP(Y692,SISP_Deflatores_e_INMs!B$4:G$49,5,FALSE),1)</f>
        <v>1</v>
      </c>
      <c r="AJ692" s="191" t="str">
        <f t="shared" si="188"/>
        <v/>
      </c>
      <c r="AK692" s="237" t="str">
        <f t="shared" si="177"/>
        <v/>
      </c>
      <c r="AL692" s="237" t="str">
        <f t="shared" si="189"/>
        <v/>
      </c>
      <c r="AM692" s="192" t="e">
        <f t="shared" si="178"/>
        <v>#VALUE!</v>
      </c>
      <c r="AN692" s="193" t="e">
        <f t="shared" si="179"/>
        <v>#VALUE!</v>
      </c>
      <c r="AO692" s="193" t="e">
        <f t="shared" si="180"/>
        <v>#VALUE!</v>
      </c>
      <c r="AP692" s="193"/>
      <c r="AQ692" s="204"/>
      <c r="AR692" s="204"/>
      <c r="AS692" s="204"/>
      <c r="AT692" s="205"/>
      <c r="AU692"/>
    </row>
    <row r="693" spans="2:47" ht="15" customHeight="1" x14ac:dyDescent="0.25">
      <c r="B693" s="206"/>
      <c r="C693" s="185"/>
      <c r="D693" s="164"/>
      <c r="E693" s="174"/>
      <c r="F693" s="164"/>
      <c r="G693" s="174"/>
      <c r="H693" s="164"/>
      <c r="I693" s="174"/>
      <c r="J693" s="184"/>
      <c r="K693" s="186"/>
      <c r="L693" s="187" t="str">
        <f t="shared" si="181"/>
        <v/>
      </c>
      <c r="M693" s="187" t="str">
        <f t="shared" si="182"/>
        <v/>
      </c>
      <c r="N693" s="187" t="str">
        <f t="shared" si="174"/>
        <v>D</v>
      </c>
      <c r="O693" s="187" t="str">
        <f t="shared" si="183"/>
        <v>D</v>
      </c>
      <c r="P693" s="187">
        <f t="shared" si="184"/>
        <v>1</v>
      </c>
      <c r="Q693" s="187">
        <f>IFERROR(VLOOKUP(E693,Tabela_Deflator:E$43,5,FALSE),1)</f>
        <v>1</v>
      </c>
      <c r="R693" s="188" t="str">
        <f t="shared" si="185"/>
        <v/>
      </c>
      <c r="S693" s="237" t="str">
        <f t="shared" si="175"/>
        <v/>
      </c>
      <c r="T693" s="237" t="str">
        <f t="shared" si="190"/>
        <v/>
      </c>
      <c r="U693" s="189"/>
      <c r="V693" s="167"/>
      <c r="W693" s="165"/>
      <c r="X693" s="164"/>
      <c r="Y693" s="164"/>
      <c r="Z693" s="164"/>
      <c r="AA693" s="174"/>
      <c r="AB693" s="164"/>
      <c r="AC693" s="174"/>
      <c r="AD693" s="184"/>
      <c r="AE693" s="190" t="str">
        <f t="shared" si="186"/>
        <v/>
      </c>
      <c r="AF693" s="190" t="str">
        <f t="shared" si="187"/>
        <v/>
      </c>
      <c r="AG693" s="190" t="str">
        <f t="shared" si="176"/>
        <v>D</v>
      </c>
      <c r="AH693" s="190">
        <f>IFERROR(VLOOKUP(Y693,SISP_Deflatores_e_INMs!B$4:F$49,3,FALSE),1)</f>
        <v>1</v>
      </c>
      <c r="AI693" s="190">
        <f>IFERROR(VLOOKUP(Y693,SISP_Deflatores_e_INMs!B$4:G$49,5,FALSE),1)</f>
        <v>1</v>
      </c>
      <c r="AJ693" s="191" t="str">
        <f t="shared" si="188"/>
        <v/>
      </c>
      <c r="AK693" s="237" t="str">
        <f t="shared" si="177"/>
        <v/>
      </c>
      <c r="AL693" s="237" t="str">
        <f t="shared" si="189"/>
        <v/>
      </c>
      <c r="AM693" s="192" t="e">
        <f t="shared" si="178"/>
        <v>#VALUE!</v>
      </c>
      <c r="AN693" s="193" t="e">
        <f t="shared" si="179"/>
        <v>#VALUE!</v>
      </c>
      <c r="AO693" s="193" t="e">
        <f t="shared" si="180"/>
        <v>#VALUE!</v>
      </c>
      <c r="AP693" s="193"/>
      <c r="AQ693" s="204"/>
      <c r="AR693" s="204"/>
      <c r="AS693" s="204"/>
      <c r="AT693" s="205"/>
      <c r="AU693"/>
    </row>
    <row r="694" spans="2:47" ht="15" customHeight="1" x14ac:dyDescent="0.25">
      <c r="B694" s="206"/>
      <c r="C694" s="185"/>
      <c r="D694" s="164"/>
      <c r="E694" s="174"/>
      <c r="F694" s="164"/>
      <c r="G694" s="174"/>
      <c r="H694" s="164"/>
      <c r="I694" s="174"/>
      <c r="J694" s="184"/>
      <c r="K694" s="186"/>
      <c r="L694" s="187" t="str">
        <f t="shared" si="181"/>
        <v/>
      </c>
      <c r="M694" s="187" t="str">
        <f t="shared" si="182"/>
        <v/>
      </c>
      <c r="N694" s="187" t="str">
        <f t="shared" si="174"/>
        <v>D</v>
      </c>
      <c r="O694" s="187" t="str">
        <f t="shared" si="183"/>
        <v>D</v>
      </c>
      <c r="P694" s="187">
        <f t="shared" si="184"/>
        <v>1</v>
      </c>
      <c r="Q694" s="187">
        <f>IFERROR(VLOOKUP(E694,Tabela_Deflator:E$43,5,FALSE),1)</f>
        <v>1</v>
      </c>
      <c r="R694" s="188" t="str">
        <f t="shared" si="185"/>
        <v/>
      </c>
      <c r="S694" s="237" t="str">
        <f t="shared" si="175"/>
        <v/>
      </c>
      <c r="T694" s="237" t="str">
        <f t="shared" si="190"/>
        <v/>
      </c>
      <c r="U694" s="189"/>
      <c r="V694" s="167"/>
      <c r="W694" s="165"/>
      <c r="X694" s="164"/>
      <c r="Y694" s="164"/>
      <c r="Z694" s="164"/>
      <c r="AA694" s="174"/>
      <c r="AB694" s="164"/>
      <c r="AC694" s="174"/>
      <c r="AD694" s="184"/>
      <c r="AE694" s="190" t="str">
        <f t="shared" si="186"/>
        <v/>
      </c>
      <c r="AF694" s="190" t="str">
        <f t="shared" si="187"/>
        <v/>
      </c>
      <c r="AG694" s="190" t="str">
        <f t="shared" si="176"/>
        <v>D</v>
      </c>
      <c r="AH694" s="190">
        <f>IFERROR(VLOOKUP(Y694,SISP_Deflatores_e_INMs!B$4:F$49,3,FALSE),1)</f>
        <v>1</v>
      </c>
      <c r="AI694" s="190">
        <f>IFERROR(VLOOKUP(Y694,SISP_Deflatores_e_INMs!B$4:G$49,5,FALSE),1)</f>
        <v>1</v>
      </c>
      <c r="AJ694" s="191" t="str">
        <f t="shared" si="188"/>
        <v/>
      </c>
      <c r="AK694" s="237" t="str">
        <f t="shared" si="177"/>
        <v/>
      </c>
      <c r="AL694" s="237" t="str">
        <f t="shared" si="189"/>
        <v/>
      </c>
      <c r="AM694" s="192" t="e">
        <f t="shared" si="178"/>
        <v>#VALUE!</v>
      </c>
      <c r="AN694" s="193" t="e">
        <f t="shared" si="179"/>
        <v>#VALUE!</v>
      </c>
      <c r="AO694" s="193" t="e">
        <f t="shared" si="180"/>
        <v>#VALUE!</v>
      </c>
      <c r="AP694" s="193"/>
      <c r="AQ694" s="204"/>
      <c r="AR694" s="204"/>
      <c r="AS694" s="204"/>
      <c r="AT694" s="205"/>
      <c r="AU694"/>
    </row>
    <row r="695" spans="2:47" ht="15" customHeight="1" x14ac:dyDescent="0.25">
      <c r="B695" s="206"/>
      <c r="C695" s="185"/>
      <c r="D695" s="164"/>
      <c r="E695" s="174"/>
      <c r="F695" s="164"/>
      <c r="G695" s="174"/>
      <c r="H695" s="164"/>
      <c r="I695" s="174"/>
      <c r="J695" s="184"/>
      <c r="K695" s="186"/>
      <c r="L695" s="187" t="str">
        <f t="shared" si="181"/>
        <v/>
      </c>
      <c r="M695" s="187" t="str">
        <f t="shared" si="182"/>
        <v/>
      </c>
      <c r="N695" s="187" t="str">
        <f t="shared" si="174"/>
        <v>D</v>
      </c>
      <c r="O695" s="187" t="str">
        <f t="shared" si="183"/>
        <v>D</v>
      </c>
      <c r="P695" s="187">
        <f t="shared" si="184"/>
        <v>1</v>
      </c>
      <c r="Q695" s="187">
        <f>IFERROR(VLOOKUP(E695,Tabela_Deflator:E$43,5,FALSE),1)</f>
        <v>1</v>
      </c>
      <c r="R695" s="188" t="str">
        <f t="shared" si="185"/>
        <v/>
      </c>
      <c r="S695" s="237" t="str">
        <f t="shared" si="175"/>
        <v/>
      </c>
      <c r="T695" s="237" t="str">
        <f t="shared" si="190"/>
        <v/>
      </c>
      <c r="U695" s="189"/>
      <c r="V695" s="167"/>
      <c r="W695" s="165"/>
      <c r="X695" s="164"/>
      <c r="Y695" s="164"/>
      <c r="Z695" s="164"/>
      <c r="AA695" s="174"/>
      <c r="AB695" s="164"/>
      <c r="AC695" s="174"/>
      <c r="AD695" s="184"/>
      <c r="AE695" s="190" t="str">
        <f t="shared" si="186"/>
        <v/>
      </c>
      <c r="AF695" s="190" t="str">
        <f t="shared" si="187"/>
        <v/>
      </c>
      <c r="AG695" s="190" t="str">
        <f t="shared" si="176"/>
        <v>D</v>
      </c>
      <c r="AH695" s="190">
        <f>IFERROR(VLOOKUP(Y695,SISP_Deflatores_e_INMs!B$4:F$49,3,FALSE),1)</f>
        <v>1</v>
      </c>
      <c r="AI695" s="190">
        <f>IFERROR(VLOOKUP(Y695,SISP_Deflatores_e_INMs!B$4:G$49,5,FALSE),1)</f>
        <v>1</v>
      </c>
      <c r="AJ695" s="191" t="str">
        <f t="shared" si="188"/>
        <v/>
      </c>
      <c r="AK695" s="237" t="str">
        <f t="shared" si="177"/>
        <v/>
      </c>
      <c r="AL695" s="237" t="str">
        <f t="shared" si="189"/>
        <v/>
      </c>
      <c r="AM695" s="192" t="e">
        <f t="shared" si="178"/>
        <v>#VALUE!</v>
      </c>
      <c r="AN695" s="193" t="e">
        <f t="shared" si="179"/>
        <v>#VALUE!</v>
      </c>
      <c r="AO695" s="193" t="e">
        <f t="shared" si="180"/>
        <v>#VALUE!</v>
      </c>
      <c r="AP695" s="193"/>
      <c r="AQ695" s="204"/>
      <c r="AR695" s="204"/>
      <c r="AS695" s="204"/>
      <c r="AT695" s="205"/>
      <c r="AU695"/>
    </row>
    <row r="696" spans="2:47" ht="15" customHeight="1" x14ac:dyDescent="0.25">
      <c r="B696" s="206"/>
      <c r="C696" s="185"/>
      <c r="D696" s="164"/>
      <c r="E696" s="174"/>
      <c r="F696" s="164"/>
      <c r="G696" s="174"/>
      <c r="H696" s="164"/>
      <c r="I696" s="174"/>
      <c r="J696" s="184"/>
      <c r="K696" s="186"/>
      <c r="L696" s="187" t="str">
        <f t="shared" si="181"/>
        <v/>
      </c>
      <c r="M696" s="187" t="str">
        <f t="shared" si="182"/>
        <v/>
      </c>
      <c r="N696" s="187" t="str">
        <f t="shared" si="174"/>
        <v>D</v>
      </c>
      <c r="O696" s="187" t="str">
        <f t="shared" si="183"/>
        <v>D</v>
      </c>
      <c r="P696" s="187">
        <f t="shared" si="184"/>
        <v>1</v>
      </c>
      <c r="Q696" s="187">
        <f>IFERROR(VLOOKUP(E696,Tabela_Deflator:E$43,5,FALSE),1)</f>
        <v>1</v>
      </c>
      <c r="R696" s="188" t="str">
        <f t="shared" si="185"/>
        <v/>
      </c>
      <c r="S696" s="237" t="str">
        <f t="shared" si="175"/>
        <v/>
      </c>
      <c r="T696" s="237" t="str">
        <f t="shared" si="190"/>
        <v/>
      </c>
      <c r="U696" s="189"/>
      <c r="V696" s="167"/>
      <c r="W696" s="165"/>
      <c r="X696" s="164"/>
      <c r="Y696" s="164"/>
      <c r="Z696" s="164"/>
      <c r="AA696" s="174"/>
      <c r="AB696" s="164"/>
      <c r="AC696" s="174"/>
      <c r="AD696" s="184"/>
      <c r="AE696" s="190" t="str">
        <f t="shared" si="186"/>
        <v/>
      </c>
      <c r="AF696" s="190" t="str">
        <f t="shared" si="187"/>
        <v/>
      </c>
      <c r="AG696" s="190" t="str">
        <f t="shared" si="176"/>
        <v>D</v>
      </c>
      <c r="AH696" s="190">
        <f>IFERROR(VLOOKUP(Y696,SISP_Deflatores_e_INMs!B$4:F$49,3,FALSE),1)</f>
        <v>1</v>
      </c>
      <c r="AI696" s="190">
        <f>IFERROR(VLOOKUP(Y696,SISP_Deflatores_e_INMs!B$4:G$49,5,FALSE),1)</f>
        <v>1</v>
      </c>
      <c r="AJ696" s="191" t="str">
        <f t="shared" si="188"/>
        <v/>
      </c>
      <c r="AK696" s="237" t="str">
        <f t="shared" si="177"/>
        <v/>
      </c>
      <c r="AL696" s="237" t="str">
        <f t="shared" si="189"/>
        <v/>
      </c>
      <c r="AM696" s="192" t="e">
        <f t="shared" si="178"/>
        <v>#VALUE!</v>
      </c>
      <c r="AN696" s="193" t="e">
        <f t="shared" si="179"/>
        <v>#VALUE!</v>
      </c>
      <c r="AO696" s="193" t="e">
        <f t="shared" si="180"/>
        <v>#VALUE!</v>
      </c>
      <c r="AP696" s="193"/>
      <c r="AQ696" s="204"/>
      <c r="AR696" s="204"/>
      <c r="AS696" s="204"/>
      <c r="AT696" s="205"/>
      <c r="AU696"/>
    </row>
    <row r="697" spans="2:47" ht="15" customHeight="1" x14ac:dyDescent="0.25">
      <c r="B697" s="206"/>
      <c r="C697" s="185"/>
      <c r="D697" s="164"/>
      <c r="E697" s="174"/>
      <c r="F697" s="164"/>
      <c r="G697" s="174"/>
      <c r="H697" s="164"/>
      <c r="I697" s="174"/>
      <c r="J697" s="184"/>
      <c r="K697" s="186"/>
      <c r="L697" s="187" t="str">
        <f t="shared" si="181"/>
        <v/>
      </c>
      <c r="M697" s="187" t="str">
        <f t="shared" si="182"/>
        <v/>
      </c>
      <c r="N697" s="187" t="str">
        <f t="shared" si="174"/>
        <v>D</v>
      </c>
      <c r="O697" s="187" t="str">
        <f t="shared" si="183"/>
        <v>D</v>
      </c>
      <c r="P697" s="187">
        <f t="shared" si="184"/>
        <v>1</v>
      </c>
      <c r="Q697" s="187">
        <f>IFERROR(VLOOKUP(E697,Tabela_Deflator:E$43,5,FALSE),1)</f>
        <v>1</v>
      </c>
      <c r="R697" s="188" t="str">
        <f t="shared" si="185"/>
        <v/>
      </c>
      <c r="S697" s="237" t="str">
        <f t="shared" si="175"/>
        <v/>
      </c>
      <c r="T697" s="237" t="str">
        <f t="shared" si="190"/>
        <v/>
      </c>
      <c r="U697" s="189"/>
      <c r="V697" s="167"/>
      <c r="W697" s="165"/>
      <c r="X697" s="164"/>
      <c r="Y697" s="164"/>
      <c r="Z697" s="164"/>
      <c r="AA697" s="174"/>
      <c r="AB697" s="164"/>
      <c r="AC697" s="174"/>
      <c r="AD697" s="184"/>
      <c r="AE697" s="190" t="str">
        <f t="shared" si="186"/>
        <v/>
      </c>
      <c r="AF697" s="190" t="str">
        <f t="shared" si="187"/>
        <v/>
      </c>
      <c r="AG697" s="190" t="str">
        <f t="shared" si="176"/>
        <v>D</v>
      </c>
      <c r="AH697" s="190">
        <f>IFERROR(VLOOKUP(Y697,SISP_Deflatores_e_INMs!B$4:F$49,3,FALSE),1)</f>
        <v>1</v>
      </c>
      <c r="AI697" s="190">
        <f>IFERROR(VLOOKUP(Y697,SISP_Deflatores_e_INMs!B$4:G$49,5,FALSE),1)</f>
        <v>1</v>
      </c>
      <c r="AJ697" s="191" t="str">
        <f t="shared" si="188"/>
        <v/>
      </c>
      <c r="AK697" s="237" t="str">
        <f t="shared" si="177"/>
        <v/>
      </c>
      <c r="AL697" s="237" t="str">
        <f t="shared" si="189"/>
        <v/>
      </c>
      <c r="AM697" s="192" t="e">
        <f t="shared" si="178"/>
        <v>#VALUE!</v>
      </c>
      <c r="AN697" s="193" t="e">
        <f t="shared" si="179"/>
        <v>#VALUE!</v>
      </c>
      <c r="AO697" s="193" t="e">
        <f t="shared" si="180"/>
        <v>#VALUE!</v>
      </c>
      <c r="AP697" s="193"/>
      <c r="AQ697" s="204"/>
      <c r="AR697" s="204"/>
      <c r="AS697" s="204"/>
      <c r="AT697" s="205"/>
      <c r="AU697"/>
    </row>
    <row r="698" spans="2:47" ht="15" customHeight="1" x14ac:dyDescent="0.25">
      <c r="B698" s="206"/>
      <c r="C698" s="185"/>
      <c r="D698" s="164"/>
      <c r="E698" s="174"/>
      <c r="F698" s="164"/>
      <c r="G698" s="174"/>
      <c r="H698" s="164"/>
      <c r="I698" s="174"/>
      <c r="J698" s="184"/>
      <c r="K698" s="186"/>
      <c r="L698" s="187" t="str">
        <f t="shared" si="181"/>
        <v/>
      </c>
      <c r="M698" s="187" t="str">
        <f t="shared" si="182"/>
        <v/>
      </c>
      <c r="N698" s="187" t="str">
        <f t="shared" si="174"/>
        <v>D</v>
      </c>
      <c r="O698" s="187" t="str">
        <f t="shared" si="183"/>
        <v>D</v>
      </c>
      <c r="P698" s="187">
        <f t="shared" si="184"/>
        <v>1</v>
      </c>
      <c r="Q698" s="187">
        <f>IFERROR(VLOOKUP(E698,Tabela_Deflator:E$43,5,FALSE),1)</f>
        <v>1</v>
      </c>
      <c r="R698" s="188" t="str">
        <f t="shared" si="185"/>
        <v/>
      </c>
      <c r="S698" s="237" t="str">
        <f t="shared" si="175"/>
        <v/>
      </c>
      <c r="T698" s="237" t="str">
        <f t="shared" si="190"/>
        <v/>
      </c>
      <c r="U698" s="189"/>
      <c r="V698" s="167"/>
      <c r="W698" s="165"/>
      <c r="X698" s="164"/>
      <c r="Y698" s="164"/>
      <c r="Z698" s="164"/>
      <c r="AA698" s="174"/>
      <c r="AB698" s="164"/>
      <c r="AC698" s="174"/>
      <c r="AD698" s="184"/>
      <c r="AE698" s="190" t="str">
        <f t="shared" si="186"/>
        <v/>
      </c>
      <c r="AF698" s="190" t="str">
        <f t="shared" si="187"/>
        <v/>
      </c>
      <c r="AG698" s="190" t="str">
        <f t="shared" si="176"/>
        <v>D</v>
      </c>
      <c r="AH698" s="190">
        <f>IFERROR(VLOOKUP(Y698,SISP_Deflatores_e_INMs!B$4:F$49,3,FALSE),1)</f>
        <v>1</v>
      </c>
      <c r="AI698" s="190">
        <f>IFERROR(VLOOKUP(Y698,SISP_Deflatores_e_INMs!B$4:G$49,5,FALSE),1)</f>
        <v>1</v>
      </c>
      <c r="AJ698" s="191" t="str">
        <f t="shared" si="188"/>
        <v/>
      </c>
      <c r="AK698" s="237" t="str">
        <f t="shared" si="177"/>
        <v/>
      </c>
      <c r="AL698" s="237" t="str">
        <f t="shared" si="189"/>
        <v/>
      </c>
      <c r="AM698" s="192" t="e">
        <f t="shared" si="178"/>
        <v>#VALUE!</v>
      </c>
      <c r="AN698" s="193" t="e">
        <f t="shared" si="179"/>
        <v>#VALUE!</v>
      </c>
      <c r="AO698" s="193" t="e">
        <f t="shared" si="180"/>
        <v>#VALUE!</v>
      </c>
      <c r="AP698" s="193"/>
      <c r="AQ698" s="204"/>
      <c r="AR698" s="204"/>
      <c r="AS698" s="204"/>
      <c r="AT698" s="205"/>
      <c r="AU698"/>
    </row>
    <row r="699" spans="2:47" ht="15" customHeight="1" x14ac:dyDescent="0.25">
      <c r="B699" s="206"/>
      <c r="C699" s="185"/>
      <c r="D699" s="164"/>
      <c r="E699" s="174"/>
      <c r="F699" s="164"/>
      <c r="G699" s="174"/>
      <c r="H699" s="164"/>
      <c r="I699" s="174"/>
      <c r="J699" s="184"/>
      <c r="K699" s="186"/>
      <c r="L699" s="187" t="str">
        <f t="shared" si="181"/>
        <v/>
      </c>
      <c r="M699" s="187" t="str">
        <f t="shared" si="182"/>
        <v/>
      </c>
      <c r="N699" s="187" t="str">
        <f t="shared" si="174"/>
        <v>D</v>
      </c>
      <c r="O699" s="187" t="str">
        <f t="shared" si="183"/>
        <v>D</v>
      </c>
      <c r="P699" s="187">
        <f t="shared" si="184"/>
        <v>1</v>
      </c>
      <c r="Q699" s="187">
        <f>IFERROR(VLOOKUP(E699,Tabela_Deflator:E$43,5,FALSE),1)</f>
        <v>1</v>
      </c>
      <c r="R699" s="188" t="str">
        <f t="shared" si="185"/>
        <v/>
      </c>
      <c r="S699" s="237" t="str">
        <f t="shared" si="175"/>
        <v/>
      </c>
      <c r="T699" s="237" t="str">
        <f t="shared" si="190"/>
        <v/>
      </c>
      <c r="U699" s="189"/>
      <c r="V699" s="167"/>
      <c r="W699" s="165"/>
      <c r="X699" s="164"/>
      <c r="Y699" s="164"/>
      <c r="Z699" s="164"/>
      <c r="AA699" s="174"/>
      <c r="AB699" s="164"/>
      <c r="AC699" s="174"/>
      <c r="AD699" s="184"/>
      <c r="AE699" s="190" t="str">
        <f t="shared" si="186"/>
        <v/>
      </c>
      <c r="AF699" s="190" t="str">
        <f t="shared" si="187"/>
        <v/>
      </c>
      <c r="AG699" s="190" t="str">
        <f t="shared" si="176"/>
        <v>D</v>
      </c>
      <c r="AH699" s="190">
        <f>IFERROR(VLOOKUP(Y699,SISP_Deflatores_e_INMs!B$4:F$49,3,FALSE),1)</f>
        <v>1</v>
      </c>
      <c r="AI699" s="190">
        <f>IFERROR(VLOOKUP(Y699,SISP_Deflatores_e_INMs!B$4:G$49,5,FALSE),1)</f>
        <v>1</v>
      </c>
      <c r="AJ699" s="191" t="str">
        <f t="shared" si="188"/>
        <v/>
      </c>
      <c r="AK699" s="237" t="str">
        <f t="shared" si="177"/>
        <v/>
      </c>
      <c r="AL699" s="237" t="str">
        <f t="shared" si="189"/>
        <v/>
      </c>
      <c r="AM699" s="192" t="e">
        <f t="shared" si="178"/>
        <v>#VALUE!</v>
      </c>
      <c r="AN699" s="193" t="e">
        <f t="shared" si="179"/>
        <v>#VALUE!</v>
      </c>
      <c r="AO699" s="193" t="e">
        <f t="shared" si="180"/>
        <v>#VALUE!</v>
      </c>
      <c r="AP699" s="193"/>
      <c r="AQ699" s="204"/>
      <c r="AR699" s="204"/>
      <c r="AS699" s="204"/>
      <c r="AT699" s="205"/>
      <c r="AU699"/>
    </row>
    <row r="700" spans="2:47" ht="15" customHeight="1" x14ac:dyDescent="0.25">
      <c r="B700" s="206"/>
      <c r="C700" s="185"/>
      <c r="D700" s="164"/>
      <c r="E700" s="174"/>
      <c r="F700" s="164"/>
      <c r="G700" s="174"/>
      <c r="H700" s="164"/>
      <c r="I700" s="174"/>
      <c r="J700" s="184"/>
      <c r="K700" s="186"/>
      <c r="L700" s="187" t="str">
        <f t="shared" si="181"/>
        <v/>
      </c>
      <c r="M700" s="187" t="str">
        <f t="shared" si="182"/>
        <v/>
      </c>
      <c r="N700" s="187" t="str">
        <f t="shared" si="174"/>
        <v>D</v>
      </c>
      <c r="O700" s="187" t="str">
        <f t="shared" si="183"/>
        <v>D</v>
      </c>
      <c r="P700" s="187">
        <f t="shared" si="184"/>
        <v>1</v>
      </c>
      <c r="Q700" s="187">
        <f>IFERROR(VLOOKUP(E700,Tabela_Deflator:E$43,5,FALSE),1)</f>
        <v>1</v>
      </c>
      <c r="R700" s="188" t="str">
        <f t="shared" si="185"/>
        <v/>
      </c>
      <c r="S700" s="237" t="str">
        <f t="shared" si="175"/>
        <v/>
      </c>
      <c r="T700" s="237" t="str">
        <f t="shared" si="190"/>
        <v/>
      </c>
      <c r="U700" s="189"/>
      <c r="V700" s="167"/>
      <c r="W700" s="165"/>
      <c r="X700" s="164"/>
      <c r="Y700" s="164"/>
      <c r="Z700" s="164"/>
      <c r="AA700" s="174"/>
      <c r="AB700" s="164"/>
      <c r="AC700" s="174"/>
      <c r="AD700" s="184"/>
      <c r="AE700" s="190" t="str">
        <f t="shared" si="186"/>
        <v/>
      </c>
      <c r="AF700" s="190" t="str">
        <f t="shared" si="187"/>
        <v/>
      </c>
      <c r="AG700" s="190" t="str">
        <f t="shared" si="176"/>
        <v>D</v>
      </c>
      <c r="AH700" s="190">
        <f>IFERROR(VLOOKUP(Y700,SISP_Deflatores_e_INMs!B$4:F$49,3,FALSE),1)</f>
        <v>1</v>
      </c>
      <c r="AI700" s="190">
        <f>IFERROR(VLOOKUP(Y700,SISP_Deflatores_e_INMs!B$4:G$49,5,FALSE),1)</f>
        <v>1</v>
      </c>
      <c r="AJ700" s="191" t="str">
        <f t="shared" si="188"/>
        <v/>
      </c>
      <c r="AK700" s="237" t="str">
        <f t="shared" si="177"/>
        <v/>
      </c>
      <c r="AL700" s="237" t="str">
        <f t="shared" si="189"/>
        <v/>
      </c>
      <c r="AM700" s="192" t="e">
        <f t="shared" si="178"/>
        <v>#VALUE!</v>
      </c>
      <c r="AN700" s="193" t="e">
        <f t="shared" si="179"/>
        <v>#VALUE!</v>
      </c>
      <c r="AO700" s="193" t="e">
        <f t="shared" si="180"/>
        <v>#VALUE!</v>
      </c>
      <c r="AP700" s="193"/>
      <c r="AQ700" s="204"/>
      <c r="AR700" s="204"/>
      <c r="AS700" s="204"/>
      <c r="AT700" s="205"/>
      <c r="AU700"/>
    </row>
    <row r="701" spans="2:47" ht="15" customHeight="1" x14ac:dyDescent="0.25">
      <c r="B701" s="206"/>
      <c r="C701" s="185"/>
      <c r="D701" s="164"/>
      <c r="E701" s="174"/>
      <c r="F701" s="164"/>
      <c r="G701" s="174"/>
      <c r="H701" s="164"/>
      <c r="I701" s="174"/>
      <c r="J701" s="184"/>
      <c r="K701" s="186"/>
      <c r="L701" s="187" t="str">
        <f t="shared" si="181"/>
        <v/>
      </c>
      <c r="M701" s="187" t="str">
        <f t="shared" si="182"/>
        <v/>
      </c>
      <c r="N701" s="187" t="str">
        <f t="shared" si="174"/>
        <v>D</v>
      </c>
      <c r="O701" s="187" t="str">
        <f t="shared" si="183"/>
        <v>D</v>
      </c>
      <c r="P701" s="187">
        <f t="shared" si="184"/>
        <v>1</v>
      </c>
      <c r="Q701" s="187">
        <f>IFERROR(VLOOKUP(E701,Tabela_Deflator:E$43,5,FALSE),1)</f>
        <v>1</v>
      </c>
      <c r="R701" s="188" t="str">
        <f t="shared" si="185"/>
        <v/>
      </c>
      <c r="S701" s="237" t="str">
        <f t="shared" si="175"/>
        <v/>
      </c>
      <c r="T701" s="237" t="str">
        <f t="shared" si="190"/>
        <v/>
      </c>
      <c r="U701" s="189"/>
      <c r="V701" s="167"/>
      <c r="W701" s="165"/>
      <c r="X701" s="164"/>
      <c r="Y701" s="164"/>
      <c r="Z701" s="164"/>
      <c r="AA701" s="174"/>
      <c r="AB701" s="164"/>
      <c r="AC701" s="174"/>
      <c r="AD701" s="184"/>
      <c r="AE701" s="190" t="str">
        <f t="shared" si="186"/>
        <v/>
      </c>
      <c r="AF701" s="190" t="str">
        <f t="shared" si="187"/>
        <v/>
      </c>
      <c r="AG701" s="190" t="str">
        <f t="shared" si="176"/>
        <v>D</v>
      </c>
      <c r="AH701" s="190">
        <f>IFERROR(VLOOKUP(Y701,SISP_Deflatores_e_INMs!B$4:F$49,3,FALSE),1)</f>
        <v>1</v>
      </c>
      <c r="AI701" s="190">
        <f>IFERROR(VLOOKUP(Y701,SISP_Deflatores_e_INMs!B$4:G$49,5,FALSE),1)</f>
        <v>1</v>
      </c>
      <c r="AJ701" s="191" t="str">
        <f t="shared" si="188"/>
        <v/>
      </c>
      <c r="AK701" s="237" t="str">
        <f t="shared" si="177"/>
        <v/>
      </c>
      <c r="AL701" s="237" t="str">
        <f t="shared" si="189"/>
        <v/>
      </c>
      <c r="AM701" s="192" t="e">
        <f t="shared" si="178"/>
        <v>#VALUE!</v>
      </c>
      <c r="AN701" s="193" t="e">
        <f t="shared" si="179"/>
        <v>#VALUE!</v>
      </c>
      <c r="AO701" s="193" t="e">
        <f t="shared" si="180"/>
        <v>#VALUE!</v>
      </c>
      <c r="AP701" s="193"/>
      <c r="AQ701" s="204"/>
      <c r="AR701" s="204"/>
      <c r="AS701" s="204"/>
      <c r="AT701" s="205"/>
      <c r="AU701"/>
    </row>
    <row r="702" spans="2:47" ht="15" customHeight="1" x14ac:dyDescent="0.25">
      <c r="B702" s="206"/>
      <c r="C702" s="185"/>
      <c r="D702" s="164"/>
      <c r="E702" s="174"/>
      <c r="F702" s="164"/>
      <c r="G702" s="174"/>
      <c r="H702" s="164"/>
      <c r="I702" s="174"/>
      <c r="J702" s="184"/>
      <c r="K702" s="186"/>
      <c r="L702" s="187" t="str">
        <f t="shared" si="181"/>
        <v/>
      </c>
      <c r="M702" s="187" t="str">
        <f t="shared" si="182"/>
        <v/>
      </c>
      <c r="N702" s="187" t="str">
        <f t="shared" si="174"/>
        <v>D</v>
      </c>
      <c r="O702" s="187" t="str">
        <f t="shared" si="183"/>
        <v>D</v>
      </c>
      <c r="P702" s="187">
        <f t="shared" si="184"/>
        <v>1</v>
      </c>
      <c r="Q702" s="187">
        <f>IFERROR(VLOOKUP(E702,Tabela_Deflator:E$43,5,FALSE),1)</f>
        <v>1</v>
      </c>
      <c r="R702" s="188" t="str">
        <f t="shared" si="185"/>
        <v/>
      </c>
      <c r="S702" s="237" t="str">
        <f t="shared" si="175"/>
        <v/>
      </c>
      <c r="T702" s="237" t="str">
        <f t="shared" si="190"/>
        <v/>
      </c>
      <c r="U702" s="189"/>
      <c r="V702" s="167"/>
      <c r="W702" s="165"/>
      <c r="X702" s="164"/>
      <c r="Y702" s="164"/>
      <c r="Z702" s="164"/>
      <c r="AA702" s="174"/>
      <c r="AB702" s="164"/>
      <c r="AC702" s="174"/>
      <c r="AD702" s="184"/>
      <c r="AE702" s="190" t="str">
        <f t="shared" si="186"/>
        <v/>
      </c>
      <c r="AF702" s="190" t="str">
        <f t="shared" si="187"/>
        <v/>
      </c>
      <c r="AG702" s="190" t="str">
        <f t="shared" si="176"/>
        <v>D</v>
      </c>
      <c r="AH702" s="190">
        <f>IFERROR(VLOOKUP(Y702,SISP_Deflatores_e_INMs!B$4:F$49,3,FALSE),1)</f>
        <v>1</v>
      </c>
      <c r="AI702" s="190">
        <f>IFERROR(VLOOKUP(Y702,SISP_Deflatores_e_INMs!B$4:G$49,5,FALSE),1)</f>
        <v>1</v>
      </c>
      <c r="AJ702" s="191" t="str">
        <f t="shared" si="188"/>
        <v/>
      </c>
      <c r="AK702" s="237" t="str">
        <f t="shared" si="177"/>
        <v/>
      </c>
      <c r="AL702" s="237" t="str">
        <f t="shared" si="189"/>
        <v/>
      </c>
      <c r="AM702" s="192" t="e">
        <f t="shared" si="178"/>
        <v>#VALUE!</v>
      </c>
      <c r="AN702" s="193" t="e">
        <f t="shared" si="179"/>
        <v>#VALUE!</v>
      </c>
      <c r="AO702" s="193" t="e">
        <f t="shared" si="180"/>
        <v>#VALUE!</v>
      </c>
      <c r="AP702" s="193"/>
      <c r="AQ702" s="204"/>
      <c r="AR702" s="204"/>
      <c r="AS702" s="204"/>
      <c r="AT702" s="205"/>
      <c r="AU702"/>
    </row>
    <row r="703" spans="2:47" ht="15" customHeight="1" x14ac:dyDescent="0.25">
      <c r="B703" s="206"/>
      <c r="C703" s="185"/>
      <c r="D703" s="164"/>
      <c r="E703" s="174"/>
      <c r="F703" s="164"/>
      <c r="G703" s="174"/>
      <c r="H703" s="164"/>
      <c r="I703" s="174"/>
      <c r="J703" s="184"/>
      <c r="K703" s="186"/>
      <c r="L703" s="187" t="str">
        <f t="shared" si="181"/>
        <v/>
      </c>
      <c r="M703" s="187" t="str">
        <f t="shared" si="182"/>
        <v/>
      </c>
      <c r="N703" s="187" t="str">
        <f t="shared" si="174"/>
        <v>D</v>
      </c>
      <c r="O703" s="187" t="str">
        <f t="shared" si="183"/>
        <v>D</v>
      </c>
      <c r="P703" s="187">
        <f t="shared" si="184"/>
        <v>1</v>
      </c>
      <c r="Q703" s="187">
        <f>IFERROR(VLOOKUP(E703,Tabela_Deflator:E$43,5,FALSE),1)</f>
        <v>1</v>
      </c>
      <c r="R703" s="188" t="str">
        <f t="shared" si="185"/>
        <v/>
      </c>
      <c r="S703" s="237" t="str">
        <f t="shared" si="175"/>
        <v/>
      </c>
      <c r="T703" s="237" t="str">
        <f t="shared" si="190"/>
        <v/>
      </c>
      <c r="U703" s="189"/>
      <c r="V703" s="167"/>
      <c r="W703" s="165"/>
      <c r="X703" s="164"/>
      <c r="Y703" s="164"/>
      <c r="Z703" s="164"/>
      <c r="AA703" s="174"/>
      <c r="AB703" s="164"/>
      <c r="AC703" s="174"/>
      <c r="AD703" s="184"/>
      <c r="AE703" s="190" t="str">
        <f t="shared" si="186"/>
        <v/>
      </c>
      <c r="AF703" s="190" t="str">
        <f t="shared" si="187"/>
        <v/>
      </c>
      <c r="AG703" s="190" t="str">
        <f t="shared" si="176"/>
        <v>D</v>
      </c>
      <c r="AH703" s="190">
        <f>IFERROR(VLOOKUP(Y703,SISP_Deflatores_e_INMs!B$4:F$49,3,FALSE),1)</f>
        <v>1</v>
      </c>
      <c r="AI703" s="190">
        <f>IFERROR(VLOOKUP(Y703,SISP_Deflatores_e_INMs!B$4:G$49,5,FALSE),1)</f>
        <v>1</v>
      </c>
      <c r="AJ703" s="191" t="str">
        <f t="shared" si="188"/>
        <v/>
      </c>
      <c r="AK703" s="237" t="str">
        <f t="shared" si="177"/>
        <v/>
      </c>
      <c r="AL703" s="237" t="str">
        <f t="shared" si="189"/>
        <v/>
      </c>
      <c r="AM703" s="192" t="e">
        <f t="shared" si="178"/>
        <v>#VALUE!</v>
      </c>
      <c r="AN703" s="193" t="e">
        <f t="shared" si="179"/>
        <v>#VALUE!</v>
      </c>
      <c r="AO703" s="193" t="e">
        <f t="shared" si="180"/>
        <v>#VALUE!</v>
      </c>
      <c r="AP703" s="193"/>
      <c r="AQ703" s="204"/>
      <c r="AR703" s="204"/>
      <c r="AS703" s="204"/>
      <c r="AT703" s="205"/>
      <c r="AU703"/>
    </row>
    <row r="704" spans="2:47" ht="15" customHeight="1" x14ac:dyDescent="0.25">
      <c r="B704" s="206"/>
      <c r="C704" s="185"/>
      <c r="D704" s="164"/>
      <c r="E704" s="174"/>
      <c r="F704" s="164"/>
      <c r="G704" s="174"/>
      <c r="H704" s="164"/>
      <c r="I704" s="174"/>
      <c r="J704" s="184"/>
      <c r="K704" s="186"/>
      <c r="L704" s="187" t="str">
        <f t="shared" si="181"/>
        <v/>
      </c>
      <c r="M704" s="187" t="str">
        <f t="shared" si="182"/>
        <v/>
      </c>
      <c r="N704" s="187" t="str">
        <f t="shared" si="174"/>
        <v>D</v>
      </c>
      <c r="O704" s="187" t="str">
        <f t="shared" si="183"/>
        <v>D</v>
      </c>
      <c r="P704" s="187">
        <f t="shared" si="184"/>
        <v>1</v>
      </c>
      <c r="Q704" s="187">
        <f>IFERROR(VLOOKUP(E704,Tabela_Deflator:E$43,5,FALSE),1)</f>
        <v>1</v>
      </c>
      <c r="R704" s="188" t="str">
        <f t="shared" si="185"/>
        <v/>
      </c>
      <c r="S704" s="237" t="str">
        <f t="shared" si="175"/>
        <v/>
      </c>
      <c r="T704" s="237" t="str">
        <f t="shared" si="190"/>
        <v/>
      </c>
      <c r="U704" s="189"/>
      <c r="V704" s="167"/>
      <c r="W704" s="165"/>
      <c r="X704" s="164"/>
      <c r="Y704" s="164"/>
      <c r="Z704" s="164"/>
      <c r="AA704" s="174"/>
      <c r="AB704" s="164"/>
      <c r="AC704" s="174"/>
      <c r="AD704" s="184"/>
      <c r="AE704" s="190" t="str">
        <f t="shared" si="186"/>
        <v/>
      </c>
      <c r="AF704" s="190" t="str">
        <f t="shared" si="187"/>
        <v/>
      </c>
      <c r="AG704" s="190" t="str">
        <f t="shared" si="176"/>
        <v>D</v>
      </c>
      <c r="AH704" s="190">
        <f>IFERROR(VLOOKUP(Y704,SISP_Deflatores_e_INMs!B$4:F$49,3,FALSE),1)</f>
        <v>1</v>
      </c>
      <c r="AI704" s="190">
        <f>IFERROR(VLOOKUP(Y704,SISP_Deflatores_e_INMs!B$4:G$49,5,FALSE),1)</f>
        <v>1</v>
      </c>
      <c r="AJ704" s="191" t="str">
        <f t="shared" si="188"/>
        <v/>
      </c>
      <c r="AK704" s="237" t="str">
        <f t="shared" si="177"/>
        <v/>
      </c>
      <c r="AL704" s="237" t="str">
        <f t="shared" si="189"/>
        <v/>
      </c>
      <c r="AM704" s="192" t="e">
        <f t="shared" si="178"/>
        <v>#VALUE!</v>
      </c>
      <c r="AN704" s="193" t="e">
        <f t="shared" si="179"/>
        <v>#VALUE!</v>
      </c>
      <c r="AO704" s="193" t="e">
        <f t="shared" si="180"/>
        <v>#VALUE!</v>
      </c>
      <c r="AP704" s="193"/>
      <c r="AQ704" s="204"/>
      <c r="AR704" s="204"/>
      <c r="AS704" s="204"/>
      <c r="AT704" s="205"/>
      <c r="AU704"/>
    </row>
    <row r="705" spans="2:47" ht="15" customHeight="1" x14ac:dyDescent="0.25">
      <c r="B705" s="206"/>
      <c r="C705" s="185"/>
      <c r="D705" s="164"/>
      <c r="E705" s="174"/>
      <c r="F705" s="164"/>
      <c r="G705" s="174"/>
      <c r="H705" s="164"/>
      <c r="I705" s="174"/>
      <c r="J705" s="184"/>
      <c r="K705" s="186"/>
      <c r="L705" s="187" t="str">
        <f t="shared" si="181"/>
        <v/>
      </c>
      <c r="M705" s="187" t="str">
        <f t="shared" si="182"/>
        <v/>
      </c>
      <c r="N705" s="187" t="str">
        <f t="shared" si="174"/>
        <v>D</v>
      </c>
      <c r="O705" s="187" t="str">
        <f t="shared" si="183"/>
        <v>D</v>
      </c>
      <c r="P705" s="187">
        <f t="shared" si="184"/>
        <v>1</v>
      </c>
      <c r="Q705" s="187">
        <f>IFERROR(VLOOKUP(E705,Tabela_Deflator:E$43,5,FALSE),1)</f>
        <v>1</v>
      </c>
      <c r="R705" s="188" t="str">
        <f t="shared" si="185"/>
        <v/>
      </c>
      <c r="S705" s="237" t="str">
        <f t="shared" si="175"/>
        <v/>
      </c>
      <c r="T705" s="237" t="str">
        <f t="shared" si="190"/>
        <v/>
      </c>
      <c r="U705" s="189"/>
      <c r="V705" s="167"/>
      <c r="W705" s="165"/>
      <c r="X705" s="164"/>
      <c r="Y705" s="164"/>
      <c r="Z705" s="164"/>
      <c r="AA705" s="174"/>
      <c r="AB705" s="164"/>
      <c r="AC705" s="174"/>
      <c r="AD705" s="184"/>
      <c r="AE705" s="190" t="str">
        <f t="shared" si="186"/>
        <v/>
      </c>
      <c r="AF705" s="190" t="str">
        <f t="shared" si="187"/>
        <v/>
      </c>
      <c r="AG705" s="190" t="str">
        <f t="shared" si="176"/>
        <v>D</v>
      </c>
      <c r="AH705" s="190">
        <f>IFERROR(VLOOKUP(Y705,SISP_Deflatores_e_INMs!B$4:F$49,3,FALSE),1)</f>
        <v>1</v>
      </c>
      <c r="AI705" s="190">
        <f>IFERROR(VLOOKUP(Y705,SISP_Deflatores_e_INMs!B$4:G$49,5,FALSE),1)</f>
        <v>1</v>
      </c>
      <c r="AJ705" s="191" t="str">
        <f t="shared" si="188"/>
        <v/>
      </c>
      <c r="AK705" s="237" t="str">
        <f t="shared" si="177"/>
        <v/>
      </c>
      <c r="AL705" s="237" t="str">
        <f t="shared" si="189"/>
        <v/>
      </c>
      <c r="AM705" s="192" t="e">
        <f t="shared" si="178"/>
        <v>#VALUE!</v>
      </c>
      <c r="AN705" s="193" t="e">
        <f t="shared" si="179"/>
        <v>#VALUE!</v>
      </c>
      <c r="AO705" s="193" t="e">
        <f t="shared" si="180"/>
        <v>#VALUE!</v>
      </c>
      <c r="AP705" s="193"/>
      <c r="AQ705" s="204"/>
      <c r="AR705" s="204"/>
      <c r="AS705" s="204"/>
      <c r="AT705" s="205"/>
      <c r="AU705"/>
    </row>
    <row r="706" spans="2:47" ht="15" customHeight="1" x14ac:dyDescent="0.25">
      <c r="B706" s="206"/>
      <c r="C706" s="185"/>
      <c r="D706" s="164"/>
      <c r="E706" s="174"/>
      <c r="F706" s="164"/>
      <c r="G706" s="174"/>
      <c r="H706" s="164"/>
      <c r="I706" s="174"/>
      <c r="J706" s="184"/>
      <c r="K706" s="186"/>
      <c r="L706" s="187" t="str">
        <f t="shared" si="181"/>
        <v/>
      </c>
      <c r="M706" s="187" t="str">
        <f t="shared" si="182"/>
        <v/>
      </c>
      <c r="N706" s="187" t="str">
        <f t="shared" si="174"/>
        <v>D</v>
      </c>
      <c r="O706" s="187" t="str">
        <f t="shared" si="183"/>
        <v>D</v>
      </c>
      <c r="P706" s="187">
        <f t="shared" si="184"/>
        <v>1</v>
      </c>
      <c r="Q706" s="187">
        <f>IFERROR(VLOOKUP(E706,Tabela_Deflator:E$43,5,FALSE),1)</f>
        <v>1</v>
      </c>
      <c r="R706" s="188" t="str">
        <f t="shared" si="185"/>
        <v/>
      </c>
      <c r="S706" s="237" t="str">
        <f t="shared" si="175"/>
        <v/>
      </c>
      <c r="T706" s="237" t="str">
        <f t="shared" si="190"/>
        <v/>
      </c>
      <c r="U706" s="189"/>
      <c r="V706" s="167"/>
      <c r="W706" s="165"/>
      <c r="X706" s="164"/>
      <c r="Y706" s="164"/>
      <c r="Z706" s="164"/>
      <c r="AA706" s="174"/>
      <c r="AB706" s="164"/>
      <c r="AC706" s="174"/>
      <c r="AD706" s="184"/>
      <c r="AE706" s="190" t="str">
        <f t="shared" si="186"/>
        <v/>
      </c>
      <c r="AF706" s="190" t="str">
        <f t="shared" si="187"/>
        <v/>
      </c>
      <c r="AG706" s="190" t="str">
        <f t="shared" si="176"/>
        <v>D</v>
      </c>
      <c r="AH706" s="190">
        <f>IFERROR(VLOOKUP(Y706,SISP_Deflatores_e_INMs!B$4:F$49,3,FALSE),1)</f>
        <v>1</v>
      </c>
      <c r="AI706" s="190">
        <f>IFERROR(VLOOKUP(Y706,SISP_Deflatores_e_INMs!B$4:G$49,5,FALSE),1)</f>
        <v>1</v>
      </c>
      <c r="AJ706" s="191" t="str">
        <f t="shared" si="188"/>
        <v/>
      </c>
      <c r="AK706" s="237" t="str">
        <f t="shared" si="177"/>
        <v/>
      </c>
      <c r="AL706" s="237" t="str">
        <f t="shared" si="189"/>
        <v/>
      </c>
      <c r="AM706" s="192" t="e">
        <f t="shared" si="178"/>
        <v>#VALUE!</v>
      </c>
      <c r="AN706" s="193" t="e">
        <f t="shared" si="179"/>
        <v>#VALUE!</v>
      </c>
      <c r="AO706" s="193" t="e">
        <f t="shared" si="180"/>
        <v>#VALUE!</v>
      </c>
      <c r="AP706" s="193"/>
      <c r="AQ706" s="204"/>
      <c r="AR706" s="204"/>
      <c r="AS706" s="204"/>
      <c r="AT706" s="205"/>
      <c r="AU706"/>
    </row>
    <row r="707" spans="2:47" ht="15" customHeight="1" x14ac:dyDescent="0.25">
      <c r="B707" s="206"/>
      <c r="C707" s="185"/>
      <c r="D707" s="164"/>
      <c r="E707" s="174"/>
      <c r="F707" s="164"/>
      <c r="G707" s="174"/>
      <c r="H707" s="164"/>
      <c r="I707" s="174"/>
      <c r="J707" s="184"/>
      <c r="K707" s="186"/>
      <c r="L707" s="187" t="str">
        <f t="shared" si="181"/>
        <v/>
      </c>
      <c r="M707" s="187" t="str">
        <f t="shared" si="182"/>
        <v/>
      </c>
      <c r="N707" s="187" t="str">
        <f t="shared" si="174"/>
        <v>D</v>
      </c>
      <c r="O707" s="187" t="str">
        <f t="shared" si="183"/>
        <v>D</v>
      </c>
      <c r="P707" s="187">
        <f t="shared" si="184"/>
        <v>1</v>
      </c>
      <c r="Q707" s="187">
        <f>IFERROR(VLOOKUP(E707,Tabela_Deflator:E$43,5,FALSE),1)</f>
        <v>1</v>
      </c>
      <c r="R707" s="188" t="str">
        <f t="shared" si="185"/>
        <v/>
      </c>
      <c r="S707" s="237" t="str">
        <f t="shared" si="175"/>
        <v/>
      </c>
      <c r="T707" s="237" t="str">
        <f t="shared" si="190"/>
        <v/>
      </c>
      <c r="U707" s="189"/>
      <c r="V707" s="167"/>
      <c r="W707" s="165"/>
      <c r="X707" s="164"/>
      <c r="Y707" s="164"/>
      <c r="Z707" s="164"/>
      <c r="AA707" s="174"/>
      <c r="AB707" s="164"/>
      <c r="AC707" s="174"/>
      <c r="AD707" s="184"/>
      <c r="AE707" s="190" t="str">
        <f t="shared" si="186"/>
        <v/>
      </c>
      <c r="AF707" s="190" t="str">
        <f t="shared" si="187"/>
        <v/>
      </c>
      <c r="AG707" s="190" t="str">
        <f t="shared" si="176"/>
        <v>D</v>
      </c>
      <c r="AH707" s="190">
        <f>IFERROR(VLOOKUP(Y707,SISP_Deflatores_e_INMs!B$4:F$49,3,FALSE),1)</f>
        <v>1</v>
      </c>
      <c r="AI707" s="190">
        <f>IFERROR(VLOOKUP(Y707,SISP_Deflatores_e_INMs!B$4:G$49,5,FALSE),1)</f>
        <v>1</v>
      </c>
      <c r="AJ707" s="191" t="str">
        <f t="shared" si="188"/>
        <v/>
      </c>
      <c r="AK707" s="237" t="str">
        <f t="shared" si="177"/>
        <v/>
      </c>
      <c r="AL707" s="237" t="str">
        <f t="shared" si="189"/>
        <v/>
      </c>
      <c r="AM707" s="192" t="e">
        <f t="shared" si="178"/>
        <v>#VALUE!</v>
      </c>
      <c r="AN707" s="193" t="e">
        <f t="shared" si="179"/>
        <v>#VALUE!</v>
      </c>
      <c r="AO707" s="193" t="e">
        <f t="shared" si="180"/>
        <v>#VALUE!</v>
      </c>
      <c r="AP707" s="193"/>
      <c r="AQ707" s="204"/>
      <c r="AR707" s="204"/>
      <c r="AS707" s="204"/>
      <c r="AT707" s="205"/>
      <c r="AU707"/>
    </row>
    <row r="708" spans="2:47" ht="15" customHeight="1" x14ac:dyDescent="0.25">
      <c r="B708" s="206"/>
      <c r="C708" s="185"/>
      <c r="D708" s="164"/>
      <c r="E708" s="174"/>
      <c r="F708" s="164"/>
      <c r="G708" s="174"/>
      <c r="H708" s="164"/>
      <c r="I708" s="174"/>
      <c r="J708" s="184"/>
      <c r="K708" s="186"/>
      <c r="L708" s="187" t="str">
        <f t="shared" si="181"/>
        <v/>
      </c>
      <c r="M708" s="187" t="str">
        <f t="shared" si="182"/>
        <v/>
      </c>
      <c r="N708" s="187" t="str">
        <f t="shared" ref="N708:N771" si="191">IF(Tipo_de_contagem="Contagem Detalhada","D",IF(Tipo_de_contagem="Contagem Estimada","E","S"))</f>
        <v>D</v>
      </c>
      <c r="O708" s="187" t="str">
        <f t="shared" si="183"/>
        <v>D</v>
      </c>
      <c r="P708" s="187">
        <f t="shared" si="184"/>
        <v>1</v>
      </c>
      <c r="Q708" s="187">
        <f>IFERROR(VLOOKUP(E708,Tabela_Deflator:E$43,5,FALSE),1)</f>
        <v>1</v>
      </c>
      <c r="R708" s="188" t="str">
        <f t="shared" si="185"/>
        <v/>
      </c>
      <c r="S708" s="237" t="str">
        <f t="shared" ref="S708:S771" si="192">IF(D708="N/A","",IF(D708="","",IFERROR(IF(D708="INM",P708*J708,VLOOKUP(O708,Tabela_Pontuação,2,FALSE)),0)))</f>
        <v/>
      </c>
      <c r="T708" s="237" t="str">
        <f t="shared" si="190"/>
        <v/>
      </c>
      <c r="U708" s="189"/>
      <c r="V708" s="167"/>
      <c r="W708" s="165"/>
      <c r="X708" s="164"/>
      <c r="Y708" s="164"/>
      <c r="Z708" s="164"/>
      <c r="AA708" s="174"/>
      <c r="AB708" s="164"/>
      <c r="AC708" s="174"/>
      <c r="AD708" s="184"/>
      <c r="AE708" s="190" t="str">
        <f t="shared" si="186"/>
        <v/>
      </c>
      <c r="AF708" s="190" t="str">
        <f t="shared" si="187"/>
        <v/>
      </c>
      <c r="AG708" s="190" t="str">
        <f t="shared" ref="AG708:AG771" si="193">IF(N708="S",X708,CONCATENATE(X708,AE708,N708))</f>
        <v>D</v>
      </c>
      <c r="AH708" s="190">
        <f>IFERROR(VLOOKUP(Y708,SISP_Deflatores_e_INMs!B$4:F$49,3,FALSE),1)</f>
        <v>1</v>
      </c>
      <c r="AI708" s="190">
        <f>IFERROR(VLOOKUP(Y708,SISP_Deflatores_e_INMs!B$4:G$49,5,FALSE),1)</f>
        <v>1</v>
      </c>
      <c r="AJ708" s="191" t="str">
        <f t="shared" si="188"/>
        <v/>
      </c>
      <c r="AK708" s="237" t="str">
        <f t="shared" ref="AK708:AK771" si="194">IFERROR(IF(X708="INM",AH708*AD708,VLOOKUP(AG708,Tabela_Pontuação,2,FALSE)),"")</f>
        <v/>
      </c>
      <c r="AL708" s="237" t="str">
        <f t="shared" si="189"/>
        <v/>
      </c>
      <c r="AM708" s="192" t="e">
        <f t="shared" ref="AM708:AM771" si="195">IF(S708&lt;=0,0,AK708-S708)</f>
        <v>#VALUE!</v>
      </c>
      <c r="AN708" s="193" t="e">
        <f t="shared" ref="AN708:AN771" si="196">AM708/S708</f>
        <v>#VALUE!</v>
      </c>
      <c r="AO708" s="193" t="e">
        <f t="shared" ref="AO708:AO771" si="197">IF(T708&lt;=0,0,AL708-T708)</f>
        <v>#VALUE!</v>
      </c>
      <c r="AP708" s="193"/>
      <c r="AQ708" s="204"/>
      <c r="AR708" s="204"/>
      <c r="AS708" s="204"/>
      <c r="AT708" s="205"/>
      <c r="AU708"/>
    </row>
    <row r="709" spans="2:47" ht="15" customHeight="1" x14ac:dyDescent="0.25">
      <c r="B709" s="206"/>
      <c r="C709" s="185"/>
      <c r="D709" s="164"/>
      <c r="E709" s="174"/>
      <c r="F709" s="164"/>
      <c r="G709" s="174"/>
      <c r="H709" s="164"/>
      <c r="I709" s="174"/>
      <c r="J709" s="184"/>
      <c r="K709" s="186"/>
      <c r="L709" s="187" t="str">
        <f t="shared" ref="L709:L772" si="198">IF(OR(ISBLANK(F709),ISBLANK(H709)),IF(OR(D709="ALI",D709="AIE"),"L",IF(ISBLANK(D709),"","A")),IF(D709="EE",IF(H709&gt;=3,IF(F709&gt;=5,"H","A"),IF(H709&gt;=2,IF(F709&gt;=16,"H",IF(F709&lt;=4,"L","A")),IF(F709&lt;=15,"L","A"))),IF(OR(D709="SE",D709="CE"),IF(H709&gt;=4,IF(F709&gt;=6,"H","A"),IF(H709&gt;=2,IF(F709&gt;=20,"H",IF(F709&lt;=5,"L","A")),IF(F709&lt;=19,"L","A"))),IF(OR(D709="ALI",D709="AIE"),IF(H709&gt;=6,IF(F709&gt;=20,"H","A"),IF(H709&gt;=2,IF(F709&gt;=51,"H",IF(F709&lt;=19,"L","A")),IF(F709&lt;=50,"L","A")))))))</f>
        <v/>
      </c>
      <c r="M709" s="187" t="str">
        <f t="shared" ref="M709:M772" si="199">CONCATENATE(D709,L709)</f>
        <v/>
      </c>
      <c r="N709" s="187" t="str">
        <f t="shared" si="191"/>
        <v>D</v>
      </c>
      <c r="O709" s="187" t="str">
        <f t="shared" ref="O709:O772" si="200">IF(N709="S",D709,CONCATENATE(D709,L709,N709))</f>
        <v>D</v>
      </c>
      <c r="P709" s="187">
        <f t="shared" ref="P709:P772" si="201">IFERROR(VLOOKUP(E709,Tabela_Deflator,3,FALSE),1)</f>
        <v>1</v>
      </c>
      <c r="Q709" s="187">
        <f>IFERROR(VLOOKUP(E709,Tabela_Deflator:E$43,5,FALSE),1)</f>
        <v>1</v>
      </c>
      <c r="R709" s="188" t="str">
        <f t="shared" ref="R709:R772" si="202">IF(OR(D709="INM",D709="N/A"),"",IF(L709="L","Baixa",IF(L709="A","Média",IF(L709="","","Alta"))))</f>
        <v/>
      </c>
      <c r="S709" s="237" t="str">
        <f t="shared" si="192"/>
        <v/>
      </c>
      <c r="T709" s="237" t="str">
        <f t="shared" si="190"/>
        <v/>
      </c>
      <c r="U709" s="189"/>
      <c r="V709" s="167"/>
      <c r="W709" s="165"/>
      <c r="X709" s="164"/>
      <c r="Y709" s="164"/>
      <c r="Z709" s="164"/>
      <c r="AA709" s="174"/>
      <c r="AB709" s="164"/>
      <c r="AC709" s="174"/>
      <c r="AD709" s="184"/>
      <c r="AE709" s="190" t="str">
        <f t="shared" ref="AE709:AE772" si="203">IF(OR(ISBLANK(Z709),ISBLANK(AB709)),IF(OR(X709="ALI",X709="AIE"),"L",IF(ISBLANK(X709),"","A")),IF(X709="EE",IF(AB709&gt;=3,IF(Z709&gt;=5,"H","A"),IF(AB709&gt;=2,IF(Z709&gt;=16,"H",IF(Z709&lt;=4,"L","A")),IF(Z709&lt;=15,"L","A"))),IF(OR(X709="SE",X709="CE"),IF(AB709&gt;=4,IF(Z709&gt;=6,"H","A"),IF(AB709&gt;=2,IF(Z709&gt;=20,"H",IF(Z709&lt;=5,"L","A")),IF(Z709&lt;=19,"L","A"))),IF(OR(X709="ALI",X709="AIE"),IF(AB709&gt;=6,IF(Z709&gt;=20,"H","A"),IF(AB709&gt;=2,IF(Z709&gt;=51,"H",IF(Z709&lt;=19,"L","A")),IF(Z709&lt;=50,"L","A")))))))</f>
        <v/>
      </c>
      <c r="AF709" s="190" t="str">
        <f t="shared" ref="AF709:AF772" si="204">CONCATENATE(X709,AE709)</f>
        <v/>
      </c>
      <c r="AG709" s="190" t="str">
        <f t="shared" si="193"/>
        <v>D</v>
      </c>
      <c r="AH709" s="190">
        <f>IFERROR(VLOOKUP(Y709,SISP_Deflatores_e_INMs!B$4:F$49,3,FALSE),1)</f>
        <v>1</v>
      </c>
      <c r="AI709" s="190">
        <f>IFERROR(VLOOKUP(Y709,SISP_Deflatores_e_INMs!B$4:G$49,5,FALSE),1)</f>
        <v>1</v>
      </c>
      <c r="AJ709" s="191" t="str">
        <f t="shared" ref="AJ709:AJ772" si="205">IF(OR(X709="INM",X709="N/A"),"",IF(AE709="L","Baixa",IF(AE709="A","Média",IF(AE709="","","Alta"))))</f>
        <v/>
      </c>
      <c r="AK709" s="237" t="str">
        <f t="shared" si="194"/>
        <v/>
      </c>
      <c r="AL709" s="237" t="str">
        <f t="shared" ref="AL709:AL772" si="206">IFERROR(IF(OR(ISBLANK(V709),V709="NOK"),"",IF(X709="INM",(1*AH709)*AD709,AK709*AH709)),"")</f>
        <v/>
      </c>
      <c r="AM709" s="192" t="e">
        <f t="shared" si="195"/>
        <v>#VALUE!</v>
      </c>
      <c r="AN709" s="193" t="e">
        <f t="shared" si="196"/>
        <v>#VALUE!</v>
      </c>
      <c r="AO709" s="193" t="e">
        <f t="shared" si="197"/>
        <v>#VALUE!</v>
      </c>
      <c r="AP709" s="193"/>
      <c r="AQ709" s="204"/>
      <c r="AR709" s="204"/>
      <c r="AS709" s="204"/>
      <c r="AT709" s="205"/>
      <c r="AU709"/>
    </row>
    <row r="710" spans="2:47" ht="15" customHeight="1" x14ac:dyDescent="0.25">
      <c r="B710" s="206"/>
      <c r="C710" s="185"/>
      <c r="D710" s="164"/>
      <c r="E710" s="174"/>
      <c r="F710" s="164"/>
      <c r="G710" s="174"/>
      <c r="H710" s="164"/>
      <c r="I710" s="174"/>
      <c r="J710" s="184"/>
      <c r="K710" s="186"/>
      <c r="L710" s="187" t="str">
        <f t="shared" si="198"/>
        <v/>
      </c>
      <c r="M710" s="187" t="str">
        <f t="shared" si="199"/>
        <v/>
      </c>
      <c r="N710" s="187" t="str">
        <f t="shared" si="191"/>
        <v>D</v>
      </c>
      <c r="O710" s="187" t="str">
        <f t="shared" si="200"/>
        <v>D</v>
      </c>
      <c r="P710" s="187">
        <f t="shared" si="201"/>
        <v>1</v>
      </c>
      <c r="Q710" s="187">
        <f>IFERROR(VLOOKUP(E710,Tabela_Deflator:E$43,5,FALSE),1)</f>
        <v>1</v>
      </c>
      <c r="R710" s="188" t="str">
        <f t="shared" si="202"/>
        <v/>
      </c>
      <c r="S710" s="237" t="str">
        <f t="shared" si="192"/>
        <v/>
      </c>
      <c r="T710" s="237" t="str">
        <f t="shared" ref="T710:T773" si="207" xml:space="preserve"> IF(D710="N/A","",IF(D710="","",IF(D710="INM",(1*P710)*J710,S710*P710)))</f>
        <v/>
      </c>
      <c r="U710" s="189"/>
      <c r="V710" s="167"/>
      <c r="W710" s="165"/>
      <c r="X710" s="164"/>
      <c r="Y710" s="164"/>
      <c r="Z710" s="164"/>
      <c r="AA710" s="174"/>
      <c r="AB710" s="164"/>
      <c r="AC710" s="174"/>
      <c r="AD710" s="184"/>
      <c r="AE710" s="190" t="str">
        <f t="shared" si="203"/>
        <v/>
      </c>
      <c r="AF710" s="190" t="str">
        <f t="shared" si="204"/>
        <v/>
      </c>
      <c r="AG710" s="190" t="str">
        <f t="shared" si="193"/>
        <v>D</v>
      </c>
      <c r="AH710" s="190">
        <f>IFERROR(VLOOKUP(Y710,SISP_Deflatores_e_INMs!B$4:F$49,3,FALSE),1)</f>
        <v>1</v>
      </c>
      <c r="AI710" s="190">
        <f>IFERROR(VLOOKUP(Y710,SISP_Deflatores_e_INMs!B$4:G$49,5,FALSE),1)</f>
        <v>1</v>
      </c>
      <c r="AJ710" s="191" t="str">
        <f t="shared" si="205"/>
        <v/>
      </c>
      <c r="AK710" s="237" t="str">
        <f t="shared" si="194"/>
        <v/>
      </c>
      <c r="AL710" s="237" t="str">
        <f t="shared" si="206"/>
        <v/>
      </c>
      <c r="AM710" s="192" t="e">
        <f t="shared" si="195"/>
        <v>#VALUE!</v>
      </c>
      <c r="AN710" s="193" t="e">
        <f t="shared" si="196"/>
        <v>#VALUE!</v>
      </c>
      <c r="AO710" s="193" t="e">
        <f t="shared" si="197"/>
        <v>#VALUE!</v>
      </c>
      <c r="AP710" s="193"/>
      <c r="AQ710" s="204"/>
      <c r="AR710" s="204"/>
      <c r="AS710" s="204"/>
      <c r="AT710" s="205"/>
      <c r="AU710"/>
    </row>
    <row r="711" spans="2:47" ht="15" customHeight="1" x14ac:dyDescent="0.25">
      <c r="B711" s="206"/>
      <c r="C711" s="185"/>
      <c r="D711" s="164"/>
      <c r="E711" s="174"/>
      <c r="F711" s="164"/>
      <c r="G711" s="174"/>
      <c r="H711" s="164"/>
      <c r="I711" s="174"/>
      <c r="J711" s="184"/>
      <c r="K711" s="186"/>
      <c r="L711" s="187" t="str">
        <f t="shared" si="198"/>
        <v/>
      </c>
      <c r="M711" s="187" t="str">
        <f t="shared" si="199"/>
        <v/>
      </c>
      <c r="N711" s="187" t="str">
        <f t="shared" si="191"/>
        <v>D</v>
      </c>
      <c r="O711" s="187" t="str">
        <f t="shared" si="200"/>
        <v>D</v>
      </c>
      <c r="P711" s="187">
        <f t="shared" si="201"/>
        <v>1</v>
      </c>
      <c r="Q711" s="187">
        <f>IFERROR(VLOOKUP(E711,Tabela_Deflator:E$43,5,FALSE),1)</f>
        <v>1</v>
      </c>
      <c r="R711" s="188" t="str">
        <f t="shared" si="202"/>
        <v/>
      </c>
      <c r="S711" s="237" t="str">
        <f t="shared" si="192"/>
        <v/>
      </c>
      <c r="T711" s="237" t="str">
        <f t="shared" si="207"/>
        <v/>
      </c>
      <c r="U711" s="189"/>
      <c r="V711" s="167"/>
      <c r="W711" s="165"/>
      <c r="X711" s="164"/>
      <c r="Y711" s="164"/>
      <c r="Z711" s="164"/>
      <c r="AA711" s="174"/>
      <c r="AB711" s="164"/>
      <c r="AC711" s="174"/>
      <c r="AD711" s="184"/>
      <c r="AE711" s="190" t="str">
        <f t="shared" si="203"/>
        <v/>
      </c>
      <c r="AF711" s="190" t="str">
        <f t="shared" si="204"/>
        <v/>
      </c>
      <c r="AG711" s="190" t="str">
        <f t="shared" si="193"/>
        <v>D</v>
      </c>
      <c r="AH711" s="190">
        <f>IFERROR(VLOOKUP(Y711,SISP_Deflatores_e_INMs!B$4:F$49,3,FALSE),1)</f>
        <v>1</v>
      </c>
      <c r="AI711" s="190">
        <f>IFERROR(VLOOKUP(Y711,SISP_Deflatores_e_INMs!B$4:G$49,5,FALSE),1)</f>
        <v>1</v>
      </c>
      <c r="AJ711" s="191" t="str">
        <f t="shared" si="205"/>
        <v/>
      </c>
      <c r="AK711" s="237" t="str">
        <f t="shared" si="194"/>
        <v/>
      </c>
      <c r="AL711" s="237" t="str">
        <f t="shared" si="206"/>
        <v/>
      </c>
      <c r="AM711" s="192" t="e">
        <f t="shared" si="195"/>
        <v>#VALUE!</v>
      </c>
      <c r="AN711" s="193" t="e">
        <f t="shared" si="196"/>
        <v>#VALUE!</v>
      </c>
      <c r="AO711" s="193" t="e">
        <f t="shared" si="197"/>
        <v>#VALUE!</v>
      </c>
      <c r="AP711" s="193"/>
      <c r="AQ711" s="204"/>
      <c r="AR711" s="204"/>
      <c r="AS711" s="204"/>
      <c r="AT711" s="205"/>
      <c r="AU711"/>
    </row>
    <row r="712" spans="2:47" ht="15" customHeight="1" x14ac:dyDescent="0.25">
      <c r="B712" s="206"/>
      <c r="C712" s="185"/>
      <c r="D712" s="164"/>
      <c r="E712" s="174"/>
      <c r="F712" s="164"/>
      <c r="G712" s="174"/>
      <c r="H712" s="164"/>
      <c r="I712" s="174"/>
      <c r="J712" s="184"/>
      <c r="K712" s="186"/>
      <c r="L712" s="187" t="str">
        <f t="shared" si="198"/>
        <v/>
      </c>
      <c r="M712" s="187" t="str">
        <f t="shared" si="199"/>
        <v/>
      </c>
      <c r="N712" s="187" t="str">
        <f t="shared" si="191"/>
        <v>D</v>
      </c>
      <c r="O712" s="187" t="str">
        <f t="shared" si="200"/>
        <v>D</v>
      </c>
      <c r="P712" s="187">
        <f t="shared" si="201"/>
        <v>1</v>
      </c>
      <c r="Q712" s="187">
        <f>IFERROR(VLOOKUP(E712,Tabela_Deflator:E$43,5,FALSE),1)</f>
        <v>1</v>
      </c>
      <c r="R712" s="188" t="str">
        <f t="shared" si="202"/>
        <v/>
      </c>
      <c r="S712" s="237" t="str">
        <f t="shared" si="192"/>
        <v/>
      </c>
      <c r="T712" s="237" t="str">
        <f t="shared" si="207"/>
        <v/>
      </c>
      <c r="U712" s="189"/>
      <c r="V712" s="167"/>
      <c r="W712" s="165"/>
      <c r="X712" s="164"/>
      <c r="Y712" s="164"/>
      <c r="Z712" s="164"/>
      <c r="AA712" s="174"/>
      <c r="AB712" s="164"/>
      <c r="AC712" s="174"/>
      <c r="AD712" s="184"/>
      <c r="AE712" s="190" t="str">
        <f t="shared" si="203"/>
        <v/>
      </c>
      <c r="AF712" s="190" t="str">
        <f t="shared" si="204"/>
        <v/>
      </c>
      <c r="AG712" s="190" t="str">
        <f t="shared" si="193"/>
        <v>D</v>
      </c>
      <c r="AH712" s="190">
        <f>IFERROR(VLOOKUP(Y712,SISP_Deflatores_e_INMs!B$4:F$49,3,FALSE),1)</f>
        <v>1</v>
      </c>
      <c r="AI712" s="190">
        <f>IFERROR(VLOOKUP(Y712,SISP_Deflatores_e_INMs!B$4:G$49,5,FALSE),1)</f>
        <v>1</v>
      </c>
      <c r="AJ712" s="191" t="str">
        <f t="shared" si="205"/>
        <v/>
      </c>
      <c r="AK712" s="237" t="str">
        <f t="shared" si="194"/>
        <v/>
      </c>
      <c r="AL712" s="237" t="str">
        <f t="shared" si="206"/>
        <v/>
      </c>
      <c r="AM712" s="192" t="e">
        <f t="shared" si="195"/>
        <v>#VALUE!</v>
      </c>
      <c r="AN712" s="193" t="e">
        <f t="shared" si="196"/>
        <v>#VALUE!</v>
      </c>
      <c r="AO712" s="193" t="e">
        <f t="shared" si="197"/>
        <v>#VALUE!</v>
      </c>
      <c r="AP712" s="193"/>
      <c r="AQ712" s="204"/>
      <c r="AR712" s="204"/>
      <c r="AS712" s="204"/>
      <c r="AT712" s="205"/>
      <c r="AU712"/>
    </row>
    <row r="713" spans="2:47" ht="15" customHeight="1" x14ac:dyDescent="0.25">
      <c r="B713" s="206"/>
      <c r="C713" s="185"/>
      <c r="D713" s="164"/>
      <c r="E713" s="174"/>
      <c r="F713" s="164"/>
      <c r="G713" s="174"/>
      <c r="H713" s="164"/>
      <c r="I713" s="174"/>
      <c r="J713" s="184"/>
      <c r="K713" s="186"/>
      <c r="L713" s="187" t="str">
        <f t="shared" si="198"/>
        <v/>
      </c>
      <c r="M713" s="187" t="str">
        <f t="shared" si="199"/>
        <v/>
      </c>
      <c r="N713" s="187" t="str">
        <f t="shared" si="191"/>
        <v>D</v>
      </c>
      <c r="O713" s="187" t="str">
        <f t="shared" si="200"/>
        <v>D</v>
      </c>
      <c r="P713" s="187">
        <f t="shared" si="201"/>
        <v>1</v>
      </c>
      <c r="Q713" s="187">
        <f>IFERROR(VLOOKUP(E713,Tabela_Deflator:E$43,5,FALSE),1)</f>
        <v>1</v>
      </c>
      <c r="R713" s="188" t="str">
        <f t="shared" si="202"/>
        <v/>
      </c>
      <c r="S713" s="237" t="str">
        <f t="shared" si="192"/>
        <v/>
      </c>
      <c r="T713" s="237" t="str">
        <f t="shared" si="207"/>
        <v/>
      </c>
      <c r="U713" s="189"/>
      <c r="V713" s="167"/>
      <c r="W713" s="165"/>
      <c r="X713" s="164"/>
      <c r="Y713" s="164"/>
      <c r="Z713" s="164"/>
      <c r="AA713" s="174"/>
      <c r="AB713" s="164"/>
      <c r="AC713" s="174"/>
      <c r="AD713" s="184"/>
      <c r="AE713" s="190" t="str">
        <f t="shared" si="203"/>
        <v/>
      </c>
      <c r="AF713" s="190" t="str">
        <f t="shared" si="204"/>
        <v/>
      </c>
      <c r="AG713" s="190" t="str">
        <f t="shared" si="193"/>
        <v>D</v>
      </c>
      <c r="AH713" s="190">
        <f>IFERROR(VLOOKUP(Y713,SISP_Deflatores_e_INMs!B$4:F$49,3,FALSE),1)</f>
        <v>1</v>
      </c>
      <c r="AI713" s="190">
        <f>IFERROR(VLOOKUP(Y713,SISP_Deflatores_e_INMs!B$4:G$49,5,FALSE),1)</f>
        <v>1</v>
      </c>
      <c r="AJ713" s="191" t="str">
        <f t="shared" si="205"/>
        <v/>
      </c>
      <c r="AK713" s="237" t="str">
        <f t="shared" si="194"/>
        <v/>
      </c>
      <c r="AL713" s="237" t="str">
        <f t="shared" si="206"/>
        <v/>
      </c>
      <c r="AM713" s="192" t="e">
        <f t="shared" si="195"/>
        <v>#VALUE!</v>
      </c>
      <c r="AN713" s="193" t="e">
        <f t="shared" si="196"/>
        <v>#VALUE!</v>
      </c>
      <c r="AO713" s="193" t="e">
        <f t="shared" si="197"/>
        <v>#VALUE!</v>
      </c>
      <c r="AP713" s="193"/>
      <c r="AQ713" s="204"/>
      <c r="AR713" s="204"/>
      <c r="AS713" s="204"/>
      <c r="AT713" s="205"/>
      <c r="AU713"/>
    </row>
    <row r="714" spans="2:47" ht="15" customHeight="1" x14ac:dyDescent="0.25">
      <c r="B714" s="206"/>
      <c r="C714" s="185"/>
      <c r="D714" s="164"/>
      <c r="E714" s="174"/>
      <c r="F714" s="164"/>
      <c r="G714" s="174"/>
      <c r="H714" s="164"/>
      <c r="I714" s="174"/>
      <c r="J714" s="184"/>
      <c r="K714" s="186"/>
      <c r="L714" s="187" t="str">
        <f t="shared" si="198"/>
        <v/>
      </c>
      <c r="M714" s="187" t="str">
        <f t="shared" si="199"/>
        <v/>
      </c>
      <c r="N714" s="187" t="str">
        <f t="shared" si="191"/>
        <v>D</v>
      </c>
      <c r="O714" s="187" t="str">
        <f t="shared" si="200"/>
        <v>D</v>
      </c>
      <c r="P714" s="187">
        <f t="shared" si="201"/>
        <v>1</v>
      </c>
      <c r="Q714" s="187">
        <f>IFERROR(VLOOKUP(E714,Tabela_Deflator:E$43,5,FALSE),1)</f>
        <v>1</v>
      </c>
      <c r="R714" s="188" t="str">
        <f t="shared" si="202"/>
        <v/>
      </c>
      <c r="S714" s="237" t="str">
        <f t="shared" si="192"/>
        <v/>
      </c>
      <c r="T714" s="237" t="str">
        <f t="shared" si="207"/>
        <v/>
      </c>
      <c r="U714" s="189"/>
      <c r="V714" s="167"/>
      <c r="W714" s="165"/>
      <c r="X714" s="164"/>
      <c r="Y714" s="164"/>
      <c r="Z714" s="164"/>
      <c r="AA714" s="174"/>
      <c r="AB714" s="164"/>
      <c r="AC714" s="174"/>
      <c r="AD714" s="184"/>
      <c r="AE714" s="190" t="str">
        <f t="shared" si="203"/>
        <v/>
      </c>
      <c r="AF714" s="190" t="str">
        <f t="shared" si="204"/>
        <v/>
      </c>
      <c r="AG714" s="190" t="str">
        <f t="shared" si="193"/>
        <v>D</v>
      </c>
      <c r="AH714" s="190">
        <f>IFERROR(VLOOKUP(Y714,SISP_Deflatores_e_INMs!B$4:F$49,3,FALSE),1)</f>
        <v>1</v>
      </c>
      <c r="AI714" s="190">
        <f>IFERROR(VLOOKUP(Y714,SISP_Deflatores_e_INMs!B$4:G$49,5,FALSE),1)</f>
        <v>1</v>
      </c>
      <c r="AJ714" s="191" t="str">
        <f t="shared" si="205"/>
        <v/>
      </c>
      <c r="AK714" s="237" t="str">
        <f t="shared" si="194"/>
        <v/>
      </c>
      <c r="AL714" s="237" t="str">
        <f t="shared" si="206"/>
        <v/>
      </c>
      <c r="AM714" s="192" t="e">
        <f t="shared" si="195"/>
        <v>#VALUE!</v>
      </c>
      <c r="AN714" s="193" t="e">
        <f t="shared" si="196"/>
        <v>#VALUE!</v>
      </c>
      <c r="AO714" s="193" t="e">
        <f t="shared" si="197"/>
        <v>#VALUE!</v>
      </c>
      <c r="AP714" s="193"/>
      <c r="AQ714" s="204"/>
      <c r="AR714" s="204"/>
      <c r="AS714" s="204"/>
      <c r="AT714" s="205"/>
      <c r="AU714"/>
    </row>
    <row r="715" spans="2:47" ht="15" customHeight="1" x14ac:dyDescent="0.25">
      <c r="B715" s="206"/>
      <c r="C715" s="185"/>
      <c r="D715" s="164"/>
      <c r="E715" s="174"/>
      <c r="F715" s="164"/>
      <c r="G715" s="174"/>
      <c r="H715" s="164"/>
      <c r="I715" s="174"/>
      <c r="J715" s="184"/>
      <c r="K715" s="186"/>
      <c r="L715" s="187" t="str">
        <f t="shared" si="198"/>
        <v/>
      </c>
      <c r="M715" s="187" t="str">
        <f t="shared" si="199"/>
        <v/>
      </c>
      <c r="N715" s="187" t="str">
        <f t="shared" si="191"/>
        <v>D</v>
      </c>
      <c r="O715" s="187" t="str">
        <f t="shared" si="200"/>
        <v>D</v>
      </c>
      <c r="P715" s="187">
        <f t="shared" si="201"/>
        <v>1</v>
      </c>
      <c r="Q715" s="187">
        <f>IFERROR(VLOOKUP(E715,Tabela_Deflator:E$43,5,FALSE),1)</f>
        <v>1</v>
      </c>
      <c r="R715" s="188" t="str">
        <f t="shared" si="202"/>
        <v/>
      </c>
      <c r="S715" s="237" t="str">
        <f t="shared" si="192"/>
        <v/>
      </c>
      <c r="T715" s="237" t="str">
        <f t="shared" si="207"/>
        <v/>
      </c>
      <c r="U715" s="189"/>
      <c r="V715" s="167"/>
      <c r="W715" s="165"/>
      <c r="X715" s="164"/>
      <c r="Y715" s="164"/>
      <c r="Z715" s="164"/>
      <c r="AA715" s="174"/>
      <c r="AB715" s="164"/>
      <c r="AC715" s="174"/>
      <c r="AD715" s="184"/>
      <c r="AE715" s="190" t="str">
        <f t="shared" si="203"/>
        <v/>
      </c>
      <c r="AF715" s="190" t="str">
        <f t="shared" si="204"/>
        <v/>
      </c>
      <c r="AG715" s="190" t="str">
        <f t="shared" si="193"/>
        <v>D</v>
      </c>
      <c r="AH715" s="190">
        <f>IFERROR(VLOOKUP(Y715,SISP_Deflatores_e_INMs!B$4:F$49,3,FALSE),1)</f>
        <v>1</v>
      </c>
      <c r="AI715" s="190">
        <f>IFERROR(VLOOKUP(Y715,SISP_Deflatores_e_INMs!B$4:G$49,5,FALSE),1)</f>
        <v>1</v>
      </c>
      <c r="AJ715" s="191" t="str">
        <f t="shared" si="205"/>
        <v/>
      </c>
      <c r="AK715" s="237" t="str">
        <f t="shared" si="194"/>
        <v/>
      </c>
      <c r="AL715" s="237" t="str">
        <f t="shared" si="206"/>
        <v/>
      </c>
      <c r="AM715" s="192" t="e">
        <f t="shared" si="195"/>
        <v>#VALUE!</v>
      </c>
      <c r="AN715" s="193" t="e">
        <f t="shared" si="196"/>
        <v>#VALUE!</v>
      </c>
      <c r="AO715" s="193" t="e">
        <f t="shared" si="197"/>
        <v>#VALUE!</v>
      </c>
      <c r="AP715" s="193"/>
      <c r="AQ715" s="204"/>
      <c r="AR715" s="204"/>
      <c r="AS715" s="204"/>
      <c r="AT715" s="205"/>
      <c r="AU715"/>
    </row>
    <row r="716" spans="2:47" ht="15" customHeight="1" x14ac:dyDescent="0.25">
      <c r="B716" s="206"/>
      <c r="C716" s="185"/>
      <c r="D716" s="164"/>
      <c r="E716" s="174"/>
      <c r="F716" s="164"/>
      <c r="G716" s="174"/>
      <c r="H716" s="164"/>
      <c r="I716" s="174"/>
      <c r="J716" s="184"/>
      <c r="K716" s="186"/>
      <c r="L716" s="187" t="str">
        <f t="shared" si="198"/>
        <v/>
      </c>
      <c r="M716" s="187" t="str">
        <f t="shared" si="199"/>
        <v/>
      </c>
      <c r="N716" s="187" t="str">
        <f t="shared" si="191"/>
        <v>D</v>
      </c>
      <c r="O716" s="187" t="str">
        <f t="shared" si="200"/>
        <v>D</v>
      </c>
      <c r="P716" s="187">
        <f t="shared" si="201"/>
        <v>1</v>
      </c>
      <c r="Q716" s="187">
        <f>IFERROR(VLOOKUP(E716,Tabela_Deflator:E$43,5,FALSE),1)</f>
        <v>1</v>
      </c>
      <c r="R716" s="188" t="str">
        <f t="shared" si="202"/>
        <v/>
      </c>
      <c r="S716" s="237" t="str">
        <f t="shared" si="192"/>
        <v/>
      </c>
      <c r="T716" s="237" t="str">
        <f t="shared" si="207"/>
        <v/>
      </c>
      <c r="U716" s="189"/>
      <c r="V716" s="167"/>
      <c r="W716" s="165"/>
      <c r="X716" s="164"/>
      <c r="Y716" s="164"/>
      <c r="Z716" s="164"/>
      <c r="AA716" s="174"/>
      <c r="AB716" s="164"/>
      <c r="AC716" s="174"/>
      <c r="AD716" s="184"/>
      <c r="AE716" s="190" t="str">
        <f t="shared" si="203"/>
        <v/>
      </c>
      <c r="AF716" s="190" t="str">
        <f t="shared" si="204"/>
        <v/>
      </c>
      <c r="AG716" s="190" t="str">
        <f t="shared" si="193"/>
        <v>D</v>
      </c>
      <c r="AH716" s="190">
        <f>IFERROR(VLOOKUP(Y716,SISP_Deflatores_e_INMs!B$4:F$49,3,FALSE),1)</f>
        <v>1</v>
      </c>
      <c r="AI716" s="190">
        <f>IFERROR(VLOOKUP(Y716,SISP_Deflatores_e_INMs!B$4:G$49,5,FALSE),1)</f>
        <v>1</v>
      </c>
      <c r="AJ716" s="191" t="str">
        <f t="shared" si="205"/>
        <v/>
      </c>
      <c r="AK716" s="237" t="str">
        <f t="shared" si="194"/>
        <v/>
      </c>
      <c r="AL716" s="237" t="str">
        <f t="shared" si="206"/>
        <v/>
      </c>
      <c r="AM716" s="192" t="e">
        <f t="shared" si="195"/>
        <v>#VALUE!</v>
      </c>
      <c r="AN716" s="193" t="e">
        <f t="shared" si="196"/>
        <v>#VALUE!</v>
      </c>
      <c r="AO716" s="193" t="e">
        <f t="shared" si="197"/>
        <v>#VALUE!</v>
      </c>
      <c r="AP716" s="193"/>
      <c r="AQ716" s="204"/>
      <c r="AR716" s="204"/>
      <c r="AS716" s="204"/>
      <c r="AT716" s="205"/>
      <c r="AU716"/>
    </row>
    <row r="717" spans="2:47" ht="15" customHeight="1" x14ac:dyDescent="0.25">
      <c r="B717" s="206"/>
      <c r="C717" s="185"/>
      <c r="D717" s="164"/>
      <c r="E717" s="174"/>
      <c r="F717" s="164"/>
      <c r="G717" s="174"/>
      <c r="H717" s="164"/>
      <c r="I717" s="174"/>
      <c r="J717" s="184"/>
      <c r="K717" s="186"/>
      <c r="L717" s="187" t="str">
        <f t="shared" si="198"/>
        <v/>
      </c>
      <c r="M717" s="187" t="str">
        <f t="shared" si="199"/>
        <v/>
      </c>
      <c r="N717" s="187" t="str">
        <f t="shared" si="191"/>
        <v>D</v>
      </c>
      <c r="O717" s="187" t="str">
        <f t="shared" si="200"/>
        <v>D</v>
      </c>
      <c r="P717" s="187">
        <f t="shared" si="201"/>
        <v>1</v>
      </c>
      <c r="Q717" s="187">
        <f>IFERROR(VLOOKUP(E717,Tabela_Deflator:E$43,5,FALSE),1)</f>
        <v>1</v>
      </c>
      <c r="R717" s="188" t="str">
        <f t="shared" si="202"/>
        <v/>
      </c>
      <c r="S717" s="237" t="str">
        <f t="shared" si="192"/>
        <v/>
      </c>
      <c r="T717" s="237" t="str">
        <f t="shared" si="207"/>
        <v/>
      </c>
      <c r="U717" s="189"/>
      <c r="V717" s="167"/>
      <c r="W717" s="165"/>
      <c r="X717" s="164"/>
      <c r="Y717" s="164"/>
      <c r="Z717" s="164"/>
      <c r="AA717" s="174"/>
      <c r="AB717" s="164"/>
      <c r="AC717" s="174"/>
      <c r="AD717" s="184"/>
      <c r="AE717" s="190" t="str">
        <f t="shared" si="203"/>
        <v/>
      </c>
      <c r="AF717" s="190" t="str">
        <f t="shared" si="204"/>
        <v/>
      </c>
      <c r="AG717" s="190" t="str">
        <f t="shared" si="193"/>
        <v>D</v>
      </c>
      <c r="AH717" s="190">
        <f>IFERROR(VLOOKUP(Y717,SISP_Deflatores_e_INMs!B$4:F$49,3,FALSE),1)</f>
        <v>1</v>
      </c>
      <c r="AI717" s="190">
        <f>IFERROR(VLOOKUP(Y717,SISP_Deflatores_e_INMs!B$4:G$49,5,FALSE),1)</f>
        <v>1</v>
      </c>
      <c r="AJ717" s="191" t="str">
        <f t="shared" si="205"/>
        <v/>
      </c>
      <c r="AK717" s="237" t="str">
        <f t="shared" si="194"/>
        <v/>
      </c>
      <c r="AL717" s="237" t="str">
        <f t="shared" si="206"/>
        <v/>
      </c>
      <c r="AM717" s="192" t="e">
        <f t="shared" si="195"/>
        <v>#VALUE!</v>
      </c>
      <c r="AN717" s="193" t="e">
        <f t="shared" si="196"/>
        <v>#VALUE!</v>
      </c>
      <c r="AO717" s="193" t="e">
        <f t="shared" si="197"/>
        <v>#VALUE!</v>
      </c>
      <c r="AP717" s="193"/>
      <c r="AQ717" s="204"/>
      <c r="AR717" s="204"/>
      <c r="AS717" s="204"/>
      <c r="AT717" s="205"/>
      <c r="AU717"/>
    </row>
    <row r="718" spans="2:47" ht="15" customHeight="1" x14ac:dyDescent="0.25">
      <c r="B718" s="206"/>
      <c r="C718" s="185"/>
      <c r="D718" s="164"/>
      <c r="E718" s="174"/>
      <c r="F718" s="164"/>
      <c r="G718" s="174"/>
      <c r="H718" s="164"/>
      <c r="I718" s="174"/>
      <c r="J718" s="184"/>
      <c r="K718" s="186"/>
      <c r="L718" s="187" t="str">
        <f t="shared" si="198"/>
        <v/>
      </c>
      <c r="M718" s="187" t="str">
        <f t="shared" si="199"/>
        <v/>
      </c>
      <c r="N718" s="187" t="str">
        <f t="shared" si="191"/>
        <v>D</v>
      </c>
      <c r="O718" s="187" t="str">
        <f t="shared" si="200"/>
        <v>D</v>
      </c>
      <c r="P718" s="187">
        <f t="shared" si="201"/>
        <v>1</v>
      </c>
      <c r="Q718" s="187">
        <f>IFERROR(VLOOKUP(E718,Tabela_Deflator:E$43,5,FALSE),1)</f>
        <v>1</v>
      </c>
      <c r="R718" s="188" t="str">
        <f t="shared" si="202"/>
        <v/>
      </c>
      <c r="S718" s="237" t="str">
        <f t="shared" si="192"/>
        <v/>
      </c>
      <c r="T718" s="237" t="str">
        <f t="shared" si="207"/>
        <v/>
      </c>
      <c r="U718" s="189"/>
      <c r="V718" s="167"/>
      <c r="W718" s="165"/>
      <c r="X718" s="164"/>
      <c r="Y718" s="164"/>
      <c r="Z718" s="164"/>
      <c r="AA718" s="174"/>
      <c r="AB718" s="164"/>
      <c r="AC718" s="174"/>
      <c r="AD718" s="184"/>
      <c r="AE718" s="190" t="str">
        <f t="shared" si="203"/>
        <v/>
      </c>
      <c r="AF718" s="190" t="str">
        <f t="shared" si="204"/>
        <v/>
      </c>
      <c r="AG718" s="190" t="str">
        <f t="shared" si="193"/>
        <v>D</v>
      </c>
      <c r="AH718" s="190">
        <f>IFERROR(VLOOKUP(Y718,SISP_Deflatores_e_INMs!B$4:F$49,3,FALSE),1)</f>
        <v>1</v>
      </c>
      <c r="AI718" s="190">
        <f>IFERROR(VLOOKUP(Y718,SISP_Deflatores_e_INMs!B$4:G$49,5,FALSE),1)</f>
        <v>1</v>
      </c>
      <c r="AJ718" s="191" t="str">
        <f t="shared" si="205"/>
        <v/>
      </c>
      <c r="AK718" s="237" t="str">
        <f t="shared" si="194"/>
        <v/>
      </c>
      <c r="AL718" s="237" t="str">
        <f t="shared" si="206"/>
        <v/>
      </c>
      <c r="AM718" s="192" t="e">
        <f t="shared" si="195"/>
        <v>#VALUE!</v>
      </c>
      <c r="AN718" s="193" t="e">
        <f t="shared" si="196"/>
        <v>#VALUE!</v>
      </c>
      <c r="AO718" s="193" t="e">
        <f t="shared" si="197"/>
        <v>#VALUE!</v>
      </c>
      <c r="AP718" s="193"/>
      <c r="AQ718" s="204"/>
      <c r="AR718" s="204"/>
      <c r="AS718" s="204"/>
      <c r="AT718" s="205"/>
      <c r="AU718"/>
    </row>
    <row r="719" spans="2:47" ht="15" customHeight="1" x14ac:dyDescent="0.25">
      <c r="B719" s="206"/>
      <c r="C719" s="185"/>
      <c r="D719" s="164"/>
      <c r="E719" s="174"/>
      <c r="F719" s="164"/>
      <c r="G719" s="174"/>
      <c r="H719" s="164"/>
      <c r="I719" s="174"/>
      <c r="J719" s="184"/>
      <c r="K719" s="186"/>
      <c r="L719" s="187" t="str">
        <f t="shared" si="198"/>
        <v/>
      </c>
      <c r="M719" s="187" t="str">
        <f t="shared" si="199"/>
        <v/>
      </c>
      <c r="N719" s="187" t="str">
        <f t="shared" si="191"/>
        <v>D</v>
      </c>
      <c r="O719" s="187" t="str">
        <f t="shared" si="200"/>
        <v>D</v>
      </c>
      <c r="P719" s="187">
        <f t="shared" si="201"/>
        <v>1</v>
      </c>
      <c r="Q719" s="187">
        <f>IFERROR(VLOOKUP(E719,Tabela_Deflator:E$43,5,FALSE),1)</f>
        <v>1</v>
      </c>
      <c r="R719" s="188" t="str">
        <f t="shared" si="202"/>
        <v/>
      </c>
      <c r="S719" s="237" t="str">
        <f t="shared" si="192"/>
        <v/>
      </c>
      <c r="T719" s="237" t="str">
        <f t="shared" si="207"/>
        <v/>
      </c>
      <c r="U719" s="189"/>
      <c r="V719" s="167"/>
      <c r="W719" s="165"/>
      <c r="X719" s="164"/>
      <c r="Y719" s="164"/>
      <c r="Z719" s="164"/>
      <c r="AA719" s="174"/>
      <c r="AB719" s="164"/>
      <c r="AC719" s="174"/>
      <c r="AD719" s="184"/>
      <c r="AE719" s="190" t="str">
        <f t="shared" si="203"/>
        <v/>
      </c>
      <c r="AF719" s="190" t="str">
        <f t="shared" si="204"/>
        <v/>
      </c>
      <c r="AG719" s="190" t="str">
        <f t="shared" si="193"/>
        <v>D</v>
      </c>
      <c r="AH719" s="190">
        <f>IFERROR(VLOOKUP(Y719,SISP_Deflatores_e_INMs!B$4:F$49,3,FALSE),1)</f>
        <v>1</v>
      </c>
      <c r="AI719" s="190">
        <f>IFERROR(VLOOKUP(Y719,SISP_Deflatores_e_INMs!B$4:G$49,5,FALSE),1)</f>
        <v>1</v>
      </c>
      <c r="AJ719" s="191" t="str">
        <f t="shared" si="205"/>
        <v/>
      </c>
      <c r="AK719" s="237" t="str">
        <f t="shared" si="194"/>
        <v/>
      </c>
      <c r="AL719" s="237" t="str">
        <f t="shared" si="206"/>
        <v/>
      </c>
      <c r="AM719" s="192" t="e">
        <f t="shared" si="195"/>
        <v>#VALUE!</v>
      </c>
      <c r="AN719" s="193" t="e">
        <f t="shared" si="196"/>
        <v>#VALUE!</v>
      </c>
      <c r="AO719" s="193" t="e">
        <f t="shared" si="197"/>
        <v>#VALUE!</v>
      </c>
      <c r="AP719" s="193"/>
      <c r="AQ719" s="204"/>
      <c r="AR719" s="204"/>
      <c r="AS719" s="204"/>
      <c r="AT719" s="205"/>
      <c r="AU719"/>
    </row>
    <row r="720" spans="2:47" ht="15" customHeight="1" x14ac:dyDescent="0.25">
      <c r="B720" s="206"/>
      <c r="C720" s="185"/>
      <c r="D720" s="164"/>
      <c r="E720" s="174"/>
      <c r="F720" s="164"/>
      <c r="G720" s="174"/>
      <c r="H720" s="164"/>
      <c r="I720" s="174"/>
      <c r="J720" s="184"/>
      <c r="K720" s="186"/>
      <c r="L720" s="187" t="str">
        <f t="shared" si="198"/>
        <v/>
      </c>
      <c r="M720" s="187" t="str">
        <f t="shared" si="199"/>
        <v/>
      </c>
      <c r="N720" s="187" t="str">
        <f t="shared" si="191"/>
        <v>D</v>
      </c>
      <c r="O720" s="187" t="str">
        <f t="shared" si="200"/>
        <v>D</v>
      </c>
      <c r="P720" s="187">
        <f t="shared" si="201"/>
        <v>1</v>
      </c>
      <c r="Q720" s="187">
        <f>IFERROR(VLOOKUP(E720,Tabela_Deflator:E$43,5,FALSE),1)</f>
        <v>1</v>
      </c>
      <c r="R720" s="188" t="str">
        <f t="shared" si="202"/>
        <v/>
      </c>
      <c r="S720" s="237" t="str">
        <f t="shared" si="192"/>
        <v/>
      </c>
      <c r="T720" s="237" t="str">
        <f t="shared" si="207"/>
        <v/>
      </c>
      <c r="U720" s="189"/>
      <c r="V720" s="167"/>
      <c r="W720" s="165"/>
      <c r="X720" s="164"/>
      <c r="Y720" s="164"/>
      <c r="Z720" s="164"/>
      <c r="AA720" s="174"/>
      <c r="AB720" s="164"/>
      <c r="AC720" s="174"/>
      <c r="AD720" s="184"/>
      <c r="AE720" s="190" t="str">
        <f t="shared" si="203"/>
        <v/>
      </c>
      <c r="AF720" s="190" t="str">
        <f t="shared" si="204"/>
        <v/>
      </c>
      <c r="AG720" s="190" t="str">
        <f t="shared" si="193"/>
        <v>D</v>
      </c>
      <c r="AH720" s="190">
        <f>IFERROR(VLOOKUP(Y720,SISP_Deflatores_e_INMs!B$4:F$49,3,FALSE),1)</f>
        <v>1</v>
      </c>
      <c r="AI720" s="190">
        <f>IFERROR(VLOOKUP(Y720,SISP_Deflatores_e_INMs!B$4:G$49,5,FALSE),1)</f>
        <v>1</v>
      </c>
      <c r="AJ720" s="191" t="str">
        <f t="shared" si="205"/>
        <v/>
      </c>
      <c r="AK720" s="237" t="str">
        <f t="shared" si="194"/>
        <v/>
      </c>
      <c r="AL720" s="237" t="str">
        <f t="shared" si="206"/>
        <v/>
      </c>
      <c r="AM720" s="192" t="e">
        <f t="shared" si="195"/>
        <v>#VALUE!</v>
      </c>
      <c r="AN720" s="193" t="e">
        <f t="shared" si="196"/>
        <v>#VALUE!</v>
      </c>
      <c r="AO720" s="193" t="e">
        <f t="shared" si="197"/>
        <v>#VALUE!</v>
      </c>
      <c r="AP720" s="193"/>
      <c r="AQ720" s="204"/>
      <c r="AR720" s="204"/>
      <c r="AS720" s="204"/>
      <c r="AT720" s="205"/>
      <c r="AU720"/>
    </row>
    <row r="721" spans="2:47" ht="15" customHeight="1" x14ac:dyDescent="0.25">
      <c r="B721" s="206"/>
      <c r="C721" s="185"/>
      <c r="D721" s="164"/>
      <c r="E721" s="174"/>
      <c r="F721" s="164"/>
      <c r="G721" s="174"/>
      <c r="H721" s="164"/>
      <c r="I721" s="174"/>
      <c r="J721" s="184"/>
      <c r="K721" s="186"/>
      <c r="L721" s="187" t="str">
        <f t="shared" si="198"/>
        <v/>
      </c>
      <c r="M721" s="187" t="str">
        <f t="shared" si="199"/>
        <v/>
      </c>
      <c r="N721" s="187" t="str">
        <f t="shared" si="191"/>
        <v>D</v>
      </c>
      <c r="O721" s="187" t="str">
        <f t="shared" si="200"/>
        <v>D</v>
      </c>
      <c r="P721" s="187">
        <f t="shared" si="201"/>
        <v>1</v>
      </c>
      <c r="Q721" s="187">
        <f>IFERROR(VLOOKUP(E721,Tabela_Deflator:E$43,5,FALSE),1)</f>
        <v>1</v>
      </c>
      <c r="R721" s="188" t="str">
        <f t="shared" si="202"/>
        <v/>
      </c>
      <c r="S721" s="237" t="str">
        <f t="shared" si="192"/>
        <v/>
      </c>
      <c r="T721" s="237" t="str">
        <f t="shared" si="207"/>
        <v/>
      </c>
      <c r="U721" s="189"/>
      <c r="V721" s="167"/>
      <c r="W721" s="165"/>
      <c r="X721" s="164"/>
      <c r="Y721" s="164"/>
      <c r="Z721" s="164"/>
      <c r="AA721" s="174"/>
      <c r="AB721" s="164"/>
      <c r="AC721" s="174"/>
      <c r="AD721" s="184"/>
      <c r="AE721" s="190" t="str">
        <f t="shared" si="203"/>
        <v/>
      </c>
      <c r="AF721" s="190" t="str">
        <f t="shared" si="204"/>
        <v/>
      </c>
      <c r="AG721" s="190" t="str">
        <f t="shared" si="193"/>
        <v>D</v>
      </c>
      <c r="AH721" s="190">
        <f>IFERROR(VLOOKUP(Y721,SISP_Deflatores_e_INMs!B$4:F$49,3,FALSE),1)</f>
        <v>1</v>
      </c>
      <c r="AI721" s="190">
        <f>IFERROR(VLOOKUP(Y721,SISP_Deflatores_e_INMs!B$4:G$49,5,FALSE),1)</f>
        <v>1</v>
      </c>
      <c r="AJ721" s="191" t="str">
        <f t="shared" si="205"/>
        <v/>
      </c>
      <c r="AK721" s="237" t="str">
        <f t="shared" si="194"/>
        <v/>
      </c>
      <c r="AL721" s="237" t="str">
        <f t="shared" si="206"/>
        <v/>
      </c>
      <c r="AM721" s="192" t="e">
        <f t="shared" si="195"/>
        <v>#VALUE!</v>
      </c>
      <c r="AN721" s="193" t="e">
        <f t="shared" si="196"/>
        <v>#VALUE!</v>
      </c>
      <c r="AO721" s="193" t="e">
        <f t="shared" si="197"/>
        <v>#VALUE!</v>
      </c>
      <c r="AP721" s="193"/>
      <c r="AQ721" s="204"/>
      <c r="AR721" s="204"/>
      <c r="AS721" s="204"/>
      <c r="AT721" s="205"/>
      <c r="AU721"/>
    </row>
    <row r="722" spans="2:47" ht="15" customHeight="1" x14ac:dyDescent="0.25">
      <c r="B722" s="206"/>
      <c r="C722" s="185"/>
      <c r="D722" s="164"/>
      <c r="E722" s="174"/>
      <c r="F722" s="164"/>
      <c r="G722" s="174"/>
      <c r="H722" s="164"/>
      <c r="I722" s="174"/>
      <c r="J722" s="184"/>
      <c r="K722" s="186"/>
      <c r="L722" s="187" t="str">
        <f t="shared" si="198"/>
        <v/>
      </c>
      <c r="M722" s="187" t="str">
        <f t="shared" si="199"/>
        <v/>
      </c>
      <c r="N722" s="187" t="str">
        <f t="shared" si="191"/>
        <v>D</v>
      </c>
      <c r="O722" s="187" t="str">
        <f t="shared" si="200"/>
        <v>D</v>
      </c>
      <c r="P722" s="187">
        <f t="shared" si="201"/>
        <v>1</v>
      </c>
      <c r="Q722" s="187">
        <f>IFERROR(VLOOKUP(E722,Tabela_Deflator:E$43,5,FALSE),1)</f>
        <v>1</v>
      </c>
      <c r="R722" s="188" t="str">
        <f t="shared" si="202"/>
        <v/>
      </c>
      <c r="S722" s="237" t="str">
        <f t="shared" si="192"/>
        <v/>
      </c>
      <c r="T722" s="237" t="str">
        <f t="shared" si="207"/>
        <v/>
      </c>
      <c r="U722" s="189"/>
      <c r="V722" s="167"/>
      <c r="W722" s="165"/>
      <c r="X722" s="164"/>
      <c r="Y722" s="164"/>
      <c r="Z722" s="164"/>
      <c r="AA722" s="174"/>
      <c r="AB722" s="164"/>
      <c r="AC722" s="174"/>
      <c r="AD722" s="184"/>
      <c r="AE722" s="190" t="str">
        <f t="shared" si="203"/>
        <v/>
      </c>
      <c r="AF722" s="190" t="str">
        <f t="shared" si="204"/>
        <v/>
      </c>
      <c r="AG722" s="190" t="str">
        <f t="shared" si="193"/>
        <v>D</v>
      </c>
      <c r="AH722" s="190">
        <f>IFERROR(VLOOKUP(Y722,SISP_Deflatores_e_INMs!B$4:F$49,3,FALSE),1)</f>
        <v>1</v>
      </c>
      <c r="AI722" s="190">
        <f>IFERROR(VLOOKUP(Y722,SISP_Deflatores_e_INMs!B$4:G$49,5,FALSE),1)</f>
        <v>1</v>
      </c>
      <c r="AJ722" s="191" t="str">
        <f t="shared" si="205"/>
        <v/>
      </c>
      <c r="AK722" s="237" t="str">
        <f t="shared" si="194"/>
        <v/>
      </c>
      <c r="AL722" s="237" t="str">
        <f t="shared" si="206"/>
        <v/>
      </c>
      <c r="AM722" s="192" t="e">
        <f t="shared" si="195"/>
        <v>#VALUE!</v>
      </c>
      <c r="AN722" s="193" t="e">
        <f t="shared" si="196"/>
        <v>#VALUE!</v>
      </c>
      <c r="AO722" s="193" t="e">
        <f t="shared" si="197"/>
        <v>#VALUE!</v>
      </c>
      <c r="AP722" s="193"/>
      <c r="AQ722" s="204"/>
      <c r="AR722" s="204"/>
      <c r="AS722" s="204"/>
      <c r="AT722" s="205"/>
      <c r="AU722"/>
    </row>
    <row r="723" spans="2:47" ht="15" customHeight="1" x14ac:dyDescent="0.25">
      <c r="B723" s="206"/>
      <c r="C723" s="185"/>
      <c r="D723" s="164"/>
      <c r="E723" s="174"/>
      <c r="F723" s="164"/>
      <c r="G723" s="174"/>
      <c r="H723" s="164"/>
      <c r="I723" s="174"/>
      <c r="J723" s="184"/>
      <c r="K723" s="186"/>
      <c r="L723" s="187" t="str">
        <f t="shared" si="198"/>
        <v/>
      </c>
      <c r="M723" s="187" t="str">
        <f t="shared" si="199"/>
        <v/>
      </c>
      <c r="N723" s="187" t="str">
        <f t="shared" si="191"/>
        <v>D</v>
      </c>
      <c r="O723" s="187" t="str">
        <f t="shared" si="200"/>
        <v>D</v>
      </c>
      <c r="P723" s="187">
        <f t="shared" si="201"/>
        <v>1</v>
      </c>
      <c r="Q723" s="187">
        <f>IFERROR(VLOOKUP(E723,Tabela_Deflator:E$43,5,FALSE),1)</f>
        <v>1</v>
      </c>
      <c r="R723" s="188" t="str">
        <f t="shared" si="202"/>
        <v/>
      </c>
      <c r="S723" s="237" t="str">
        <f t="shared" si="192"/>
        <v/>
      </c>
      <c r="T723" s="237" t="str">
        <f t="shared" si="207"/>
        <v/>
      </c>
      <c r="U723" s="189"/>
      <c r="V723" s="167"/>
      <c r="W723" s="165"/>
      <c r="X723" s="164"/>
      <c r="Y723" s="164"/>
      <c r="Z723" s="164"/>
      <c r="AA723" s="174"/>
      <c r="AB723" s="164"/>
      <c r="AC723" s="174"/>
      <c r="AD723" s="184"/>
      <c r="AE723" s="190" t="str">
        <f t="shared" si="203"/>
        <v/>
      </c>
      <c r="AF723" s="190" t="str">
        <f t="shared" si="204"/>
        <v/>
      </c>
      <c r="AG723" s="190" t="str">
        <f t="shared" si="193"/>
        <v>D</v>
      </c>
      <c r="AH723" s="190">
        <f>IFERROR(VLOOKUP(Y723,SISP_Deflatores_e_INMs!B$4:F$49,3,FALSE),1)</f>
        <v>1</v>
      </c>
      <c r="AI723" s="190">
        <f>IFERROR(VLOOKUP(Y723,SISP_Deflatores_e_INMs!B$4:G$49,5,FALSE),1)</f>
        <v>1</v>
      </c>
      <c r="AJ723" s="191" t="str">
        <f t="shared" si="205"/>
        <v/>
      </c>
      <c r="AK723" s="237" t="str">
        <f t="shared" si="194"/>
        <v/>
      </c>
      <c r="AL723" s="237" t="str">
        <f t="shared" si="206"/>
        <v/>
      </c>
      <c r="AM723" s="192" t="e">
        <f t="shared" si="195"/>
        <v>#VALUE!</v>
      </c>
      <c r="AN723" s="193" t="e">
        <f t="shared" si="196"/>
        <v>#VALUE!</v>
      </c>
      <c r="AO723" s="193" t="e">
        <f t="shared" si="197"/>
        <v>#VALUE!</v>
      </c>
      <c r="AP723" s="193"/>
      <c r="AQ723" s="204"/>
      <c r="AR723" s="204"/>
      <c r="AS723" s="204"/>
      <c r="AT723" s="205"/>
      <c r="AU723"/>
    </row>
    <row r="724" spans="2:47" ht="15" customHeight="1" x14ac:dyDescent="0.25">
      <c r="B724" s="206"/>
      <c r="C724" s="185"/>
      <c r="D724" s="164"/>
      <c r="E724" s="174"/>
      <c r="F724" s="164"/>
      <c r="G724" s="174"/>
      <c r="H724" s="164"/>
      <c r="I724" s="174"/>
      <c r="J724" s="184"/>
      <c r="K724" s="186"/>
      <c r="L724" s="187" t="str">
        <f t="shared" si="198"/>
        <v/>
      </c>
      <c r="M724" s="187" t="str">
        <f t="shared" si="199"/>
        <v/>
      </c>
      <c r="N724" s="187" t="str">
        <f t="shared" si="191"/>
        <v>D</v>
      </c>
      <c r="O724" s="187" t="str">
        <f t="shared" si="200"/>
        <v>D</v>
      </c>
      <c r="P724" s="187">
        <f t="shared" si="201"/>
        <v>1</v>
      </c>
      <c r="Q724" s="187">
        <f>IFERROR(VLOOKUP(E724,Tabela_Deflator:E$43,5,FALSE),1)</f>
        <v>1</v>
      </c>
      <c r="R724" s="188" t="str">
        <f t="shared" si="202"/>
        <v/>
      </c>
      <c r="S724" s="237" t="str">
        <f t="shared" si="192"/>
        <v/>
      </c>
      <c r="T724" s="237" t="str">
        <f t="shared" si="207"/>
        <v/>
      </c>
      <c r="U724" s="189"/>
      <c r="V724" s="167"/>
      <c r="W724" s="165"/>
      <c r="X724" s="164"/>
      <c r="Y724" s="164"/>
      <c r="Z724" s="164"/>
      <c r="AA724" s="174"/>
      <c r="AB724" s="164"/>
      <c r="AC724" s="174"/>
      <c r="AD724" s="184"/>
      <c r="AE724" s="190" t="str">
        <f t="shared" si="203"/>
        <v/>
      </c>
      <c r="AF724" s="190" t="str">
        <f t="shared" si="204"/>
        <v/>
      </c>
      <c r="AG724" s="190" t="str">
        <f t="shared" si="193"/>
        <v>D</v>
      </c>
      <c r="AH724" s="190">
        <f>IFERROR(VLOOKUP(Y724,SISP_Deflatores_e_INMs!B$4:F$49,3,FALSE),1)</f>
        <v>1</v>
      </c>
      <c r="AI724" s="190">
        <f>IFERROR(VLOOKUP(Y724,SISP_Deflatores_e_INMs!B$4:G$49,5,FALSE),1)</f>
        <v>1</v>
      </c>
      <c r="AJ724" s="191" t="str">
        <f t="shared" si="205"/>
        <v/>
      </c>
      <c r="AK724" s="237" t="str">
        <f t="shared" si="194"/>
        <v/>
      </c>
      <c r="AL724" s="237" t="str">
        <f t="shared" si="206"/>
        <v/>
      </c>
      <c r="AM724" s="192" t="e">
        <f t="shared" si="195"/>
        <v>#VALUE!</v>
      </c>
      <c r="AN724" s="193" t="e">
        <f t="shared" si="196"/>
        <v>#VALUE!</v>
      </c>
      <c r="AO724" s="193" t="e">
        <f t="shared" si="197"/>
        <v>#VALUE!</v>
      </c>
      <c r="AP724" s="193"/>
      <c r="AQ724" s="204"/>
      <c r="AR724" s="204"/>
      <c r="AS724" s="204"/>
      <c r="AT724" s="205"/>
      <c r="AU724"/>
    </row>
    <row r="725" spans="2:47" ht="15" customHeight="1" x14ac:dyDescent="0.25">
      <c r="B725" s="206"/>
      <c r="C725" s="185"/>
      <c r="D725" s="164"/>
      <c r="E725" s="174"/>
      <c r="F725" s="164"/>
      <c r="G725" s="174"/>
      <c r="H725" s="164"/>
      <c r="I725" s="174"/>
      <c r="J725" s="184"/>
      <c r="K725" s="186"/>
      <c r="L725" s="187" t="str">
        <f t="shared" si="198"/>
        <v/>
      </c>
      <c r="M725" s="187" t="str">
        <f t="shared" si="199"/>
        <v/>
      </c>
      <c r="N725" s="187" t="str">
        <f t="shared" si="191"/>
        <v>D</v>
      </c>
      <c r="O725" s="187" t="str">
        <f t="shared" si="200"/>
        <v>D</v>
      </c>
      <c r="P725" s="187">
        <f t="shared" si="201"/>
        <v>1</v>
      </c>
      <c r="Q725" s="187">
        <f>IFERROR(VLOOKUP(E725,Tabela_Deflator:E$43,5,FALSE),1)</f>
        <v>1</v>
      </c>
      <c r="R725" s="188" t="str">
        <f t="shared" si="202"/>
        <v/>
      </c>
      <c r="S725" s="237" t="str">
        <f t="shared" si="192"/>
        <v/>
      </c>
      <c r="T725" s="237" t="str">
        <f t="shared" si="207"/>
        <v/>
      </c>
      <c r="U725" s="189"/>
      <c r="V725" s="167"/>
      <c r="W725" s="165"/>
      <c r="X725" s="164"/>
      <c r="Y725" s="164"/>
      <c r="Z725" s="164"/>
      <c r="AA725" s="174"/>
      <c r="AB725" s="164"/>
      <c r="AC725" s="174"/>
      <c r="AD725" s="184"/>
      <c r="AE725" s="190" t="str">
        <f t="shared" si="203"/>
        <v/>
      </c>
      <c r="AF725" s="190" t="str">
        <f t="shared" si="204"/>
        <v/>
      </c>
      <c r="AG725" s="190" t="str">
        <f t="shared" si="193"/>
        <v>D</v>
      </c>
      <c r="AH725" s="190">
        <f>IFERROR(VLOOKUP(Y725,SISP_Deflatores_e_INMs!B$4:F$49,3,FALSE),1)</f>
        <v>1</v>
      </c>
      <c r="AI725" s="190">
        <f>IFERROR(VLOOKUP(Y725,SISP_Deflatores_e_INMs!B$4:G$49,5,FALSE),1)</f>
        <v>1</v>
      </c>
      <c r="AJ725" s="191" t="str">
        <f t="shared" si="205"/>
        <v/>
      </c>
      <c r="AK725" s="237" t="str">
        <f t="shared" si="194"/>
        <v/>
      </c>
      <c r="AL725" s="237" t="str">
        <f t="shared" si="206"/>
        <v/>
      </c>
      <c r="AM725" s="192" t="e">
        <f t="shared" si="195"/>
        <v>#VALUE!</v>
      </c>
      <c r="AN725" s="193" t="e">
        <f t="shared" si="196"/>
        <v>#VALUE!</v>
      </c>
      <c r="AO725" s="193" t="e">
        <f t="shared" si="197"/>
        <v>#VALUE!</v>
      </c>
      <c r="AP725" s="193"/>
      <c r="AQ725" s="204"/>
      <c r="AR725" s="204"/>
      <c r="AS725" s="204"/>
      <c r="AT725" s="205"/>
      <c r="AU725"/>
    </row>
    <row r="726" spans="2:47" ht="15" customHeight="1" x14ac:dyDescent="0.25">
      <c r="B726" s="206"/>
      <c r="C726" s="185"/>
      <c r="D726" s="164"/>
      <c r="E726" s="174"/>
      <c r="F726" s="164"/>
      <c r="G726" s="174"/>
      <c r="H726" s="164"/>
      <c r="I726" s="174"/>
      <c r="J726" s="184"/>
      <c r="K726" s="186"/>
      <c r="L726" s="187" t="str">
        <f t="shared" si="198"/>
        <v/>
      </c>
      <c r="M726" s="187" t="str">
        <f t="shared" si="199"/>
        <v/>
      </c>
      <c r="N726" s="187" t="str">
        <f t="shared" si="191"/>
        <v>D</v>
      </c>
      <c r="O726" s="187" t="str">
        <f t="shared" si="200"/>
        <v>D</v>
      </c>
      <c r="P726" s="187">
        <f t="shared" si="201"/>
        <v>1</v>
      </c>
      <c r="Q726" s="187">
        <f>IFERROR(VLOOKUP(E726,Tabela_Deflator:E$43,5,FALSE),1)</f>
        <v>1</v>
      </c>
      <c r="R726" s="188" t="str">
        <f t="shared" si="202"/>
        <v/>
      </c>
      <c r="S726" s="237" t="str">
        <f t="shared" si="192"/>
        <v/>
      </c>
      <c r="T726" s="237" t="str">
        <f t="shared" si="207"/>
        <v/>
      </c>
      <c r="U726" s="189"/>
      <c r="V726" s="167"/>
      <c r="W726" s="165"/>
      <c r="X726" s="164"/>
      <c r="Y726" s="164"/>
      <c r="Z726" s="164"/>
      <c r="AA726" s="174"/>
      <c r="AB726" s="164"/>
      <c r="AC726" s="174"/>
      <c r="AD726" s="184"/>
      <c r="AE726" s="190" t="str">
        <f t="shared" si="203"/>
        <v/>
      </c>
      <c r="AF726" s="190" t="str">
        <f t="shared" si="204"/>
        <v/>
      </c>
      <c r="AG726" s="190" t="str">
        <f t="shared" si="193"/>
        <v>D</v>
      </c>
      <c r="AH726" s="190">
        <f>IFERROR(VLOOKUP(Y726,SISP_Deflatores_e_INMs!B$4:F$49,3,FALSE),1)</f>
        <v>1</v>
      </c>
      <c r="AI726" s="190">
        <f>IFERROR(VLOOKUP(Y726,SISP_Deflatores_e_INMs!B$4:G$49,5,FALSE),1)</f>
        <v>1</v>
      </c>
      <c r="AJ726" s="191" t="str">
        <f t="shared" si="205"/>
        <v/>
      </c>
      <c r="AK726" s="237" t="str">
        <f t="shared" si="194"/>
        <v/>
      </c>
      <c r="AL726" s="237" t="str">
        <f t="shared" si="206"/>
        <v/>
      </c>
      <c r="AM726" s="192" t="e">
        <f t="shared" si="195"/>
        <v>#VALUE!</v>
      </c>
      <c r="AN726" s="193" t="e">
        <f t="shared" si="196"/>
        <v>#VALUE!</v>
      </c>
      <c r="AO726" s="193" t="e">
        <f t="shared" si="197"/>
        <v>#VALUE!</v>
      </c>
      <c r="AP726" s="193"/>
      <c r="AQ726" s="204"/>
      <c r="AR726" s="204"/>
      <c r="AS726" s="204"/>
      <c r="AT726" s="205"/>
      <c r="AU726"/>
    </row>
    <row r="727" spans="2:47" ht="15" customHeight="1" x14ac:dyDescent="0.25">
      <c r="B727" s="206"/>
      <c r="C727" s="185"/>
      <c r="D727" s="164"/>
      <c r="E727" s="174"/>
      <c r="F727" s="164"/>
      <c r="G727" s="174"/>
      <c r="H727" s="164"/>
      <c r="I727" s="174"/>
      <c r="J727" s="184"/>
      <c r="K727" s="186"/>
      <c r="L727" s="187" t="str">
        <f t="shared" si="198"/>
        <v/>
      </c>
      <c r="M727" s="187" t="str">
        <f t="shared" si="199"/>
        <v/>
      </c>
      <c r="N727" s="187" t="str">
        <f t="shared" si="191"/>
        <v>D</v>
      </c>
      <c r="O727" s="187" t="str">
        <f t="shared" si="200"/>
        <v>D</v>
      </c>
      <c r="P727" s="187">
        <f t="shared" si="201"/>
        <v>1</v>
      </c>
      <c r="Q727" s="187">
        <f>IFERROR(VLOOKUP(E727,Tabela_Deflator:E$43,5,FALSE),1)</f>
        <v>1</v>
      </c>
      <c r="R727" s="188" t="str">
        <f t="shared" si="202"/>
        <v/>
      </c>
      <c r="S727" s="237" t="str">
        <f t="shared" si="192"/>
        <v/>
      </c>
      <c r="T727" s="237" t="str">
        <f t="shared" si="207"/>
        <v/>
      </c>
      <c r="U727" s="189"/>
      <c r="V727" s="167"/>
      <c r="W727" s="165"/>
      <c r="X727" s="164"/>
      <c r="Y727" s="164"/>
      <c r="Z727" s="164"/>
      <c r="AA727" s="174"/>
      <c r="AB727" s="164"/>
      <c r="AC727" s="174"/>
      <c r="AD727" s="184"/>
      <c r="AE727" s="190" t="str">
        <f t="shared" si="203"/>
        <v/>
      </c>
      <c r="AF727" s="190" t="str">
        <f t="shared" si="204"/>
        <v/>
      </c>
      <c r="AG727" s="190" t="str">
        <f t="shared" si="193"/>
        <v>D</v>
      </c>
      <c r="AH727" s="190">
        <f>IFERROR(VLOOKUP(Y727,SISP_Deflatores_e_INMs!B$4:F$49,3,FALSE),1)</f>
        <v>1</v>
      </c>
      <c r="AI727" s="190">
        <f>IFERROR(VLOOKUP(Y727,SISP_Deflatores_e_INMs!B$4:G$49,5,FALSE),1)</f>
        <v>1</v>
      </c>
      <c r="AJ727" s="191" t="str">
        <f t="shared" si="205"/>
        <v/>
      </c>
      <c r="AK727" s="237" t="str">
        <f t="shared" si="194"/>
        <v/>
      </c>
      <c r="AL727" s="237" t="str">
        <f t="shared" si="206"/>
        <v/>
      </c>
      <c r="AM727" s="192" t="e">
        <f t="shared" si="195"/>
        <v>#VALUE!</v>
      </c>
      <c r="AN727" s="193" t="e">
        <f t="shared" si="196"/>
        <v>#VALUE!</v>
      </c>
      <c r="AO727" s="193" t="e">
        <f t="shared" si="197"/>
        <v>#VALUE!</v>
      </c>
      <c r="AP727" s="193"/>
      <c r="AQ727" s="204"/>
      <c r="AR727" s="204"/>
      <c r="AS727" s="204"/>
      <c r="AT727" s="205"/>
      <c r="AU727"/>
    </row>
    <row r="728" spans="2:47" ht="15" customHeight="1" x14ac:dyDescent="0.25">
      <c r="B728" s="206"/>
      <c r="C728" s="185"/>
      <c r="D728" s="164"/>
      <c r="E728" s="174"/>
      <c r="F728" s="164"/>
      <c r="G728" s="174"/>
      <c r="H728" s="164"/>
      <c r="I728" s="174"/>
      <c r="J728" s="184"/>
      <c r="K728" s="186"/>
      <c r="L728" s="187" t="str">
        <f t="shared" si="198"/>
        <v/>
      </c>
      <c r="M728" s="187" t="str">
        <f t="shared" si="199"/>
        <v/>
      </c>
      <c r="N728" s="187" t="str">
        <f t="shared" si="191"/>
        <v>D</v>
      </c>
      <c r="O728" s="187" t="str">
        <f t="shared" si="200"/>
        <v>D</v>
      </c>
      <c r="P728" s="187">
        <f t="shared" si="201"/>
        <v>1</v>
      </c>
      <c r="Q728" s="187">
        <f>IFERROR(VLOOKUP(E728,Tabela_Deflator:E$43,5,FALSE),1)</f>
        <v>1</v>
      </c>
      <c r="R728" s="188" t="str">
        <f t="shared" si="202"/>
        <v/>
      </c>
      <c r="S728" s="237" t="str">
        <f t="shared" si="192"/>
        <v/>
      </c>
      <c r="T728" s="237" t="str">
        <f t="shared" si="207"/>
        <v/>
      </c>
      <c r="U728" s="189"/>
      <c r="V728" s="167"/>
      <c r="W728" s="165"/>
      <c r="X728" s="164"/>
      <c r="Y728" s="164"/>
      <c r="Z728" s="164"/>
      <c r="AA728" s="174"/>
      <c r="AB728" s="164"/>
      <c r="AC728" s="174"/>
      <c r="AD728" s="184"/>
      <c r="AE728" s="190" t="str">
        <f t="shared" si="203"/>
        <v/>
      </c>
      <c r="AF728" s="190" t="str">
        <f t="shared" si="204"/>
        <v/>
      </c>
      <c r="AG728" s="190" t="str">
        <f t="shared" si="193"/>
        <v>D</v>
      </c>
      <c r="AH728" s="190">
        <f>IFERROR(VLOOKUP(Y728,SISP_Deflatores_e_INMs!B$4:F$49,3,FALSE),1)</f>
        <v>1</v>
      </c>
      <c r="AI728" s="190">
        <f>IFERROR(VLOOKUP(Y728,SISP_Deflatores_e_INMs!B$4:G$49,5,FALSE),1)</f>
        <v>1</v>
      </c>
      <c r="AJ728" s="191" t="str">
        <f t="shared" si="205"/>
        <v/>
      </c>
      <c r="AK728" s="237" t="str">
        <f t="shared" si="194"/>
        <v/>
      </c>
      <c r="AL728" s="237" t="str">
        <f t="shared" si="206"/>
        <v/>
      </c>
      <c r="AM728" s="192" t="e">
        <f t="shared" si="195"/>
        <v>#VALUE!</v>
      </c>
      <c r="AN728" s="193" t="e">
        <f t="shared" si="196"/>
        <v>#VALUE!</v>
      </c>
      <c r="AO728" s="193" t="e">
        <f t="shared" si="197"/>
        <v>#VALUE!</v>
      </c>
      <c r="AP728" s="193"/>
      <c r="AQ728" s="204"/>
      <c r="AR728" s="204"/>
      <c r="AS728" s="204"/>
      <c r="AT728" s="205"/>
      <c r="AU728"/>
    </row>
    <row r="729" spans="2:47" ht="15" customHeight="1" x14ac:dyDescent="0.25">
      <c r="B729" s="206"/>
      <c r="C729" s="185"/>
      <c r="D729" s="164"/>
      <c r="E729" s="174"/>
      <c r="F729" s="164"/>
      <c r="G729" s="174"/>
      <c r="H729" s="164"/>
      <c r="I729" s="174"/>
      <c r="J729" s="184"/>
      <c r="K729" s="186"/>
      <c r="L729" s="187" t="str">
        <f t="shared" si="198"/>
        <v/>
      </c>
      <c r="M729" s="187" t="str">
        <f t="shared" si="199"/>
        <v/>
      </c>
      <c r="N729" s="187" t="str">
        <f t="shared" si="191"/>
        <v>D</v>
      </c>
      <c r="O729" s="187" t="str">
        <f t="shared" si="200"/>
        <v>D</v>
      </c>
      <c r="P729" s="187">
        <f t="shared" si="201"/>
        <v>1</v>
      </c>
      <c r="Q729" s="187">
        <f>IFERROR(VLOOKUP(E729,Tabela_Deflator:E$43,5,FALSE),1)</f>
        <v>1</v>
      </c>
      <c r="R729" s="188" t="str">
        <f t="shared" si="202"/>
        <v/>
      </c>
      <c r="S729" s="237" t="str">
        <f t="shared" si="192"/>
        <v/>
      </c>
      <c r="T729" s="237" t="str">
        <f t="shared" si="207"/>
        <v/>
      </c>
      <c r="U729" s="189"/>
      <c r="V729" s="167"/>
      <c r="W729" s="165"/>
      <c r="X729" s="164"/>
      <c r="Y729" s="164"/>
      <c r="Z729" s="164"/>
      <c r="AA729" s="174"/>
      <c r="AB729" s="164"/>
      <c r="AC729" s="174"/>
      <c r="AD729" s="184"/>
      <c r="AE729" s="190" t="str">
        <f t="shared" si="203"/>
        <v/>
      </c>
      <c r="AF729" s="190" t="str">
        <f t="shared" si="204"/>
        <v/>
      </c>
      <c r="AG729" s="190" t="str">
        <f t="shared" si="193"/>
        <v>D</v>
      </c>
      <c r="AH729" s="190">
        <f>IFERROR(VLOOKUP(Y729,SISP_Deflatores_e_INMs!B$4:F$49,3,FALSE),1)</f>
        <v>1</v>
      </c>
      <c r="AI729" s="190">
        <f>IFERROR(VLOOKUP(Y729,SISP_Deflatores_e_INMs!B$4:G$49,5,FALSE),1)</f>
        <v>1</v>
      </c>
      <c r="AJ729" s="191" t="str">
        <f t="shared" si="205"/>
        <v/>
      </c>
      <c r="AK729" s="237" t="str">
        <f t="shared" si="194"/>
        <v/>
      </c>
      <c r="AL729" s="237" t="str">
        <f t="shared" si="206"/>
        <v/>
      </c>
      <c r="AM729" s="192" t="e">
        <f t="shared" si="195"/>
        <v>#VALUE!</v>
      </c>
      <c r="AN729" s="193" t="e">
        <f t="shared" si="196"/>
        <v>#VALUE!</v>
      </c>
      <c r="AO729" s="193" t="e">
        <f t="shared" si="197"/>
        <v>#VALUE!</v>
      </c>
      <c r="AP729" s="193"/>
      <c r="AQ729" s="204"/>
      <c r="AR729" s="204"/>
      <c r="AS729" s="204"/>
      <c r="AT729" s="205"/>
      <c r="AU729"/>
    </row>
    <row r="730" spans="2:47" ht="15" customHeight="1" x14ac:dyDescent="0.25">
      <c r="B730" s="206"/>
      <c r="C730" s="185"/>
      <c r="D730" s="164"/>
      <c r="E730" s="174"/>
      <c r="F730" s="164"/>
      <c r="G730" s="174"/>
      <c r="H730" s="164"/>
      <c r="I730" s="174"/>
      <c r="J730" s="184"/>
      <c r="K730" s="186"/>
      <c r="L730" s="187" t="str">
        <f t="shared" si="198"/>
        <v/>
      </c>
      <c r="M730" s="187" t="str">
        <f t="shared" si="199"/>
        <v/>
      </c>
      <c r="N730" s="187" t="str">
        <f t="shared" si="191"/>
        <v>D</v>
      </c>
      <c r="O730" s="187" t="str">
        <f t="shared" si="200"/>
        <v>D</v>
      </c>
      <c r="P730" s="187">
        <f t="shared" si="201"/>
        <v>1</v>
      </c>
      <c r="Q730" s="187">
        <f>IFERROR(VLOOKUP(E730,Tabela_Deflator:E$43,5,FALSE),1)</f>
        <v>1</v>
      </c>
      <c r="R730" s="188" t="str">
        <f t="shared" si="202"/>
        <v/>
      </c>
      <c r="S730" s="237" t="str">
        <f t="shared" si="192"/>
        <v/>
      </c>
      <c r="T730" s="237" t="str">
        <f t="shared" si="207"/>
        <v/>
      </c>
      <c r="U730" s="189"/>
      <c r="V730" s="167"/>
      <c r="W730" s="165"/>
      <c r="X730" s="164"/>
      <c r="Y730" s="164"/>
      <c r="Z730" s="164"/>
      <c r="AA730" s="174"/>
      <c r="AB730" s="164"/>
      <c r="AC730" s="174"/>
      <c r="AD730" s="184"/>
      <c r="AE730" s="190" t="str">
        <f t="shared" si="203"/>
        <v/>
      </c>
      <c r="AF730" s="190" t="str">
        <f t="shared" si="204"/>
        <v/>
      </c>
      <c r="AG730" s="190" t="str">
        <f t="shared" si="193"/>
        <v>D</v>
      </c>
      <c r="AH730" s="190">
        <f>IFERROR(VLOOKUP(Y730,SISP_Deflatores_e_INMs!B$4:F$49,3,FALSE),1)</f>
        <v>1</v>
      </c>
      <c r="AI730" s="190">
        <f>IFERROR(VLOOKUP(Y730,SISP_Deflatores_e_INMs!B$4:G$49,5,FALSE),1)</f>
        <v>1</v>
      </c>
      <c r="AJ730" s="191" t="str">
        <f t="shared" si="205"/>
        <v/>
      </c>
      <c r="AK730" s="237" t="str">
        <f t="shared" si="194"/>
        <v/>
      </c>
      <c r="AL730" s="237" t="str">
        <f t="shared" si="206"/>
        <v/>
      </c>
      <c r="AM730" s="192" t="e">
        <f t="shared" si="195"/>
        <v>#VALUE!</v>
      </c>
      <c r="AN730" s="193" t="e">
        <f t="shared" si="196"/>
        <v>#VALUE!</v>
      </c>
      <c r="AO730" s="193" t="e">
        <f t="shared" si="197"/>
        <v>#VALUE!</v>
      </c>
      <c r="AP730" s="193"/>
      <c r="AQ730" s="204"/>
      <c r="AR730" s="204"/>
      <c r="AS730" s="204"/>
      <c r="AT730" s="205"/>
      <c r="AU730"/>
    </row>
    <row r="731" spans="2:47" ht="15" customHeight="1" x14ac:dyDescent="0.25">
      <c r="B731" s="206"/>
      <c r="C731" s="185"/>
      <c r="D731" s="164"/>
      <c r="E731" s="174"/>
      <c r="F731" s="164"/>
      <c r="G731" s="174"/>
      <c r="H731" s="164"/>
      <c r="I731" s="174"/>
      <c r="J731" s="184"/>
      <c r="K731" s="186"/>
      <c r="L731" s="187" t="str">
        <f t="shared" si="198"/>
        <v/>
      </c>
      <c r="M731" s="187" t="str">
        <f t="shared" si="199"/>
        <v/>
      </c>
      <c r="N731" s="187" t="str">
        <f t="shared" si="191"/>
        <v>D</v>
      </c>
      <c r="O731" s="187" t="str">
        <f t="shared" si="200"/>
        <v>D</v>
      </c>
      <c r="P731" s="187">
        <f t="shared" si="201"/>
        <v>1</v>
      </c>
      <c r="Q731" s="187">
        <f>IFERROR(VLOOKUP(E731,Tabela_Deflator:E$43,5,FALSE),1)</f>
        <v>1</v>
      </c>
      <c r="R731" s="188" t="str">
        <f t="shared" si="202"/>
        <v/>
      </c>
      <c r="S731" s="237" t="str">
        <f t="shared" si="192"/>
        <v/>
      </c>
      <c r="T731" s="237" t="str">
        <f t="shared" si="207"/>
        <v/>
      </c>
      <c r="U731" s="189"/>
      <c r="V731" s="167"/>
      <c r="W731" s="165"/>
      <c r="X731" s="164"/>
      <c r="Y731" s="164"/>
      <c r="Z731" s="164"/>
      <c r="AA731" s="174"/>
      <c r="AB731" s="164"/>
      <c r="AC731" s="174"/>
      <c r="AD731" s="184"/>
      <c r="AE731" s="190" t="str">
        <f t="shared" si="203"/>
        <v/>
      </c>
      <c r="AF731" s="190" t="str">
        <f t="shared" si="204"/>
        <v/>
      </c>
      <c r="AG731" s="190" t="str">
        <f t="shared" si="193"/>
        <v>D</v>
      </c>
      <c r="AH731" s="190">
        <f>IFERROR(VLOOKUP(Y731,SISP_Deflatores_e_INMs!B$4:F$49,3,FALSE),1)</f>
        <v>1</v>
      </c>
      <c r="AI731" s="190">
        <f>IFERROR(VLOOKUP(Y731,SISP_Deflatores_e_INMs!B$4:G$49,5,FALSE),1)</f>
        <v>1</v>
      </c>
      <c r="AJ731" s="191" t="str">
        <f t="shared" si="205"/>
        <v/>
      </c>
      <c r="AK731" s="237" t="str">
        <f t="shared" si="194"/>
        <v/>
      </c>
      <c r="AL731" s="237" t="str">
        <f t="shared" si="206"/>
        <v/>
      </c>
      <c r="AM731" s="192" t="e">
        <f t="shared" si="195"/>
        <v>#VALUE!</v>
      </c>
      <c r="AN731" s="193" t="e">
        <f t="shared" si="196"/>
        <v>#VALUE!</v>
      </c>
      <c r="AO731" s="193" t="e">
        <f t="shared" si="197"/>
        <v>#VALUE!</v>
      </c>
      <c r="AP731" s="193"/>
      <c r="AQ731" s="204"/>
      <c r="AR731" s="204"/>
      <c r="AS731" s="204"/>
      <c r="AT731" s="205"/>
      <c r="AU731"/>
    </row>
    <row r="732" spans="2:47" ht="15" customHeight="1" x14ac:dyDescent="0.25">
      <c r="B732" s="206"/>
      <c r="C732" s="185"/>
      <c r="D732" s="164"/>
      <c r="E732" s="174"/>
      <c r="F732" s="164"/>
      <c r="G732" s="174"/>
      <c r="H732" s="164"/>
      <c r="I732" s="174"/>
      <c r="J732" s="184"/>
      <c r="K732" s="186"/>
      <c r="L732" s="187" t="str">
        <f t="shared" si="198"/>
        <v/>
      </c>
      <c r="M732" s="187" t="str">
        <f t="shared" si="199"/>
        <v/>
      </c>
      <c r="N732" s="187" t="str">
        <f t="shared" si="191"/>
        <v>D</v>
      </c>
      <c r="O732" s="187" t="str">
        <f t="shared" si="200"/>
        <v>D</v>
      </c>
      <c r="P732" s="187">
        <f t="shared" si="201"/>
        <v>1</v>
      </c>
      <c r="Q732" s="187">
        <f>IFERROR(VLOOKUP(E732,Tabela_Deflator:E$43,5,FALSE),1)</f>
        <v>1</v>
      </c>
      <c r="R732" s="188" t="str">
        <f t="shared" si="202"/>
        <v/>
      </c>
      <c r="S732" s="237" t="str">
        <f t="shared" si="192"/>
        <v/>
      </c>
      <c r="T732" s="237" t="str">
        <f t="shared" si="207"/>
        <v/>
      </c>
      <c r="U732" s="189"/>
      <c r="V732" s="167"/>
      <c r="W732" s="165"/>
      <c r="X732" s="164"/>
      <c r="Y732" s="164"/>
      <c r="Z732" s="164"/>
      <c r="AA732" s="174"/>
      <c r="AB732" s="164"/>
      <c r="AC732" s="174"/>
      <c r="AD732" s="184"/>
      <c r="AE732" s="190" t="str">
        <f t="shared" si="203"/>
        <v/>
      </c>
      <c r="AF732" s="190" t="str">
        <f t="shared" si="204"/>
        <v/>
      </c>
      <c r="AG732" s="190" t="str">
        <f t="shared" si="193"/>
        <v>D</v>
      </c>
      <c r="AH732" s="190">
        <f>IFERROR(VLOOKUP(Y732,SISP_Deflatores_e_INMs!B$4:F$49,3,FALSE),1)</f>
        <v>1</v>
      </c>
      <c r="AI732" s="190">
        <f>IFERROR(VLOOKUP(Y732,SISP_Deflatores_e_INMs!B$4:G$49,5,FALSE),1)</f>
        <v>1</v>
      </c>
      <c r="AJ732" s="191" t="str">
        <f t="shared" si="205"/>
        <v/>
      </c>
      <c r="AK732" s="237" t="str">
        <f t="shared" si="194"/>
        <v/>
      </c>
      <c r="AL732" s="237" t="str">
        <f t="shared" si="206"/>
        <v/>
      </c>
      <c r="AM732" s="192" t="e">
        <f t="shared" si="195"/>
        <v>#VALUE!</v>
      </c>
      <c r="AN732" s="193" t="e">
        <f t="shared" si="196"/>
        <v>#VALUE!</v>
      </c>
      <c r="AO732" s="193" t="e">
        <f t="shared" si="197"/>
        <v>#VALUE!</v>
      </c>
      <c r="AP732" s="193"/>
      <c r="AQ732" s="204"/>
      <c r="AR732" s="204"/>
      <c r="AS732" s="204"/>
      <c r="AT732" s="205"/>
      <c r="AU732"/>
    </row>
    <row r="733" spans="2:47" ht="15" customHeight="1" x14ac:dyDescent="0.25">
      <c r="B733" s="206"/>
      <c r="C733" s="185"/>
      <c r="D733" s="164"/>
      <c r="E733" s="174"/>
      <c r="F733" s="164"/>
      <c r="G733" s="174"/>
      <c r="H733" s="164"/>
      <c r="I733" s="174"/>
      <c r="J733" s="184"/>
      <c r="K733" s="186"/>
      <c r="L733" s="187" t="str">
        <f t="shared" si="198"/>
        <v/>
      </c>
      <c r="M733" s="187" t="str">
        <f t="shared" si="199"/>
        <v/>
      </c>
      <c r="N733" s="187" t="str">
        <f t="shared" si="191"/>
        <v>D</v>
      </c>
      <c r="O733" s="187" t="str">
        <f t="shared" si="200"/>
        <v>D</v>
      </c>
      <c r="P733" s="187">
        <f t="shared" si="201"/>
        <v>1</v>
      </c>
      <c r="Q733" s="187">
        <f>IFERROR(VLOOKUP(E733,Tabela_Deflator:E$43,5,FALSE),1)</f>
        <v>1</v>
      </c>
      <c r="R733" s="188" t="str">
        <f t="shared" si="202"/>
        <v/>
      </c>
      <c r="S733" s="237" t="str">
        <f t="shared" si="192"/>
        <v/>
      </c>
      <c r="T733" s="237" t="str">
        <f t="shared" si="207"/>
        <v/>
      </c>
      <c r="U733" s="189"/>
      <c r="V733" s="167"/>
      <c r="W733" s="165"/>
      <c r="X733" s="164"/>
      <c r="Y733" s="164"/>
      <c r="Z733" s="164"/>
      <c r="AA733" s="174"/>
      <c r="AB733" s="164"/>
      <c r="AC733" s="174"/>
      <c r="AD733" s="184"/>
      <c r="AE733" s="190" t="str">
        <f t="shared" si="203"/>
        <v/>
      </c>
      <c r="AF733" s="190" t="str">
        <f t="shared" si="204"/>
        <v/>
      </c>
      <c r="AG733" s="190" t="str">
        <f t="shared" si="193"/>
        <v>D</v>
      </c>
      <c r="AH733" s="190">
        <f>IFERROR(VLOOKUP(Y733,SISP_Deflatores_e_INMs!B$4:F$49,3,FALSE),1)</f>
        <v>1</v>
      </c>
      <c r="AI733" s="190">
        <f>IFERROR(VLOOKUP(Y733,SISP_Deflatores_e_INMs!B$4:G$49,5,FALSE),1)</f>
        <v>1</v>
      </c>
      <c r="AJ733" s="191" t="str">
        <f t="shared" si="205"/>
        <v/>
      </c>
      <c r="AK733" s="237" t="str">
        <f t="shared" si="194"/>
        <v/>
      </c>
      <c r="AL733" s="237" t="str">
        <f t="shared" si="206"/>
        <v/>
      </c>
      <c r="AM733" s="192" t="e">
        <f t="shared" si="195"/>
        <v>#VALUE!</v>
      </c>
      <c r="AN733" s="193" t="e">
        <f t="shared" si="196"/>
        <v>#VALUE!</v>
      </c>
      <c r="AO733" s="193" t="e">
        <f t="shared" si="197"/>
        <v>#VALUE!</v>
      </c>
      <c r="AP733" s="193"/>
      <c r="AQ733" s="204"/>
      <c r="AR733" s="204"/>
      <c r="AS733" s="204"/>
      <c r="AT733" s="205"/>
      <c r="AU733"/>
    </row>
    <row r="734" spans="2:47" ht="15" customHeight="1" x14ac:dyDescent="0.25">
      <c r="B734" s="206"/>
      <c r="C734" s="185"/>
      <c r="D734" s="164"/>
      <c r="E734" s="174"/>
      <c r="F734" s="164"/>
      <c r="G734" s="174"/>
      <c r="H734" s="164"/>
      <c r="I734" s="174"/>
      <c r="J734" s="184"/>
      <c r="K734" s="186"/>
      <c r="L734" s="187" t="str">
        <f t="shared" si="198"/>
        <v/>
      </c>
      <c r="M734" s="187" t="str">
        <f t="shared" si="199"/>
        <v/>
      </c>
      <c r="N734" s="187" t="str">
        <f t="shared" si="191"/>
        <v>D</v>
      </c>
      <c r="O734" s="187" t="str">
        <f t="shared" si="200"/>
        <v>D</v>
      </c>
      <c r="P734" s="187">
        <f t="shared" si="201"/>
        <v>1</v>
      </c>
      <c r="Q734" s="187">
        <f>IFERROR(VLOOKUP(E734,Tabela_Deflator:E$43,5,FALSE),1)</f>
        <v>1</v>
      </c>
      <c r="R734" s="188" t="str">
        <f t="shared" si="202"/>
        <v/>
      </c>
      <c r="S734" s="237" t="str">
        <f t="shared" si="192"/>
        <v/>
      </c>
      <c r="T734" s="237" t="str">
        <f t="shared" si="207"/>
        <v/>
      </c>
      <c r="U734" s="189"/>
      <c r="V734" s="167"/>
      <c r="W734" s="165"/>
      <c r="X734" s="164"/>
      <c r="Y734" s="164"/>
      <c r="Z734" s="164"/>
      <c r="AA734" s="174"/>
      <c r="AB734" s="164"/>
      <c r="AC734" s="174"/>
      <c r="AD734" s="184"/>
      <c r="AE734" s="190" t="str">
        <f t="shared" si="203"/>
        <v/>
      </c>
      <c r="AF734" s="190" t="str">
        <f t="shared" si="204"/>
        <v/>
      </c>
      <c r="AG734" s="190" t="str">
        <f t="shared" si="193"/>
        <v>D</v>
      </c>
      <c r="AH734" s="190">
        <f>IFERROR(VLOOKUP(Y734,SISP_Deflatores_e_INMs!B$4:F$49,3,FALSE),1)</f>
        <v>1</v>
      </c>
      <c r="AI734" s="190">
        <f>IFERROR(VLOOKUP(Y734,SISP_Deflatores_e_INMs!B$4:G$49,5,FALSE),1)</f>
        <v>1</v>
      </c>
      <c r="AJ734" s="191" t="str">
        <f t="shared" si="205"/>
        <v/>
      </c>
      <c r="AK734" s="237" t="str">
        <f t="shared" si="194"/>
        <v/>
      </c>
      <c r="AL734" s="237" t="str">
        <f t="shared" si="206"/>
        <v/>
      </c>
      <c r="AM734" s="192" t="e">
        <f t="shared" si="195"/>
        <v>#VALUE!</v>
      </c>
      <c r="AN734" s="193" t="e">
        <f t="shared" si="196"/>
        <v>#VALUE!</v>
      </c>
      <c r="AO734" s="193" t="e">
        <f t="shared" si="197"/>
        <v>#VALUE!</v>
      </c>
      <c r="AP734" s="193"/>
      <c r="AQ734" s="204"/>
      <c r="AR734" s="204"/>
      <c r="AS734" s="204"/>
      <c r="AT734" s="205"/>
      <c r="AU734"/>
    </row>
    <row r="735" spans="2:47" ht="15" customHeight="1" x14ac:dyDescent="0.25">
      <c r="B735" s="206"/>
      <c r="C735" s="185"/>
      <c r="D735" s="164"/>
      <c r="E735" s="174"/>
      <c r="F735" s="164"/>
      <c r="G735" s="174"/>
      <c r="H735" s="164"/>
      <c r="I735" s="174"/>
      <c r="J735" s="184"/>
      <c r="K735" s="186"/>
      <c r="L735" s="187" t="str">
        <f t="shared" si="198"/>
        <v/>
      </c>
      <c r="M735" s="187" t="str">
        <f t="shared" si="199"/>
        <v/>
      </c>
      <c r="N735" s="187" t="str">
        <f t="shared" si="191"/>
        <v>D</v>
      </c>
      <c r="O735" s="187" t="str">
        <f t="shared" si="200"/>
        <v>D</v>
      </c>
      <c r="P735" s="187">
        <f t="shared" si="201"/>
        <v>1</v>
      </c>
      <c r="Q735" s="187">
        <f>IFERROR(VLOOKUP(E735,Tabela_Deflator:E$43,5,FALSE),1)</f>
        <v>1</v>
      </c>
      <c r="R735" s="188" t="str">
        <f t="shared" si="202"/>
        <v/>
      </c>
      <c r="S735" s="237" t="str">
        <f t="shared" si="192"/>
        <v/>
      </c>
      <c r="T735" s="237" t="str">
        <f t="shared" si="207"/>
        <v/>
      </c>
      <c r="U735" s="189"/>
      <c r="V735" s="167"/>
      <c r="W735" s="165"/>
      <c r="X735" s="164"/>
      <c r="Y735" s="164"/>
      <c r="Z735" s="164"/>
      <c r="AA735" s="174"/>
      <c r="AB735" s="164"/>
      <c r="AC735" s="174"/>
      <c r="AD735" s="184"/>
      <c r="AE735" s="190" t="str">
        <f t="shared" si="203"/>
        <v/>
      </c>
      <c r="AF735" s="190" t="str">
        <f t="shared" si="204"/>
        <v/>
      </c>
      <c r="AG735" s="190" t="str">
        <f t="shared" si="193"/>
        <v>D</v>
      </c>
      <c r="AH735" s="190">
        <f>IFERROR(VLOOKUP(Y735,SISP_Deflatores_e_INMs!B$4:F$49,3,FALSE),1)</f>
        <v>1</v>
      </c>
      <c r="AI735" s="190">
        <f>IFERROR(VLOOKUP(Y735,SISP_Deflatores_e_INMs!B$4:G$49,5,FALSE),1)</f>
        <v>1</v>
      </c>
      <c r="AJ735" s="191" t="str">
        <f t="shared" si="205"/>
        <v/>
      </c>
      <c r="AK735" s="237" t="str">
        <f t="shared" si="194"/>
        <v/>
      </c>
      <c r="AL735" s="237" t="str">
        <f t="shared" si="206"/>
        <v/>
      </c>
      <c r="AM735" s="192" t="e">
        <f t="shared" si="195"/>
        <v>#VALUE!</v>
      </c>
      <c r="AN735" s="193" t="e">
        <f t="shared" si="196"/>
        <v>#VALUE!</v>
      </c>
      <c r="AO735" s="193" t="e">
        <f t="shared" si="197"/>
        <v>#VALUE!</v>
      </c>
      <c r="AP735" s="193"/>
      <c r="AQ735" s="204"/>
      <c r="AR735" s="204"/>
      <c r="AS735" s="204"/>
      <c r="AT735" s="205"/>
      <c r="AU735"/>
    </row>
    <row r="736" spans="2:47" ht="15" customHeight="1" x14ac:dyDescent="0.25">
      <c r="B736" s="206"/>
      <c r="C736" s="185"/>
      <c r="D736" s="164"/>
      <c r="E736" s="174"/>
      <c r="F736" s="164"/>
      <c r="G736" s="174"/>
      <c r="H736" s="164"/>
      <c r="I736" s="174"/>
      <c r="J736" s="184"/>
      <c r="K736" s="186"/>
      <c r="L736" s="187" t="str">
        <f t="shared" si="198"/>
        <v/>
      </c>
      <c r="M736" s="187" t="str">
        <f t="shared" si="199"/>
        <v/>
      </c>
      <c r="N736" s="187" t="str">
        <f t="shared" si="191"/>
        <v>D</v>
      </c>
      <c r="O736" s="187" t="str">
        <f t="shared" si="200"/>
        <v>D</v>
      </c>
      <c r="P736" s="187">
        <f t="shared" si="201"/>
        <v>1</v>
      </c>
      <c r="Q736" s="187">
        <f>IFERROR(VLOOKUP(E736,Tabela_Deflator:E$43,5,FALSE),1)</f>
        <v>1</v>
      </c>
      <c r="R736" s="188" t="str">
        <f t="shared" si="202"/>
        <v/>
      </c>
      <c r="S736" s="237" t="str">
        <f t="shared" si="192"/>
        <v/>
      </c>
      <c r="T736" s="237" t="str">
        <f t="shared" si="207"/>
        <v/>
      </c>
      <c r="U736" s="189"/>
      <c r="V736" s="167"/>
      <c r="W736" s="165"/>
      <c r="X736" s="164"/>
      <c r="Y736" s="164"/>
      <c r="Z736" s="164"/>
      <c r="AA736" s="174"/>
      <c r="AB736" s="164"/>
      <c r="AC736" s="174"/>
      <c r="AD736" s="184"/>
      <c r="AE736" s="190" t="str">
        <f t="shared" si="203"/>
        <v/>
      </c>
      <c r="AF736" s="190" t="str">
        <f t="shared" si="204"/>
        <v/>
      </c>
      <c r="AG736" s="190" t="str">
        <f t="shared" si="193"/>
        <v>D</v>
      </c>
      <c r="AH736" s="190">
        <f>IFERROR(VLOOKUP(Y736,SISP_Deflatores_e_INMs!B$4:F$49,3,FALSE),1)</f>
        <v>1</v>
      </c>
      <c r="AI736" s="190">
        <f>IFERROR(VLOOKUP(Y736,SISP_Deflatores_e_INMs!B$4:G$49,5,FALSE),1)</f>
        <v>1</v>
      </c>
      <c r="AJ736" s="191" t="str">
        <f t="shared" si="205"/>
        <v/>
      </c>
      <c r="AK736" s="237" t="str">
        <f t="shared" si="194"/>
        <v/>
      </c>
      <c r="AL736" s="237" t="str">
        <f t="shared" si="206"/>
        <v/>
      </c>
      <c r="AM736" s="192" t="e">
        <f t="shared" si="195"/>
        <v>#VALUE!</v>
      </c>
      <c r="AN736" s="193" t="e">
        <f t="shared" si="196"/>
        <v>#VALUE!</v>
      </c>
      <c r="AO736" s="193" t="e">
        <f t="shared" si="197"/>
        <v>#VALUE!</v>
      </c>
      <c r="AP736" s="193"/>
      <c r="AQ736" s="204"/>
      <c r="AR736" s="204"/>
      <c r="AS736" s="204"/>
      <c r="AT736" s="205"/>
      <c r="AU736"/>
    </row>
    <row r="737" spans="2:47" ht="15" customHeight="1" x14ac:dyDescent="0.25">
      <c r="B737" s="206"/>
      <c r="C737" s="185"/>
      <c r="D737" s="164"/>
      <c r="E737" s="174"/>
      <c r="F737" s="164"/>
      <c r="G737" s="174"/>
      <c r="H737" s="164"/>
      <c r="I737" s="174"/>
      <c r="J737" s="184"/>
      <c r="K737" s="186"/>
      <c r="L737" s="187" t="str">
        <f t="shared" si="198"/>
        <v/>
      </c>
      <c r="M737" s="187" t="str">
        <f t="shared" si="199"/>
        <v/>
      </c>
      <c r="N737" s="187" t="str">
        <f t="shared" si="191"/>
        <v>D</v>
      </c>
      <c r="O737" s="187" t="str">
        <f t="shared" si="200"/>
        <v>D</v>
      </c>
      <c r="P737" s="187">
        <f t="shared" si="201"/>
        <v>1</v>
      </c>
      <c r="Q737" s="187">
        <f>IFERROR(VLOOKUP(E737,Tabela_Deflator:E$43,5,FALSE),1)</f>
        <v>1</v>
      </c>
      <c r="R737" s="188" t="str">
        <f t="shared" si="202"/>
        <v/>
      </c>
      <c r="S737" s="237" t="str">
        <f t="shared" si="192"/>
        <v/>
      </c>
      <c r="T737" s="237" t="str">
        <f t="shared" si="207"/>
        <v/>
      </c>
      <c r="U737" s="189"/>
      <c r="V737" s="167"/>
      <c r="W737" s="165"/>
      <c r="X737" s="164"/>
      <c r="Y737" s="164"/>
      <c r="Z737" s="164"/>
      <c r="AA737" s="174"/>
      <c r="AB737" s="164"/>
      <c r="AC737" s="174"/>
      <c r="AD737" s="184"/>
      <c r="AE737" s="190" t="str">
        <f t="shared" si="203"/>
        <v/>
      </c>
      <c r="AF737" s="190" t="str">
        <f t="shared" si="204"/>
        <v/>
      </c>
      <c r="AG737" s="190" t="str">
        <f t="shared" si="193"/>
        <v>D</v>
      </c>
      <c r="AH737" s="190">
        <f>IFERROR(VLOOKUP(Y737,SISP_Deflatores_e_INMs!B$4:F$49,3,FALSE),1)</f>
        <v>1</v>
      </c>
      <c r="AI737" s="190">
        <f>IFERROR(VLOOKUP(Y737,SISP_Deflatores_e_INMs!B$4:G$49,5,FALSE),1)</f>
        <v>1</v>
      </c>
      <c r="AJ737" s="191" t="str">
        <f t="shared" si="205"/>
        <v/>
      </c>
      <c r="AK737" s="237" t="str">
        <f t="shared" si="194"/>
        <v/>
      </c>
      <c r="AL737" s="237" t="str">
        <f t="shared" si="206"/>
        <v/>
      </c>
      <c r="AM737" s="192" t="e">
        <f t="shared" si="195"/>
        <v>#VALUE!</v>
      </c>
      <c r="AN737" s="193" t="e">
        <f t="shared" si="196"/>
        <v>#VALUE!</v>
      </c>
      <c r="AO737" s="193" t="e">
        <f t="shared" si="197"/>
        <v>#VALUE!</v>
      </c>
      <c r="AP737" s="193"/>
      <c r="AQ737" s="204"/>
      <c r="AR737" s="204"/>
      <c r="AS737" s="204"/>
      <c r="AT737" s="205"/>
      <c r="AU737"/>
    </row>
    <row r="738" spans="2:47" ht="15" customHeight="1" x14ac:dyDescent="0.25">
      <c r="B738" s="206"/>
      <c r="C738" s="185"/>
      <c r="D738" s="164"/>
      <c r="E738" s="174"/>
      <c r="F738" s="164"/>
      <c r="G738" s="174"/>
      <c r="H738" s="164"/>
      <c r="I738" s="174"/>
      <c r="J738" s="184"/>
      <c r="K738" s="186"/>
      <c r="L738" s="187" t="str">
        <f t="shared" si="198"/>
        <v/>
      </c>
      <c r="M738" s="187" t="str">
        <f t="shared" si="199"/>
        <v/>
      </c>
      <c r="N738" s="187" t="str">
        <f t="shared" si="191"/>
        <v>D</v>
      </c>
      <c r="O738" s="187" t="str">
        <f t="shared" si="200"/>
        <v>D</v>
      </c>
      <c r="P738" s="187">
        <f t="shared" si="201"/>
        <v>1</v>
      </c>
      <c r="Q738" s="187">
        <f>IFERROR(VLOOKUP(E738,Tabela_Deflator:E$43,5,FALSE),1)</f>
        <v>1</v>
      </c>
      <c r="R738" s="188" t="str">
        <f t="shared" si="202"/>
        <v/>
      </c>
      <c r="S738" s="237" t="str">
        <f t="shared" si="192"/>
        <v/>
      </c>
      <c r="T738" s="237" t="str">
        <f t="shared" si="207"/>
        <v/>
      </c>
      <c r="U738" s="189"/>
      <c r="V738" s="167"/>
      <c r="W738" s="165"/>
      <c r="X738" s="164"/>
      <c r="Y738" s="164"/>
      <c r="Z738" s="164"/>
      <c r="AA738" s="174"/>
      <c r="AB738" s="164"/>
      <c r="AC738" s="174"/>
      <c r="AD738" s="184"/>
      <c r="AE738" s="190" t="str">
        <f t="shared" si="203"/>
        <v/>
      </c>
      <c r="AF738" s="190" t="str">
        <f t="shared" si="204"/>
        <v/>
      </c>
      <c r="AG738" s="190" t="str">
        <f t="shared" si="193"/>
        <v>D</v>
      </c>
      <c r="AH738" s="190">
        <f>IFERROR(VLOOKUP(Y738,SISP_Deflatores_e_INMs!B$4:F$49,3,FALSE),1)</f>
        <v>1</v>
      </c>
      <c r="AI738" s="190">
        <f>IFERROR(VLOOKUP(Y738,SISP_Deflatores_e_INMs!B$4:G$49,5,FALSE),1)</f>
        <v>1</v>
      </c>
      <c r="AJ738" s="191" t="str">
        <f t="shared" si="205"/>
        <v/>
      </c>
      <c r="AK738" s="237" t="str">
        <f t="shared" si="194"/>
        <v/>
      </c>
      <c r="AL738" s="237" t="str">
        <f t="shared" si="206"/>
        <v/>
      </c>
      <c r="AM738" s="192" t="e">
        <f t="shared" si="195"/>
        <v>#VALUE!</v>
      </c>
      <c r="AN738" s="193" t="e">
        <f t="shared" si="196"/>
        <v>#VALUE!</v>
      </c>
      <c r="AO738" s="193" t="e">
        <f t="shared" si="197"/>
        <v>#VALUE!</v>
      </c>
      <c r="AP738" s="193"/>
      <c r="AQ738" s="204"/>
      <c r="AR738" s="204"/>
      <c r="AS738" s="204"/>
      <c r="AT738" s="205"/>
      <c r="AU738"/>
    </row>
    <row r="739" spans="2:47" ht="15" customHeight="1" x14ac:dyDescent="0.25">
      <c r="B739" s="206"/>
      <c r="C739" s="185"/>
      <c r="D739" s="164"/>
      <c r="E739" s="174"/>
      <c r="F739" s="164"/>
      <c r="G739" s="174"/>
      <c r="H739" s="164"/>
      <c r="I739" s="174"/>
      <c r="J739" s="184"/>
      <c r="K739" s="186"/>
      <c r="L739" s="187" t="str">
        <f t="shared" si="198"/>
        <v/>
      </c>
      <c r="M739" s="187" t="str">
        <f t="shared" si="199"/>
        <v/>
      </c>
      <c r="N739" s="187" t="str">
        <f t="shared" si="191"/>
        <v>D</v>
      </c>
      <c r="O739" s="187" t="str">
        <f t="shared" si="200"/>
        <v>D</v>
      </c>
      <c r="P739" s="187">
        <f t="shared" si="201"/>
        <v>1</v>
      </c>
      <c r="Q739" s="187">
        <f>IFERROR(VLOOKUP(E739,Tabela_Deflator:E$43,5,FALSE),1)</f>
        <v>1</v>
      </c>
      <c r="R739" s="188" t="str">
        <f t="shared" si="202"/>
        <v/>
      </c>
      <c r="S739" s="237" t="str">
        <f t="shared" si="192"/>
        <v/>
      </c>
      <c r="T739" s="237" t="str">
        <f t="shared" si="207"/>
        <v/>
      </c>
      <c r="U739" s="189"/>
      <c r="V739" s="167"/>
      <c r="W739" s="165"/>
      <c r="X739" s="164"/>
      <c r="Y739" s="164"/>
      <c r="Z739" s="164"/>
      <c r="AA739" s="174"/>
      <c r="AB739" s="164"/>
      <c r="AC739" s="174"/>
      <c r="AD739" s="184"/>
      <c r="AE739" s="190" t="str">
        <f t="shared" si="203"/>
        <v/>
      </c>
      <c r="AF739" s="190" t="str">
        <f t="shared" si="204"/>
        <v/>
      </c>
      <c r="AG739" s="190" t="str">
        <f t="shared" si="193"/>
        <v>D</v>
      </c>
      <c r="AH739" s="190">
        <f>IFERROR(VLOOKUP(Y739,SISP_Deflatores_e_INMs!B$4:F$49,3,FALSE),1)</f>
        <v>1</v>
      </c>
      <c r="AI739" s="190">
        <f>IFERROR(VLOOKUP(Y739,SISP_Deflatores_e_INMs!B$4:G$49,5,FALSE),1)</f>
        <v>1</v>
      </c>
      <c r="AJ739" s="191" t="str">
        <f t="shared" si="205"/>
        <v/>
      </c>
      <c r="AK739" s="237" t="str">
        <f t="shared" si="194"/>
        <v/>
      </c>
      <c r="AL739" s="237" t="str">
        <f t="shared" si="206"/>
        <v/>
      </c>
      <c r="AM739" s="192" t="e">
        <f t="shared" si="195"/>
        <v>#VALUE!</v>
      </c>
      <c r="AN739" s="193" t="e">
        <f t="shared" si="196"/>
        <v>#VALUE!</v>
      </c>
      <c r="AO739" s="193" t="e">
        <f t="shared" si="197"/>
        <v>#VALUE!</v>
      </c>
      <c r="AP739" s="193"/>
      <c r="AQ739" s="204"/>
      <c r="AR739" s="204"/>
      <c r="AS739" s="204"/>
      <c r="AT739" s="205"/>
      <c r="AU739"/>
    </row>
    <row r="740" spans="2:47" ht="15" customHeight="1" x14ac:dyDescent="0.25">
      <c r="B740" s="206"/>
      <c r="C740" s="185"/>
      <c r="D740" s="164"/>
      <c r="E740" s="174"/>
      <c r="F740" s="164"/>
      <c r="G740" s="174"/>
      <c r="H740" s="164"/>
      <c r="I740" s="174"/>
      <c r="J740" s="184"/>
      <c r="K740" s="186"/>
      <c r="L740" s="187" t="str">
        <f t="shared" si="198"/>
        <v/>
      </c>
      <c r="M740" s="187" t="str">
        <f t="shared" si="199"/>
        <v/>
      </c>
      <c r="N740" s="187" t="str">
        <f t="shared" si="191"/>
        <v>D</v>
      </c>
      <c r="O740" s="187" t="str">
        <f t="shared" si="200"/>
        <v>D</v>
      </c>
      <c r="P740" s="187">
        <f t="shared" si="201"/>
        <v>1</v>
      </c>
      <c r="Q740" s="187">
        <f>IFERROR(VLOOKUP(E740,Tabela_Deflator:E$43,5,FALSE),1)</f>
        <v>1</v>
      </c>
      <c r="R740" s="188" t="str">
        <f t="shared" si="202"/>
        <v/>
      </c>
      <c r="S740" s="237" t="str">
        <f t="shared" si="192"/>
        <v/>
      </c>
      <c r="T740" s="237" t="str">
        <f t="shared" si="207"/>
        <v/>
      </c>
      <c r="U740" s="189"/>
      <c r="V740" s="167"/>
      <c r="W740" s="165"/>
      <c r="X740" s="164"/>
      <c r="Y740" s="164"/>
      <c r="Z740" s="164"/>
      <c r="AA740" s="174"/>
      <c r="AB740" s="164"/>
      <c r="AC740" s="174"/>
      <c r="AD740" s="184"/>
      <c r="AE740" s="190" t="str">
        <f t="shared" si="203"/>
        <v/>
      </c>
      <c r="AF740" s="190" t="str">
        <f t="shared" si="204"/>
        <v/>
      </c>
      <c r="AG740" s="190" t="str">
        <f t="shared" si="193"/>
        <v>D</v>
      </c>
      <c r="AH740" s="190">
        <f>IFERROR(VLOOKUP(Y740,SISP_Deflatores_e_INMs!B$4:F$49,3,FALSE),1)</f>
        <v>1</v>
      </c>
      <c r="AI740" s="190">
        <f>IFERROR(VLOOKUP(Y740,SISP_Deflatores_e_INMs!B$4:G$49,5,FALSE),1)</f>
        <v>1</v>
      </c>
      <c r="AJ740" s="191" t="str">
        <f t="shared" si="205"/>
        <v/>
      </c>
      <c r="AK740" s="237" t="str">
        <f t="shared" si="194"/>
        <v/>
      </c>
      <c r="AL740" s="237" t="str">
        <f t="shared" si="206"/>
        <v/>
      </c>
      <c r="AM740" s="192" t="e">
        <f t="shared" si="195"/>
        <v>#VALUE!</v>
      </c>
      <c r="AN740" s="193" t="e">
        <f t="shared" si="196"/>
        <v>#VALUE!</v>
      </c>
      <c r="AO740" s="193" t="e">
        <f t="shared" si="197"/>
        <v>#VALUE!</v>
      </c>
      <c r="AP740" s="193"/>
      <c r="AQ740" s="204"/>
      <c r="AR740" s="204"/>
      <c r="AS740" s="204"/>
      <c r="AT740" s="205"/>
      <c r="AU740"/>
    </row>
    <row r="741" spans="2:47" ht="15" customHeight="1" x14ac:dyDescent="0.25">
      <c r="B741" s="206"/>
      <c r="C741" s="185"/>
      <c r="D741" s="164"/>
      <c r="E741" s="174"/>
      <c r="F741" s="164"/>
      <c r="G741" s="174"/>
      <c r="H741" s="164"/>
      <c r="I741" s="174"/>
      <c r="J741" s="184"/>
      <c r="K741" s="186"/>
      <c r="L741" s="187" t="str">
        <f t="shared" si="198"/>
        <v/>
      </c>
      <c r="M741" s="187" t="str">
        <f t="shared" si="199"/>
        <v/>
      </c>
      <c r="N741" s="187" t="str">
        <f t="shared" si="191"/>
        <v>D</v>
      </c>
      <c r="O741" s="187" t="str">
        <f t="shared" si="200"/>
        <v>D</v>
      </c>
      <c r="P741" s="187">
        <f t="shared" si="201"/>
        <v>1</v>
      </c>
      <c r="Q741" s="187">
        <f>IFERROR(VLOOKUP(E741,Tabela_Deflator:E$43,5,FALSE),1)</f>
        <v>1</v>
      </c>
      <c r="R741" s="188" t="str">
        <f t="shared" si="202"/>
        <v/>
      </c>
      <c r="S741" s="237" t="str">
        <f t="shared" si="192"/>
        <v/>
      </c>
      <c r="T741" s="237" t="str">
        <f t="shared" si="207"/>
        <v/>
      </c>
      <c r="U741" s="189"/>
      <c r="V741" s="167"/>
      <c r="W741" s="165"/>
      <c r="X741" s="164"/>
      <c r="Y741" s="164"/>
      <c r="Z741" s="164"/>
      <c r="AA741" s="174"/>
      <c r="AB741" s="164"/>
      <c r="AC741" s="174"/>
      <c r="AD741" s="184"/>
      <c r="AE741" s="190" t="str">
        <f t="shared" si="203"/>
        <v/>
      </c>
      <c r="AF741" s="190" t="str">
        <f t="shared" si="204"/>
        <v/>
      </c>
      <c r="AG741" s="190" t="str">
        <f t="shared" si="193"/>
        <v>D</v>
      </c>
      <c r="AH741" s="190">
        <f>IFERROR(VLOOKUP(Y741,SISP_Deflatores_e_INMs!B$4:F$49,3,FALSE),1)</f>
        <v>1</v>
      </c>
      <c r="AI741" s="190">
        <f>IFERROR(VLOOKUP(Y741,SISP_Deflatores_e_INMs!B$4:G$49,5,FALSE),1)</f>
        <v>1</v>
      </c>
      <c r="AJ741" s="191" t="str">
        <f t="shared" si="205"/>
        <v/>
      </c>
      <c r="AK741" s="237" t="str">
        <f t="shared" si="194"/>
        <v/>
      </c>
      <c r="AL741" s="237" t="str">
        <f t="shared" si="206"/>
        <v/>
      </c>
      <c r="AM741" s="192" t="e">
        <f t="shared" si="195"/>
        <v>#VALUE!</v>
      </c>
      <c r="AN741" s="193" t="e">
        <f t="shared" si="196"/>
        <v>#VALUE!</v>
      </c>
      <c r="AO741" s="193" t="e">
        <f t="shared" si="197"/>
        <v>#VALUE!</v>
      </c>
      <c r="AP741" s="193"/>
      <c r="AQ741" s="204"/>
      <c r="AR741" s="204"/>
      <c r="AS741" s="204"/>
      <c r="AT741" s="205"/>
      <c r="AU741"/>
    </row>
    <row r="742" spans="2:47" ht="15" customHeight="1" x14ac:dyDescent="0.25">
      <c r="B742" s="206"/>
      <c r="C742" s="185"/>
      <c r="D742" s="164"/>
      <c r="E742" s="174"/>
      <c r="F742" s="164"/>
      <c r="G742" s="174"/>
      <c r="H742" s="164"/>
      <c r="I742" s="174"/>
      <c r="J742" s="184"/>
      <c r="K742" s="186"/>
      <c r="L742" s="187" t="str">
        <f t="shared" si="198"/>
        <v/>
      </c>
      <c r="M742" s="187" t="str">
        <f t="shared" si="199"/>
        <v/>
      </c>
      <c r="N742" s="187" t="str">
        <f t="shared" si="191"/>
        <v>D</v>
      </c>
      <c r="O742" s="187" t="str">
        <f t="shared" si="200"/>
        <v>D</v>
      </c>
      <c r="P742" s="187">
        <f t="shared" si="201"/>
        <v>1</v>
      </c>
      <c r="Q742" s="187">
        <f>IFERROR(VLOOKUP(E742,Tabela_Deflator:E$43,5,FALSE),1)</f>
        <v>1</v>
      </c>
      <c r="R742" s="188" t="str">
        <f t="shared" si="202"/>
        <v/>
      </c>
      <c r="S742" s="237" t="str">
        <f t="shared" si="192"/>
        <v/>
      </c>
      <c r="T742" s="237" t="str">
        <f t="shared" si="207"/>
        <v/>
      </c>
      <c r="U742" s="189"/>
      <c r="V742" s="167"/>
      <c r="W742" s="165"/>
      <c r="X742" s="164"/>
      <c r="Y742" s="164"/>
      <c r="Z742" s="164"/>
      <c r="AA742" s="174"/>
      <c r="AB742" s="164"/>
      <c r="AC742" s="174"/>
      <c r="AD742" s="184"/>
      <c r="AE742" s="190" t="str">
        <f t="shared" si="203"/>
        <v/>
      </c>
      <c r="AF742" s="190" t="str">
        <f t="shared" si="204"/>
        <v/>
      </c>
      <c r="AG742" s="190" t="str">
        <f t="shared" si="193"/>
        <v>D</v>
      </c>
      <c r="AH742" s="190">
        <f>IFERROR(VLOOKUP(Y742,SISP_Deflatores_e_INMs!B$4:F$49,3,FALSE),1)</f>
        <v>1</v>
      </c>
      <c r="AI742" s="190">
        <f>IFERROR(VLOOKUP(Y742,SISP_Deflatores_e_INMs!B$4:G$49,5,FALSE),1)</f>
        <v>1</v>
      </c>
      <c r="AJ742" s="191" t="str">
        <f t="shared" si="205"/>
        <v/>
      </c>
      <c r="AK742" s="237" t="str">
        <f t="shared" si="194"/>
        <v/>
      </c>
      <c r="AL742" s="237" t="str">
        <f t="shared" si="206"/>
        <v/>
      </c>
      <c r="AM742" s="192" t="e">
        <f t="shared" si="195"/>
        <v>#VALUE!</v>
      </c>
      <c r="AN742" s="193" t="e">
        <f t="shared" si="196"/>
        <v>#VALUE!</v>
      </c>
      <c r="AO742" s="193" t="e">
        <f t="shared" si="197"/>
        <v>#VALUE!</v>
      </c>
      <c r="AP742" s="193"/>
      <c r="AQ742" s="204"/>
      <c r="AR742" s="204"/>
      <c r="AS742" s="204"/>
      <c r="AT742" s="205"/>
      <c r="AU742"/>
    </row>
    <row r="743" spans="2:47" ht="15" customHeight="1" x14ac:dyDescent="0.25">
      <c r="B743" s="206"/>
      <c r="C743" s="185"/>
      <c r="D743" s="164"/>
      <c r="E743" s="174"/>
      <c r="F743" s="164"/>
      <c r="G743" s="174"/>
      <c r="H743" s="164"/>
      <c r="I743" s="174"/>
      <c r="J743" s="184"/>
      <c r="K743" s="186"/>
      <c r="L743" s="187" t="str">
        <f t="shared" si="198"/>
        <v/>
      </c>
      <c r="M743" s="187" t="str">
        <f t="shared" si="199"/>
        <v/>
      </c>
      <c r="N743" s="187" t="str">
        <f t="shared" si="191"/>
        <v>D</v>
      </c>
      <c r="O743" s="187" t="str">
        <f t="shared" si="200"/>
        <v>D</v>
      </c>
      <c r="P743" s="187">
        <f t="shared" si="201"/>
        <v>1</v>
      </c>
      <c r="Q743" s="187">
        <f>IFERROR(VLOOKUP(E743,Tabela_Deflator:E$43,5,FALSE),1)</f>
        <v>1</v>
      </c>
      <c r="R743" s="188" t="str">
        <f t="shared" si="202"/>
        <v/>
      </c>
      <c r="S743" s="237" t="str">
        <f t="shared" si="192"/>
        <v/>
      </c>
      <c r="T743" s="237" t="str">
        <f t="shared" si="207"/>
        <v/>
      </c>
      <c r="U743" s="189"/>
      <c r="V743" s="167"/>
      <c r="W743" s="165"/>
      <c r="X743" s="164"/>
      <c r="Y743" s="164"/>
      <c r="Z743" s="164"/>
      <c r="AA743" s="174"/>
      <c r="AB743" s="164"/>
      <c r="AC743" s="174"/>
      <c r="AD743" s="184"/>
      <c r="AE743" s="190" t="str">
        <f t="shared" si="203"/>
        <v/>
      </c>
      <c r="AF743" s="190" t="str">
        <f t="shared" si="204"/>
        <v/>
      </c>
      <c r="AG743" s="190" t="str">
        <f t="shared" si="193"/>
        <v>D</v>
      </c>
      <c r="AH743" s="190">
        <f>IFERROR(VLOOKUP(Y743,SISP_Deflatores_e_INMs!B$4:F$49,3,FALSE),1)</f>
        <v>1</v>
      </c>
      <c r="AI743" s="190">
        <f>IFERROR(VLOOKUP(Y743,SISP_Deflatores_e_INMs!B$4:G$49,5,FALSE),1)</f>
        <v>1</v>
      </c>
      <c r="AJ743" s="191" t="str">
        <f t="shared" si="205"/>
        <v/>
      </c>
      <c r="AK743" s="237" t="str">
        <f t="shared" si="194"/>
        <v/>
      </c>
      <c r="AL743" s="237" t="str">
        <f t="shared" si="206"/>
        <v/>
      </c>
      <c r="AM743" s="192" t="e">
        <f t="shared" si="195"/>
        <v>#VALUE!</v>
      </c>
      <c r="AN743" s="193" t="e">
        <f t="shared" si="196"/>
        <v>#VALUE!</v>
      </c>
      <c r="AO743" s="193" t="e">
        <f t="shared" si="197"/>
        <v>#VALUE!</v>
      </c>
      <c r="AP743" s="193"/>
      <c r="AQ743" s="204"/>
      <c r="AR743" s="204"/>
      <c r="AS743" s="204"/>
      <c r="AT743" s="205"/>
      <c r="AU743"/>
    </row>
    <row r="744" spans="2:47" ht="15" customHeight="1" x14ac:dyDescent="0.25">
      <c r="B744" s="206"/>
      <c r="C744" s="185"/>
      <c r="D744" s="164"/>
      <c r="E744" s="174"/>
      <c r="F744" s="164"/>
      <c r="G744" s="174"/>
      <c r="H744" s="164"/>
      <c r="I744" s="174"/>
      <c r="J744" s="184"/>
      <c r="K744" s="186"/>
      <c r="L744" s="187" t="str">
        <f t="shared" si="198"/>
        <v/>
      </c>
      <c r="M744" s="187" t="str">
        <f t="shared" si="199"/>
        <v/>
      </c>
      <c r="N744" s="187" t="str">
        <f t="shared" si="191"/>
        <v>D</v>
      </c>
      <c r="O744" s="187" t="str">
        <f t="shared" si="200"/>
        <v>D</v>
      </c>
      <c r="P744" s="187">
        <f t="shared" si="201"/>
        <v>1</v>
      </c>
      <c r="Q744" s="187">
        <f>IFERROR(VLOOKUP(E744,Tabela_Deflator:E$43,5,FALSE),1)</f>
        <v>1</v>
      </c>
      <c r="R744" s="188" t="str">
        <f t="shared" si="202"/>
        <v/>
      </c>
      <c r="S744" s="237" t="str">
        <f t="shared" si="192"/>
        <v/>
      </c>
      <c r="T744" s="237" t="str">
        <f t="shared" si="207"/>
        <v/>
      </c>
      <c r="U744" s="189"/>
      <c r="V744" s="167"/>
      <c r="W744" s="165"/>
      <c r="X744" s="164"/>
      <c r="Y744" s="164"/>
      <c r="Z744" s="164"/>
      <c r="AA744" s="174"/>
      <c r="AB744" s="164"/>
      <c r="AC744" s="174"/>
      <c r="AD744" s="184"/>
      <c r="AE744" s="190" t="str">
        <f t="shared" si="203"/>
        <v/>
      </c>
      <c r="AF744" s="190" t="str">
        <f t="shared" si="204"/>
        <v/>
      </c>
      <c r="AG744" s="190" t="str">
        <f t="shared" si="193"/>
        <v>D</v>
      </c>
      <c r="AH744" s="190">
        <f>IFERROR(VLOOKUP(Y744,SISP_Deflatores_e_INMs!B$4:F$49,3,FALSE),1)</f>
        <v>1</v>
      </c>
      <c r="AI744" s="190">
        <f>IFERROR(VLOOKUP(Y744,SISP_Deflatores_e_INMs!B$4:G$49,5,FALSE),1)</f>
        <v>1</v>
      </c>
      <c r="AJ744" s="191" t="str">
        <f t="shared" si="205"/>
        <v/>
      </c>
      <c r="AK744" s="237" t="str">
        <f t="shared" si="194"/>
        <v/>
      </c>
      <c r="AL744" s="237" t="str">
        <f t="shared" si="206"/>
        <v/>
      </c>
      <c r="AM744" s="192" t="e">
        <f t="shared" si="195"/>
        <v>#VALUE!</v>
      </c>
      <c r="AN744" s="193" t="e">
        <f t="shared" si="196"/>
        <v>#VALUE!</v>
      </c>
      <c r="AO744" s="193" t="e">
        <f t="shared" si="197"/>
        <v>#VALUE!</v>
      </c>
      <c r="AP744" s="193"/>
      <c r="AQ744" s="204"/>
      <c r="AR744" s="204"/>
      <c r="AS744" s="204"/>
      <c r="AT744" s="205"/>
      <c r="AU744"/>
    </row>
    <row r="745" spans="2:47" ht="15" customHeight="1" x14ac:dyDescent="0.25">
      <c r="B745" s="206"/>
      <c r="C745" s="185"/>
      <c r="D745" s="164"/>
      <c r="E745" s="174"/>
      <c r="F745" s="164"/>
      <c r="G745" s="174"/>
      <c r="H745" s="164"/>
      <c r="I745" s="174"/>
      <c r="J745" s="184"/>
      <c r="K745" s="186"/>
      <c r="L745" s="187" t="str">
        <f t="shared" si="198"/>
        <v/>
      </c>
      <c r="M745" s="187" t="str">
        <f t="shared" si="199"/>
        <v/>
      </c>
      <c r="N745" s="187" t="str">
        <f t="shared" si="191"/>
        <v>D</v>
      </c>
      <c r="O745" s="187" t="str">
        <f t="shared" si="200"/>
        <v>D</v>
      </c>
      <c r="P745" s="187">
        <f t="shared" si="201"/>
        <v>1</v>
      </c>
      <c r="Q745" s="187">
        <f>IFERROR(VLOOKUP(E745,Tabela_Deflator:E$43,5,FALSE),1)</f>
        <v>1</v>
      </c>
      <c r="R745" s="188" t="str">
        <f t="shared" si="202"/>
        <v/>
      </c>
      <c r="S745" s="237" t="str">
        <f t="shared" si="192"/>
        <v/>
      </c>
      <c r="T745" s="237" t="str">
        <f t="shared" si="207"/>
        <v/>
      </c>
      <c r="U745" s="189"/>
      <c r="V745" s="167"/>
      <c r="W745" s="165"/>
      <c r="X745" s="164"/>
      <c r="Y745" s="164"/>
      <c r="Z745" s="164"/>
      <c r="AA745" s="174"/>
      <c r="AB745" s="164"/>
      <c r="AC745" s="174"/>
      <c r="AD745" s="184"/>
      <c r="AE745" s="190" t="str">
        <f t="shared" si="203"/>
        <v/>
      </c>
      <c r="AF745" s="190" t="str">
        <f t="shared" si="204"/>
        <v/>
      </c>
      <c r="AG745" s="190" t="str">
        <f t="shared" si="193"/>
        <v>D</v>
      </c>
      <c r="AH745" s="190">
        <f>IFERROR(VLOOKUP(Y745,SISP_Deflatores_e_INMs!B$4:F$49,3,FALSE),1)</f>
        <v>1</v>
      </c>
      <c r="AI745" s="190">
        <f>IFERROR(VLOOKUP(Y745,SISP_Deflatores_e_INMs!B$4:G$49,5,FALSE),1)</f>
        <v>1</v>
      </c>
      <c r="AJ745" s="191" t="str">
        <f t="shared" si="205"/>
        <v/>
      </c>
      <c r="AK745" s="237" t="str">
        <f t="shared" si="194"/>
        <v/>
      </c>
      <c r="AL745" s="237" t="str">
        <f t="shared" si="206"/>
        <v/>
      </c>
      <c r="AM745" s="192" t="e">
        <f t="shared" si="195"/>
        <v>#VALUE!</v>
      </c>
      <c r="AN745" s="193" t="e">
        <f t="shared" si="196"/>
        <v>#VALUE!</v>
      </c>
      <c r="AO745" s="193" t="e">
        <f t="shared" si="197"/>
        <v>#VALUE!</v>
      </c>
      <c r="AP745" s="193"/>
      <c r="AQ745" s="204"/>
      <c r="AR745" s="204"/>
      <c r="AS745" s="204"/>
      <c r="AT745" s="205"/>
      <c r="AU745"/>
    </row>
    <row r="746" spans="2:47" ht="15" customHeight="1" x14ac:dyDescent="0.25">
      <c r="B746" s="206"/>
      <c r="C746" s="185"/>
      <c r="D746" s="164"/>
      <c r="E746" s="174"/>
      <c r="F746" s="164"/>
      <c r="G746" s="174"/>
      <c r="H746" s="164"/>
      <c r="I746" s="174"/>
      <c r="J746" s="184"/>
      <c r="K746" s="186"/>
      <c r="L746" s="187" t="str">
        <f t="shared" si="198"/>
        <v/>
      </c>
      <c r="M746" s="187" t="str">
        <f t="shared" si="199"/>
        <v/>
      </c>
      <c r="N746" s="187" t="str">
        <f t="shared" si="191"/>
        <v>D</v>
      </c>
      <c r="O746" s="187" t="str">
        <f t="shared" si="200"/>
        <v>D</v>
      </c>
      <c r="P746" s="187">
        <f t="shared" si="201"/>
        <v>1</v>
      </c>
      <c r="Q746" s="187">
        <f>IFERROR(VLOOKUP(E746,Tabela_Deflator:E$43,5,FALSE),1)</f>
        <v>1</v>
      </c>
      <c r="R746" s="188" t="str">
        <f t="shared" si="202"/>
        <v/>
      </c>
      <c r="S746" s="237" t="str">
        <f t="shared" si="192"/>
        <v/>
      </c>
      <c r="T746" s="237" t="str">
        <f t="shared" si="207"/>
        <v/>
      </c>
      <c r="U746" s="189"/>
      <c r="V746" s="167"/>
      <c r="W746" s="165"/>
      <c r="X746" s="164"/>
      <c r="Y746" s="164"/>
      <c r="Z746" s="164"/>
      <c r="AA746" s="174"/>
      <c r="AB746" s="164"/>
      <c r="AC746" s="174"/>
      <c r="AD746" s="184"/>
      <c r="AE746" s="190" t="str">
        <f t="shared" si="203"/>
        <v/>
      </c>
      <c r="AF746" s="190" t="str">
        <f t="shared" si="204"/>
        <v/>
      </c>
      <c r="AG746" s="190" t="str">
        <f t="shared" si="193"/>
        <v>D</v>
      </c>
      <c r="AH746" s="190">
        <f>IFERROR(VLOOKUP(Y746,SISP_Deflatores_e_INMs!B$4:F$49,3,FALSE),1)</f>
        <v>1</v>
      </c>
      <c r="AI746" s="190">
        <f>IFERROR(VLOOKUP(Y746,SISP_Deflatores_e_INMs!B$4:G$49,5,FALSE),1)</f>
        <v>1</v>
      </c>
      <c r="AJ746" s="191" t="str">
        <f t="shared" si="205"/>
        <v/>
      </c>
      <c r="AK746" s="237" t="str">
        <f t="shared" si="194"/>
        <v/>
      </c>
      <c r="AL746" s="237" t="str">
        <f t="shared" si="206"/>
        <v/>
      </c>
      <c r="AM746" s="192" t="e">
        <f t="shared" si="195"/>
        <v>#VALUE!</v>
      </c>
      <c r="AN746" s="193" t="e">
        <f t="shared" si="196"/>
        <v>#VALUE!</v>
      </c>
      <c r="AO746" s="193" t="e">
        <f t="shared" si="197"/>
        <v>#VALUE!</v>
      </c>
      <c r="AP746" s="193"/>
      <c r="AQ746" s="204"/>
      <c r="AR746" s="204"/>
      <c r="AS746" s="204"/>
      <c r="AT746" s="205"/>
      <c r="AU746"/>
    </row>
    <row r="747" spans="2:47" ht="15" customHeight="1" x14ac:dyDescent="0.25">
      <c r="B747" s="206"/>
      <c r="C747" s="185"/>
      <c r="D747" s="164"/>
      <c r="E747" s="174"/>
      <c r="F747" s="164"/>
      <c r="G747" s="174"/>
      <c r="H747" s="164"/>
      <c r="I747" s="174"/>
      <c r="J747" s="184"/>
      <c r="K747" s="186"/>
      <c r="L747" s="187" t="str">
        <f t="shared" si="198"/>
        <v/>
      </c>
      <c r="M747" s="187" t="str">
        <f t="shared" si="199"/>
        <v/>
      </c>
      <c r="N747" s="187" t="str">
        <f t="shared" si="191"/>
        <v>D</v>
      </c>
      <c r="O747" s="187" t="str">
        <f t="shared" si="200"/>
        <v>D</v>
      </c>
      <c r="P747" s="187">
        <f t="shared" si="201"/>
        <v>1</v>
      </c>
      <c r="Q747" s="187">
        <f>IFERROR(VLOOKUP(E747,Tabela_Deflator:E$43,5,FALSE),1)</f>
        <v>1</v>
      </c>
      <c r="R747" s="188" t="str">
        <f t="shared" si="202"/>
        <v/>
      </c>
      <c r="S747" s="237" t="str">
        <f t="shared" si="192"/>
        <v/>
      </c>
      <c r="T747" s="237" t="str">
        <f t="shared" si="207"/>
        <v/>
      </c>
      <c r="U747" s="189"/>
      <c r="V747" s="167"/>
      <c r="W747" s="165"/>
      <c r="X747" s="164"/>
      <c r="Y747" s="164"/>
      <c r="Z747" s="164"/>
      <c r="AA747" s="174"/>
      <c r="AB747" s="164"/>
      <c r="AC747" s="174"/>
      <c r="AD747" s="184"/>
      <c r="AE747" s="190" t="str">
        <f t="shared" si="203"/>
        <v/>
      </c>
      <c r="AF747" s="190" t="str">
        <f t="shared" si="204"/>
        <v/>
      </c>
      <c r="AG747" s="190" t="str">
        <f t="shared" si="193"/>
        <v>D</v>
      </c>
      <c r="AH747" s="190">
        <f>IFERROR(VLOOKUP(Y747,SISP_Deflatores_e_INMs!B$4:F$49,3,FALSE),1)</f>
        <v>1</v>
      </c>
      <c r="AI747" s="190">
        <f>IFERROR(VLOOKUP(Y747,SISP_Deflatores_e_INMs!B$4:G$49,5,FALSE),1)</f>
        <v>1</v>
      </c>
      <c r="AJ747" s="191" t="str">
        <f t="shared" si="205"/>
        <v/>
      </c>
      <c r="AK747" s="237" t="str">
        <f t="shared" si="194"/>
        <v/>
      </c>
      <c r="AL747" s="237" t="str">
        <f t="shared" si="206"/>
        <v/>
      </c>
      <c r="AM747" s="192" t="e">
        <f t="shared" si="195"/>
        <v>#VALUE!</v>
      </c>
      <c r="AN747" s="193" t="e">
        <f t="shared" si="196"/>
        <v>#VALUE!</v>
      </c>
      <c r="AO747" s="193" t="e">
        <f t="shared" si="197"/>
        <v>#VALUE!</v>
      </c>
      <c r="AP747" s="193"/>
      <c r="AQ747" s="204"/>
      <c r="AR747" s="204"/>
      <c r="AS747" s="204"/>
      <c r="AT747" s="205"/>
      <c r="AU747"/>
    </row>
    <row r="748" spans="2:47" ht="15" customHeight="1" x14ac:dyDescent="0.25">
      <c r="B748" s="206"/>
      <c r="C748" s="185"/>
      <c r="D748" s="164"/>
      <c r="E748" s="174"/>
      <c r="F748" s="164"/>
      <c r="G748" s="174"/>
      <c r="H748" s="164"/>
      <c r="I748" s="174"/>
      <c r="J748" s="184"/>
      <c r="K748" s="186"/>
      <c r="L748" s="187" t="str">
        <f t="shared" si="198"/>
        <v/>
      </c>
      <c r="M748" s="187" t="str">
        <f t="shared" si="199"/>
        <v/>
      </c>
      <c r="N748" s="187" t="str">
        <f t="shared" si="191"/>
        <v>D</v>
      </c>
      <c r="O748" s="187" t="str">
        <f t="shared" si="200"/>
        <v>D</v>
      </c>
      <c r="P748" s="187">
        <f t="shared" si="201"/>
        <v>1</v>
      </c>
      <c r="Q748" s="187">
        <f>IFERROR(VLOOKUP(E748,Tabela_Deflator:E$43,5,FALSE),1)</f>
        <v>1</v>
      </c>
      <c r="R748" s="188" t="str">
        <f t="shared" si="202"/>
        <v/>
      </c>
      <c r="S748" s="237" t="str">
        <f t="shared" si="192"/>
        <v/>
      </c>
      <c r="T748" s="237" t="str">
        <f t="shared" si="207"/>
        <v/>
      </c>
      <c r="U748" s="189"/>
      <c r="V748" s="167"/>
      <c r="W748" s="165"/>
      <c r="X748" s="164"/>
      <c r="Y748" s="164"/>
      <c r="Z748" s="164"/>
      <c r="AA748" s="174"/>
      <c r="AB748" s="164"/>
      <c r="AC748" s="174"/>
      <c r="AD748" s="184"/>
      <c r="AE748" s="190" t="str">
        <f t="shared" si="203"/>
        <v/>
      </c>
      <c r="AF748" s="190" t="str">
        <f t="shared" si="204"/>
        <v/>
      </c>
      <c r="AG748" s="190" t="str">
        <f t="shared" si="193"/>
        <v>D</v>
      </c>
      <c r="AH748" s="190">
        <f>IFERROR(VLOOKUP(Y748,SISP_Deflatores_e_INMs!B$4:F$49,3,FALSE),1)</f>
        <v>1</v>
      </c>
      <c r="AI748" s="190">
        <f>IFERROR(VLOOKUP(Y748,SISP_Deflatores_e_INMs!B$4:G$49,5,FALSE),1)</f>
        <v>1</v>
      </c>
      <c r="AJ748" s="191" t="str">
        <f t="shared" si="205"/>
        <v/>
      </c>
      <c r="AK748" s="237" t="str">
        <f t="shared" si="194"/>
        <v/>
      </c>
      <c r="AL748" s="237" t="str">
        <f t="shared" si="206"/>
        <v/>
      </c>
      <c r="AM748" s="192" t="e">
        <f t="shared" si="195"/>
        <v>#VALUE!</v>
      </c>
      <c r="AN748" s="193" t="e">
        <f t="shared" si="196"/>
        <v>#VALUE!</v>
      </c>
      <c r="AO748" s="193" t="e">
        <f t="shared" si="197"/>
        <v>#VALUE!</v>
      </c>
      <c r="AP748" s="193"/>
      <c r="AQ748" s="204"/>
      <c r="AR748" s="204"/>
      <c r="AS748" s="204"/>
      <c r="AT748" s="205"/>
      <c r="AU748"/>
    </row>
    <row r="749" spans="2:47" ht="15" customHeight="1" x14ac:dyDescent="0.25">
      <c r="B749" s="206"/>
      <c r="C749" s="185"/>
      <c r="D749" s="164"/>
      <c r="E749" s="174"/>
      <c r="F749" s="164"/>
      <c r="G749" s="174"/>
      <c r="H749" s="164"/>
      <c r="I749" s="174"/>
      <c r="J749" s="184"/>
      <c r="K749" s="186"/>
      <c r="L749" s="187" t="str">
        <f t="shared" si="198"/>
        <v/>
      </c>
      <c r="M749" s="187" t="str">
        <f t="shared" si="199"/>
        <v/>
      </c>
      <c r="N749" s="187" t="str">
        <f t="shared" si="191"/>
        <v>D</v>
      </c>
      <c r="O749" s="187" t="str">
        <f t="shared" si="200"/>
        <v>D</v>
      </c>
      <c r="P749" s="187">
        <f t="shared" si="201"/>
        <v>1</v>
      </c>
      <c r="Q749" s="187">
        <f>IFERROR(VLOOKUP(E749,Tabela_Deflator:E$43,5,FALSE),1)</f>
        <v>1</v>
      </c>
      <c r="R749" s="188" t="str">
        <f t="shared" si="202"/>
        <v/>
      </c>
      <c r="S749" s="237" t="str">
        <f t="shared" si="192"/>
        <v/>
      </c>
      <c r="T749" s="237" t="str">
        <f t="shared" si="207"/>
        <v/>
      </c>
      <c r="U749" s="189"/>
      <c r="V749" s="167"/>
      <c r="W749" s="165"/>
      <c r="X749" s="164"/>
      <c r="Y749" s="164"/>
      <c r="Z749" s="164"/>
      <c r="AA749" s="174"/>
      <c r="AB749" s="164"/>
      <c r="AC749" s="174"/>
      <c r="AD749" s="184"/>
      <c r="AE749" s="190" t="str">
        <f t="shared" si="203"/>
        <v/>
      </c>
      <c r="AF749" s="190" t="str">
        <f t="shared" si="204"/>
        <v/>
      </c>
      <c r="AG749" s="190" t="str">
        <f t="shared" si="193"/>
        <v>D</v>
      </c>
      <c r="AH749" s="190">
        <f>IFERROR(VLOOKUP(Y749,SISP_Deflatores_e_INMs!B$4:F$49,3,FALSE),1)</f>
        <v>1</v>
      </c>
      <c r="AI749" s="190">
        <f>IFERROR(VLOOKUP(Y749,SISP_Deflatores_e_INMs!B$4:G$49,5,FALSE),1)</f>
        <v>1</v>
      </c>
      <c r="AJ749" s="191" t="str">
        <f t="shared" si="205"/>
        <v/>
      </c>
      <c r="AK749" s="237" t="str">
        <f t="shared" si="194"/>
        <v/>
      </c>
      <c r="AL749" s="237" t="str">
        <f t="shared" si="206"/>
        <v/>
      </c>
      <c r="AM749" s="192" t="e">
        <f t="shared" si="195"/>
        <v>#VALUE!</v>
      </c>
      <c r="AN749" s="193" t="e">
        <f t="shared" si="196"/>
        <v>#VALUE!</v>
      </c>
      <c r="AO749" s="193" t="e">
        <f t="shared" si="197"/>
        <v>#VALUE!</v>
      </c>
      <c r="AP749" s="193"/>
      <c r="AQ749" s="204"/>
      <c r="AR749" s="204"/>
      <c r="AS749" s="204"/>
      <c r="AT749" s="205"/>
      <c r="AU749"/>
    </row>
    <row r="750" spans="2:47" ht="15" customHeight="1" x14ac:dyDescent="0.25">
      <c r="B750" s="206"/>
      <c r="C750" s="185"/>
      <c r="D750" s="164"/>
      <c r="E750" s="174"/>
      <c r="F750" s="164"/>
      <c r="G750" s="174"/>
      <c r="H750" s="164"/>
      <c r="I750" s="174"/>
      <c r="J750" s="184"/>
      <c r="K750" s="186"/>
      <c r="L750" s="187" t="str">
        <f t="shared" si="198"/>
        <v/>
      </c>
      <c r="M750" s="187" t="str">
        <f t="shared" si="199"/>
        <v/>
      </c>
      <c r="N750" s="187" t="str">
        <f t="shared" si="191"/>
        <v>D</v>
      </c>
      <c r="O750" s="187" t="str">
        <f t="shared" si="200"/>
        <v>D</v>
      </c>
      <c r="P750" s="187">
        <f t="shared" si="201"/>
        <v>1</v>
      </c>
      <c r="Q750" s="187">
        <f>IFERROR(VLOOKUP(E750,Tabela_Deflator:E$43,5,FALSE),1)</f>
        <v>1</v>
      </c>
      <c r="R750" s="188" t="str">
        <f t="shared" si="202"/>
        <v/>
      </c>
      <c r="S750" s="237" t="str">
        <f t="shared" si="192"/>
        <v/>
      </c>
      <c r="T750" s="237" t="str">
        <f t="shared" si="207"/>
        <v/>
      </c>
      <c r="U750" s="189"/>
      <c r="V750" s="167"/>
      <c r="W750" s="165"/>
      <c r="X750" s="164"/>
      <c r="Y750" s="164"/>
      <c r="Z750" s="164"/>
      <c r="AA750" s="174"/>
      <c r="AB750" s="164"/>
      <c r="AC750" s="174"/>
      <c r="AD750" s="184"/>
      <c r="AE750" s="190" t="str">
        <f t="shared" si="203"/>
        <v/>
      </c>
      <c r="AF750" s="190" t="str">
        <f t="shared" si="204"/>
        <v/>
      </c>
      <c r="AG750" s="190" t="str">
        <f t="shared" si="193"/>
        <v>D</v>
      </c>
      <c r="AH750" s="190">
        <f>IFERROR(VLOOKUP(Y750,SISP_Deflatores_e_INMs!B$4:F$49,3,FALSE),1)</f>
        <v>1</v>
      </c>
      <c r="AI750" s="190">
        <f>IFERROR(VLOOKUP(Y750,SISP_Deflatores_e_INMs!B$4:G$49,5,FALSE),1)</f>
        <v>1</v>
      </c>
      <c r="AJ750" s="191" t="str">
        <f t="shared" si="205"/>
        <v/>
      </c>
      <c r="AK750" s="237" t="str">
        <f t="shared" si="194"/>
        <v/>
      </c>
      <c r="AL750" s="237" t="str">
        <f t="shared" si="206"/>
        <v/>
      </c>
      <c r="AM750" s="192" t="e">
        <f t="shared" si="195"/>
        <v>#VALUE!</v>
      </c>
      <c r="AN750" s="193" t="e">
        <f t="shared" si="196"/>
        <v>#VALUE!</v>
      </c>
      <c r="AO750" s="193" t="e">
        <f t="shared" si="197"/>
        <v>#VALUE!</v>
      </c>
      <c r="AP750" s="193"/>
      <c r="AQ750" s="204"/>
      <c r="AR750" s="204"/>
      <c r="AS750" s="204"/>
      <c r="AT750" s="205"/>
      <c r="AU750"/>
    </row>
    <row r="751" spans="2:47" ht="15" customHeight="1" x14ac:dyDescent="0.25">
      <c r="B751" s="206"/>
      <c r="C751" s="185"/>
      <c r="D751" s="164"/>
      <c r="E751" s="174"/>
      <c r="F751" s="164"/>
      <c r="G751" s="174"/>
      <c r="H751" s="164"/>
      <c r="I751" s="174"/>
      <c r="J751" s="184"/>
      <c r="K751" s="186"/>
      <c r="L751" s="187" t="str">
        <f t="shared" si="198"/>
        <v/>
      </c>
      <c r="M751" s="187" t="str">
        <f t="shared" si="199"/>
        <v/>
      </c>
      <c r="N751" s="187" t="str">
        <f t="shared" si="191"/>
        <v>D</v>
      </c>
      <c r="O751" s="187" t="str">
        <f t="shared" si="200"/>
        <v>D</v>
      </c>
      <c r="P751" s="187">
        <f t="shared" si="201"/>
        <v>1</v>
      </c>
      <c r="Q751" s="187">
        <f>IFERROR(VLOOKUP(E751,Tabela_Deflator:E$43,5,FALSE),1)</f>
        <v>1</v>
      </c>
      <c r="R751" s="188" t="str">
        <f t="shared" si="202"/>
        <v/>
      </c>
      <c r="S751" s="237" t="str">
        <f t="shared" si="192"/>
        <v/>
      </c>
      <c r="T751" s="237" t="str">
        <f t="shared" si="207"/>
        <v/>
      </c>
      <c r="U751" s="189"/>
      <c r="V751" s="167"/>
      <c r="W751" s="165"/>
      <c r="X751" s="164"/>
      <c r="Y751" s="164"/>
      <c r="Z751" s="164"/>
      <c r="AA751" s="174"/>
      <c r="AB751" s="164"/>
      <c r="AC751" s="174"/>
      <c r="AD751" s="184"/>
      <c r="AE751" s="190" t="str">
        <f t="shared" si="203"/>
        <v/>
      </c>
      <c r="AF751" s="190" t="str">
        <f t="shared" si="204"/>
        <v/>
      </c>
      <c r="AG751" s="190" t="str">
        <f t="shared" si="193"/>
        <v>D</v>
      </c>
      <c r="AH751" s="190">
        <f>IFERROR(VLOOKUP(Y751,SISP_Deflatores_e_INMs!B$4:F$49,3,FALSE),1)</f>
        <v>1</v>
      </c>
      <c r="AI751" s="190">
        <f>IFERROR(VLOOKUP(Y751,SISP_Deflatores_e_INMs!B$4:G$49,5,FALSE),1)</f>
        <v>1</v>
      </c>
      <c r="AJ751" s="191" t="str">
        <f t="shared" si="205"/>
        <v/>
      </c>
      <c r="AK751" s="237" t="str">
        <f t="shared" si="194"/>
        <v/>
      </c>
      <c r="AL751" s="237" t="str">
        <f t="shared" si="206"/>
        <v/>
      </c>
      <c r="AM751" s="192" t="e">
        <f t="shared" si="195"/>
        <v>#VALUE!</v>
      </c>
      <c r="AN751" s="193" t="e">
        <f t="shared" si="196"/>
        <v>#VALUE!</v>
      </c>
      <c r="AO751" s="193" t="e">
        <f t="shared" si="197"/>
        <v>#VALUE!</v>
      </c>
      <c r="AP751" s="193"/>
      <c r="AQ751" s="204"/>
      <c r="AR751" s="204"/>
      <c r="AS751" s="204"/>
      <c r="AT751" s="205"/>
      <c r="AU751"/>
    </row>
    <row r="752" spans="2:47" ht="15" customHeight="1" x14ac:dyDescent="0.25">
      <c r="B752" s="206"/>
      <c r="C752" s="185"/>
      <c r="D752" s="164"/>
      <c r="E752" s="174"/>
      <c r="F752" s="164"/>
      <c r="G752" s="174"/>
      <c r="H752" s="164"/>
      <c r="I752" s="174"/>
      <c r="J752" s="184"/>
      <c r="K752" s="186"/>
      <c r="L752" s="187" t="str">
        <f t="shared" si="198"/>
        <v/>
      </c>
      <c r="M752" s="187" t="str">
        <f t="shared" si="199"/>
        <v/>
      </c>
      <c r="N752" s="187" t="str">
        <f t="shared" si="191"/>
        <v>D</v>
      </c>
      <c r="O752" s="187" t="str">
        <f t="shared" si="200"/>
        <v>D</v>
      </c>
      <c r="P752" s="187">
        <f t="shared" si="201"/>
        <v>1</v>
      </c>
      <c r="Q752" s="187">
        <f>IFERROR(VLOOKUP(E752,Tabela_Deflator:E$43,5,FALSE),1)</f>
        <v>1</v>
      </c>
      <c r="R752" s="188" t="str">
        <f t="shared" si="202"/>
        <v/>
      </c>
      <c r="S752" s="237" t="str">
        <f t="shared" si="192"/>
        <v/>
      </c>
      <c r="T752" s="237" t="str">
        <f t="shared" si="207"/>
        <v/>
      </c>
      <c r="U752" s="189"/>
      <c r="V752" s="167"/>
      <c r="W752" s="165"/>
      <c r="X752" s="164"/>
      <c r="Y752" s="164"/>
      <c r="Z752" s="164"/>
      <c r="AA752" s="174"/>
      <c r="AB752" s="164"/>
      <c r="AC752" s="174"/>
      <c r="AD752" s="184"/>
      <c r="AE752" s="190" t="str">
        <f t="shared" si="203"/>
        <v/>
      </c>
      <c r="AF752" s="190" t="str">
        <f t="shared" si="204"/>
        <v/>
      </c>
      <c r="AG752" s="190" t="str">
        <f t="shared" si="193"/>
        <v>D</v>
      </c>
      <c r="AH752" s="190">
        <f>IFERROR(VLOOKUP(Y752,SISP_Deflatores_e_INMs!B$4:F$49,3,FALSE),1)</f>
        <v>1</v>
      </c>
      <c r="AI752" s="190">
        <f>IFERROR(VLOOKUP(Y752,SISP_Deflatores_e_INMs!B$4:G$49,5,FALSE),1)</f>
        <v>1</v>
      </c>
      <c r="AJ752" s="191" t="str">
        <f t="shared" si="205"/>
        <v/>
      </c>
      <c r="AK752" s="237" t="str">
        <f t="shared" si="194"/>
        <v/>
      </c>
      <c r="AL752" s="237" t="str">
        <f t="shared" si="206"/>
        <v/>
      </c>
      <c r="AM752" s="192" t="e">
        <f t="shared" si="195"/>
        <v>#VALUE!</v>
      </c>
      <c r="AN752" s="193" t="e">
        <f t="shared" si="196"/>
        <v>#VALUE!</v>
      </c>
      <c r="AO752" s="193" t="e">
        <f t="shared" si="197"/>
        <v>#VALUE!</v>
      </c>
      <c r="AP752" s="193"/>
      <c r="AQ752" s="204"/>
      <c r="AR752" s="204"/>
      <c r="AS752" s="204"/>
      <c r="AT752" s="205"/>
      <c r="AU752"/>
    </row>
    <row r="753" spans="2:47" ht="15" customHeight="1" x14ac:dyDescent="0.25">
      <c r="B753" s="206"/>
      <c r="C753" s="185"/>
      <c r="D753" s="164"/>
      <c r="E753" s="174"/>
      <c r="F753" s="164"/>
      <c r="G753" s="174"/>
      <c r="H753" s="164"/>
      <c r="I753" s="174"/>
      <c r="J753" s="184"/>
      <c r="K753" s="186"/>
      <c r="L753" s="187" t="str">
        <f t="shared" si="198"/>
        <v/>
      </c>
      <c r="M753" s="187" t="str">
        <f t="shared" si="199"/>
        <v/>
      </c>
      <c r="N753" s="187" t="str">
        <f t="shared" si="191"/>
        <v>D</v>
      </c>
      <c r="O753" s="187" t="str">
        <f t="shared" si="200"/>
        <v>D</v>
      </c>
      <c r="P753" s="187">
        <f t="shared" si="201"/>
        <v>1</v>
      </c>
      <c r="Q753" s="187">
        <f>IFERROR(VLOOKUP(E753,Tabela_Deflator:E$43,5,FALSE),1)</f>
        <v>1</v>
      </c>
      <c r="R753" s="188" t="str">
        <f t="shared" si="202"/>
        <v/>
      </c>
      <c r="S753" s="237" t="str">
        <f t="shared" si="192"/>
        <v/>
      </c>
      <c r="T753" s="237" t="str">
        <f t="shared" si="207"/>
        <v/>
      </c>
      <c r="U753" s="189"/>
      <c r="V753" s="167"/>
      <c r="W753" s="165"/>
      <c r="X753" s="164"/>
      <c r="Y753" s="164"/>
      <c r="Z753" s="164"/>
      <c r="AA753" s="174"/>
      <c r="AB753" s="164"/>
      <c r="AC753" s="174"/>
      <c r="AD753" s="184"/>
      <c r="AE753" s="190" t="str">
        <f t="shared" si="203"/>
        <v/>
      </c>
      <c r="AF753" s="190" t="str">
        <f t="shared" si="204"/>
        <v/>
      </c>
      <c r="AG753" s="190" t="str">
        <f t="shared" si="193"/>
        <v>D</v>
      </c>
      <c r="AH753" s="190">
        <f>IFERROR(VLOOKUP(Y753,SISP_Deflatores_e_INMs!B$4:F$49,3,FALSE),1)</f>
        <v>1</v>
      </c>
      <c r="AI753" s="190">
        <f>IFERROR(VLOOKUP(Y753,SISP_Deflatores_e_INMs!B$4:G$49,5,FALSE),1)</f>
        <v>1</v>
      </c>
      <c r="AJ753" s="191" t="str">
        <f t="shared" si="205"/>
        <v/>
      </c>
      <c r="AK753" s="237" t="str">
        <f t="shared" si="194"/>
        <v/>
      </c>
      <c r="AL753" s="237" t="str">
        <f t="shared" si="206"/>
        <v/>
      </c>
      <c r="AM753" s="192" t="e">
        <f t="shared" si="195"/>
        <v>#VALUE!</v>
      </c>
      <c r="AN753" s="193" t="e">
        <f t="shared" si="196"/>
        <v>#VALUE!</v>
      </c>
      <c r="AO753" s="193" t="e">
        <f t="shared" si="197"/>
        <v>#VALUE!</v>
      </c>
      <c r="AP753" s="193"/>
      <c r="AQ753" s="204"/>
      <c r="AR753" s="204"/>
      <c r="AS753" s="204"/>
      <c r="AT753" s="205"/>
      <c r="AU753"/>
    </row>
    <row r="754" spans="2:47" ht="15" customHeight="1" x14ac:dyDescent="0.25">
      <c r="B754" s="206"/>
      <c r="C754" s="185"/>
      <c r="D754" s="164"/>
      <c r="E754" s="174"/>
      <c r="F754" s="164"/>
      <c r="G754" s="174"/>
      <c r="H754" s="164"/>
      <c r="I754" s="174"/>
      <c r="J754" s="184"/>
      <c r="K754" s="186"/>
      <c r="L754" s="187" t="str">
        <f t="shared" si="198"/>
        <v/>
      </c>
      <c r="M754" s="187" t="str">
        <f t="shared" si="199"/>
        <v/>
      </c>
      <c r="N754" s="187" t="str">
        <f t="shared" si="191"/>
        <v>D</v>
      </c>
      <c r="O754" s="187" t="str">
        <f t="shared" si="200"/>
        <v>D</v>
      </c>
      <c r="P754" s="187">
        <f t="shared" si="201"/>
        <v>1</v>
      </c>
      <c r="Q754" s="187">
        <f>IFERROR(VLOOKUP(E754,Tabela_Deflator:E$43,5,FALSE),1)</f>
        <v>1</v>
      </c>
      <c r="R754" s="188" t="str">
        <f t="shared" si="202"/>
        <v/>
      </c>
      <c r="S754" s="237" t="str">
        <f t="shared" si="192"/>
        <v/>
      </c>
      <c r="T754" s="237" t="str">
        <f t="shared" si="207"/>
        <v/>
      </c>
      <c r="U754" s="189"/>
      <c r="V754" s="167"/>
      <c r="W754" s="165"/>
      <c r="X754" s="164"/>
      <c r="Y754" s="164"/>
      <c r="Z754" s="164"/>
      <c r="AA754" s="174"/>
      <c r="AB754" s="164"/>
      <c r="AC754" s="174"/>
      <c r="AD754" s="184"/>
      <c r="AE754" s="190" t="str">
        <f t="shared" si="203"/>
        <v/>
      </c>
      <c r="AF754" s="190" t="str">
        <f t="shared" si="204"/>
        <v/>
      </c>
      <c r="AG754" s="190" t="str">
        <f t="shared" si="193"/>
        <v>D</v>
      </c>
      <c r="AH754" s="190">
        <f>IFERROR(VLOOKUP(Y754,SISP_Deflatores_e_INMs!B$4:F$49,3,FALSE),1)</f>
        <v>1</v>
      </c>
      <c r="AI754" s="190">
        <f>IFERROR(VLOOKUP(Y754,SISP_Deflatores_e_INMs!B$4:G$49,5,FALSE),1)</f>
        <v>1</v>
      </c>
      <c r="AJ754" s="191" t="str">
        <f t="shared" si="205"/>
        <v/>
      </c>
      <c r="AK754" s="237" t="str">
        <f t="shared" si="194"/>
        <v/>
      </c>
      <c r="AL754" s="237" t="str">
        <f t="shared" si="206"/>
        <v/>
      </c>
      <c r="AM754" s="192" t="e">
        <f t="shared" si="195"/>
        <v>#VALUE!</v>
      </c>
      <c r="AN754" s="193" t="e">
        <f t="shared" si="196"/>
        <v>#VALUE!</v>
      </c>
      <c r="AO754" s="193" t="e">
        <f t="shared" si="197"/>
        <v>#VALUE!</v>
      </c>
      <c r="AP754" s="193"/>
      <c r="AQ754" s="204"/>
      <c r="AR754" s="204"/>
      <c r="AS754" s="204"/>
      <c r="AT754" s="205"/>
      <c r="AU754"/>
    </row>
    <row r="755" spans="2:47" ht="15" customHeight="1" x14ac:dyDescent="0.25">
      <c r="B755" s="206"/>
      <c r="C755" s="185"/>
      <c r="D755" s="164"/>
      <c r="E755" s="174"/>
      <c r="F755" s="164"/>
      <c r="G755" s="174"/>
      <c r="H755" s="164"/>
      <c r="I755" s="174"/>
      <c r="J755" s="184"/>
      <c r="K755" s="186"/>
      <c r="L755" s="187" t="str">
        <f t="shared" si="198"/>
        <v/>
      </c>
      <c r="M755" s="187" t="str">
        <f t="shared" si="199"/>
        <v/>
      </c>
      <c r="N755" s="187" t="str">
        <f t="shared" si="191"/>
        <v>D</v>
      </c>
      <c r="O755" s="187" t="str">
        <f t="shared" si="200"/>
        <v>D</v>
      </c>
      <c r="P755" s="187">
        <f t="shared" si="201"/>
        <v>1</v>
      </c>
      <c r="Q755" s="187">
        <f>IFERROR(VLOOKUP(E755,Tabela_Deflator:E$43,5,FALSE),1)</f>
        <v>1</v>
      </c>
      <c r="R755" s="188" t="str">
        <f t="shared" si="202"/>
        <v/>
      </c>
      <c r="S755" s="237" t="str">
        <f t="shared" si="192"/>
        <v/>
      </c>
      <c r="T755" s="237" t="str">
        <f t="shared" si="207"/>
        <v/>
      </c>
      <c r="U755" s="189"/>
      <c r="V755" s="167"/>
      <c r="W755" s="165"/>
      <c r="X755" s="164"/>
      <c r="Y755" s="164"/>
      <c r="Z755" s="164"/>
      <c r="AA755" s="174"/>
      <c r="AB755" s="164"/>
      <c r="AC755" s="174"/>
      <c r="AD755" s="184"/>
      <c r="AE755" s="190" t="str">
        <f t="shared" si="203"/>
        <v/>
      </c>
      <c r="AF755" s="190" t="str">
        <f t="shared" si="204"/>
        <v/>
      </c>
      <c r="AG755" s="190" t="str">
        <f t="shared" si="193"/>
        <v>D</v>
      </c>
      <c r="AH755" s="190">
        <f>IFERROR(VLOOKUP(Y755,SISP_Deflatores_e_INMs!B$4:F$49,3,FALSE),1)</f>
        <v>1</v>
      </c>
      <c r="AI755" s="190">
        <f>IFERROR(VLOOKUP(Y755,SISP_Deflatores_e_INMs!B$4:G$49,5,FALSE),1)</f>
        <v>1</v>
      </c>
      <c r="AJ755" s="191" t="str">
        <f t="shared" si="205"/>
        <v/>
      </c>
      <c r="AK755" s="237" t="str">
        <f t="shared" si="194"/>
        <v/>
      </c>
      <c r="AL755" s="237" t="str">
        <f t="shared" si="206"/>
        <v/>
      </c>
      <c r="AM755" s="192" t="e">
        <f t="shared" si="195"/>
        <v>#VALUE!</v>
      </c>
      <c r="AN755" s="193" t="e">
        <f t="shared" si="196"/>
        <v>#VALUE!</v>
      </c>
      <c r="AO755" s="193" t="e">
        <f t="shared" si="197"/>
        <v>#VALUE!</v>
      </c>
      <c r="AP755" s="193"/>
      <c r="AQ755" s="204"/>
      <c r="AR755" s="204"/>
      <c r="AS755" s="204"/>
      <c r="AT755" s="205"/>
      <c r="AU755"/>
    </row>
    <row r="756" spans="2:47" ht="15" customHeight="1" x14ac:dyDescent="0.25">
      <c r="B756" s="206"/>
      <c r="C756" s="185"/>
      <c r="D756" s="164"/>
      <c r="E756" s="174"/>
      <c r="F756" s="164"/>
      <c r="G756" s="174"/>
      <c r="H756" s="164"/>
      <c r="I756" s="174"/>
      <c r="J756" s="184"/>
      <c r="K756" s="186"/>
      <c r="L756" s="187" t="str">
        <f t="shared" si="198"/>
        <v/>
      </c>
      <c r="M756" s="187" t="str">
        <f t="shared" si="199"/>
        <v/>
      </c>
      <c r="N756" s="187" t="str">
        <f t="shared" si="191"/>
        <v>D</v>
      </c>
      <c r="O756" s="187" t="str">
        <f t="shared" si="200"/>
        <v>D</v>
      </c>
      <c r="P756" s="187">
        <f t="shared" si="201"/>
        <v>1</v>
      </c>
      <c r="Q756" s="187">
        <f>IFERROR(VLOOKUP(E756,Tabela_Deflator:E$43,5,FALSE),1)</f>
        <v>1</v>
      </c>
      <c r="R756" s="188" t="str">
        <f t="shared" si="202"/>
        <v/>
      </c>
      <c r="S756" s="237" t="str">
        <f t="shared" si="192"/>
        <v/>
      </c>
      <c r="T756" s="237" t="str">
        <f t="shared" si="207"/>
        <v/>
      </c>
      <c r="U756" s="189"/>
      <c r="V756" s="167"/>
      <c r="W756" s="165"/>
      <c r="X756" s="164"/>
      <c r="Y756" s="164"/>
      <c r="Z756" s="164"/>
      <c r="AA756" s="174"/>
      <c r="AB756" s="164"/>
      <c r="AC756" s="174"/>
      <c r="AD756" s="184"/>
      <c r="AE756" s="190" t="str">
        <f t="shared" si="203"/>
        <v/>
      </c>
      <c r="AF756" s="190" t="str">
        <f t="shared" si="204"/>
        <v/>
      </c>
      <c r="AG756" s="190" t="str">
        <f t="shared" si="193"/>
        <v>D</v>
      </c>
      <c r="AH756" s="190">
        <f>IFERROR(VLOOKUP(Y756,SISP_Deflatores_e_INMs!B$4:F$49,3,FALSE),1)</f>
        <v>1</v>
      </c>
      <c r="AI756" s="190">
        <f>IFERROR(VLOOKUP(Y756,SISP_Deflatores_e_INMs!B$4:G$49,5,FALSE),1)</f>
        <v>1</v>
      </c>
      <c r="AJ756" s="191" t="str">
        <f t="shared" si="205"/>
        <v/>
      </c>
      <c r="AK756" s="237" t="str">
        <f t="shared" si="194"/>
        <v/>
      </c>
      <c r="AL756" s="237" t="str">
        <f t="shared" si="206"/>
        <v/>
      </c>
      <c r="AM756" s="192" t="e">
        <f t="shared" si="195"/>
        <v>#VALUE!</v>
      </c>
      <c r="AN756" s="193" t="e">
        <f t="shared" si="196"/>
        <v>#VALUE!</v>
      </c>
      <c r="AO756" s="193" t="e">
        <f t="shared" si="197"/>
        <v>#VALUE!</v>
      </c>
      <c r="AP756" s="193"/>
      <c r="AQ756" s="204"/>
      <c r="AR756" s="204"/>
      <c r="AS756" s="204"/>
      <c r="AT756" s="205"/>
      <c r="AU756"/>
    </row>
    <row r="757" spans="2:47" ht="15" customHeight="1" x14ac:dyDescent="0.25">
      <c r="B757" s="206"/>
      <c r="C757" s="185"/>
      <c r="D757" s="164"/>
      <c r="E757" s="174"/>
      <c r="F757" s="164"/>
      <c r="G757" s="174"/>
      <c r="H757" s="164"/>
      <c r="I757" s="174"/>
      <c r="J757" s="184"/>
      <c r="K757" s="186"/>
      <c r="L757" s="187" t="str">
        <f t="shared" si="198"/>
        <v/>
      </c>
      <c r="M757" s="187" t="str">
        <f t="shared" si="199"/>
        <v/>
      </c>
      <c r="N757" s="187" t="str">
        <f t="shared" si="191"/>
        <v>D</v>
      </c>
      <c r="O757" s="187" t="str">
        <f t="shared" si="200"/>
        <v>D</v>
      </c>
      <c r="P757" s="187">
        <f t="shared" si="201"/>
        <v>1</v>
      </c>
      <c r="Q757" s="187">
        <f>IFERROR(VLOOKUP(E757,Tabela_Deflator:E$43,5,FALSE),1)</f>
        <v>1</v>
      </c>
      <c r="R757" s="188" t="str">
        <f t="shared" si="202"/>
        <v/>
      </c>
      <c r="S757" s="237" t="str">
        <f t="shared" si="192"/>
        <v/>
      </c>
      <c r="T757" s="237" t="str">
        <f t="shared" si="207"/>
        <v/>
      </c>
      <c r="U757" s="189"/>
      <c r="V757" s="167"/>
      <c r="W757" s="165"/>
      <c r="X757" s="164"/>
      <c r="Y757" s="164"/>
      <c r="Z757" s="164"/>
      <c r="AA757" s="174"/>
      <c r="AB757" s="164"/>
      <c r="AC757" s="174"/>
      <c r="AD757" s="184"/>
      <c r="AE757" s="190" t="str">
        <f t="shared" si="203"/>
        <v/>
      </c>
      <c r="AF757" s="190" t="str">
        <f t="shared" si="204"/>
        <v/>
      </c>
      <c r="AG757" s="190" t="str">
        <f t="shared" si="193"/>
        <v>D</v>
      </c>
      <c r="AH757" s="190">
        <f>IFERROR(VLOOKUP(Y757,SISP_Deflatores_e_INMs!B$4:F$49,3,FALSE),1)</f>
        <v>1</v>
      </c>
      <c r="AI757" s="190">
        <f>IFERROR(VLOOKUP(Y757,SISP_Deflatores_e_INMs!B$4:G$49,5,FALSE),1)</f>
        <v>1</v>
      </c>
      <c r="AJ757" s="191" t="str">
        <f t="shared" si="205"/>
        <v/>
      </c>
      <c r="AK757" s="237" t="str">
        <f t="shared" si="194"/>
        <v/>
      </c>
      <c r="AL757" s="237" t="str">
        <f t="shared" si="206"/>
        <v/>
      </c>
      <c r="AM757" s="192" t="e">
        <f t="shared" si="195"/>
        <v>#VALUE!</v>
      </c>
      <c r="AN757" s="193" t="e">
        <f t="shared" si="196"/>
        <v>#VALUE!</v>
      </c>
      <c r="AO757" s="193" t="e">
        <f t="shared" si="197"/>
        <v>#VALUE!</v>
      </c>
      <c r="AP757" s="193"/>
      <c r="AQ757" s="204"/>
      <c r="AR757" s="204"/>
      <c r="AS757" s="204"/>
      <c r="AT757" s="205"/>
      <c r="AU757"/>
    </row>
    <row r="758" spans="2:47" ht="15" customHeight="1" x14ac:dyDescent="0.25">
      <c r="B758" s="206"/>
      <c r="C758" s="185"/>
      <c r="D758" s="164"/>
      <c r="E758" s="174"/>
      <c r="F758" s="164"/>
      <c r="G758" s="174"/>
      <c r="H758" s="164"/>
      <c r="I758" s="174"/>
      <c r="J758" s="184"/>
      <c r="K758" s="186"/>
      <c r="L758" s="187" t="str">
        <f t="shared" si="198"/>
        <v/>
      </c>
      <c r="M758" s="187" t="str">
        <f t="shared" si="199"/>
        <v/>
      </c>
      <c r="N758" s="187" t="str">
        <f t="shared" si="191"/>
        <v>D</v>
      </c>
      <c r="O758" s="187" t="str">
        <f t="shared" si="200"/>
        <v>D</v>
      </c>
      <c r="P758" s="187">
        <f t="shared" si="201"/>
        <v>1</v>
      </c>
      <c r="Q758" s="187">
        <f>IFERROR(VLOOKUP(E758,Tabela_Deflator:E$43,5,FALSE),1)</f>
        <v>1</v>
      </c>
      <c r="R758" s="188" t="str">
        <f t="shared" si="202"/>
        <v/>
      </c>
      <c r="S758" s="237" t="str">
        <f t="shared" si="192"/>
        <v/>
      </c>
      <c r="T758" s="237" t="str">
        <f t="shared" si="207"/>
        <v/>
      </c>
      <c r="U758" s="189"/>
      <c r="V758" s="167"/>
      <c r="W758" s="165"/>
      <c r="X758" s="164"/>
      <c r="Y758" s="164"/>
      <c r="Z758" s="164"/>
      <c r="AA758" s="174"/>
      <c r="AB758" s="164"/>
      <c r="AC758" s="174"/>
      <c r="AD758" s="184"/>
      <c r="AE758" s="190" t="str">
        <f t="shared" si="203"/>
        <v/>
      </c>
      <c r="AF758" s="190" t="str">
        <f t="shared" si="204"/>
        <v/>
      </c>
      <c r="AG758" s="190" t="str">
        <f t="shared" si="193"/>
        <v>D</v>
      </c>
      <c r="AH758" s="190">
        <f>IFERROR(VLOOKUP(Y758,SISP_Deflatores_e_INMs!B$4:F$49,3,FALSE),1)</f>
        <v>1</v>
      </c>
      <c r="AI758" s="190">
        <f>IFERROR(VLOOKUP(Y758,SISP_Deflatores_e_INMs!B$4:G$49,5,FALSE),1)</f>
        <v>1</v>
      </c>
      <c r="AJ758" s="191" t="str">
        <f t="shared" si="205"/>
        <v/>
      </c>
      <c r="AK758" s="237" t="str">
        <f t="shared" si="194"/>
        <v/>
      </c>
      <c r="AL758" s="237" t="str">
        <f t="shared" si="206"/>
        <v/>
      </c>
      <c r="AM758" s="192" t="e">
        <f t="shared" si="195"/>
        <v>#VALUE!</v>
      </c>
      <c r="AN758" s="193" t="e">
        <f t="shared" si="196"/>
        <v>#VALUE!</v>
      </c>
      <c r="AO758" s="193" t="e">
        <f t="shared" si="197"/>
        <v>#VALUE!</v>
      </c>
      <c r="AP758" s="193"/>
      <c r="AQ758" s="204"/>
      <c r="AR758" s="204"/>
      <c r="AS758" s="204"/>
      <c r="AT758" s="205"/>
      <c r="AU758"/>
    </row>
    <row r="759" spans="2:47" ht="15" customHeight="1" x14ac:dyDescent="0.25">
      <c r="B759" s="206"/>
      <c r="C759" s="185"/>
      <c r="D759" s="164"/>
      <c r="E759" s="174"/>
      <c r="F759" s="164"/>
      <c r="G759" s="174"/>
      <c r="H759" s="164"/>
      <c r="I759" s="174"/>
      <c r="J759" s="184"/>
      <c r="K759" s="186"/>
      <c r="L759" s="187" t="str">
        <f t="shared" si="198"/>
        <v/>
      </c>
      <c r="M759" s="187" t="str">
        <f t="shared" si="199"/>
        <v/>
      </c>
      <c r="N759" s="187" t="str">
        <f t="shared" si="191"/>
        <v>D</v>
      </c>
      <c r="O759" s="187" t="str">
        <f t="shared" si="200"/>
        <v>D</v>
      </c>
      <c r="P759" s="187">
        <f t="shared" si="201"/>
        <v>1</v>
      </c>
      <c r="Q759" s="187">
        <f>IFERROR(VLOOKUP(E759,Tabela_Deflator:E$43,5,FALSE),1)</f>
        <v>1</v>
      </c>
      <c r="R759" s="188" t="str">
        <f t="shared" si="202"/>
        <v/>
      </c>
      <c r="S759" s="237" t="str">
        <f t="shared" si="192"/>
        <v/>
      </c>
      <c r="T759" s="237" t="str">
        <f t="shared" si="207"/>
        <v/>
      </c>
      <c r="U759" s="189"/>
      <c r="V759" s="167"/>
      <c r="W759" s="165"/>
      <c r="X759" s="164"/>
      <c r="Y759" s="164"/>
      <c r="Z759" s="164"/>
      <c r="AA759" s="174"/>
      <c r="AB759" s="164"/>
      <c r="AC759" s="174"/>
      <c r="AD759" s="184"/>
      <c r="AE759" s="190" t="str">
        <f t="shared" si="203"/>
        <v/>
      </c>
      <c r="AF759" s="190" t="str">
        <f t="shared" si="204"/>
        <v/>
      </c>
      <c r="AG759" s="190" t="str">
        <f t="shared" si="193"/>
        <v>D</v>
      </c>
      <c r="AH759" s="190">
        <f>IFERROR(VLOOKUP(Y759,SISP_Deflatores_e_INMs!B$4:F$49,3,FALSE),1)</f>
        <v>1</v>
      </c>
      <c r="AI759" s="190">
        <f>IFERROR(VLOOKUP(Y759,SISP_Deflatores_e_INMs!B$4:G$49,5,FALSE),1)</f>
        <v>1</v>
      </c>
      <c r="AJ759" s="191" t="str">
        <f t="shared" si="205"/>
        <v/>
      </c>
      <c r="AK759" s="237" t="str">
        <f t="shared" si="194"/>
        <v/>
      </c>
      <c r="AL759" s="237" t="str">
        <f t="shared" si="206"/>
        <v/>
      </c>
      <c r="AM759" s="192" t="e">
        <f t="shared" si="195"/>
        <v>#VALUE!</v>
      </c>
      <c r="AN759" s="193" t="e">
        <f t="shared" si="196"/>
        <v>#VALUE!</v>
      </c>
      <c r="AO759" s="193" t="e">
        <f t="shared" si="197"/>
        <v>#VALUE!</v>
      </c>
      <c r="AP759" s="193"/>
      <c r="AQ759" s="204"/>
      <c r="AR759" s="204"/>
      <c r="AS759" s="204"/>
      <c r="AT759" s="205"/>
      <c r="AU759"/>
    </row>
    <row r="760" spans="2:47" ht="15" customHeight="1" x14ac:dyDescent="0.25">
      <c r="B760" s="206"/>
      <c r="C760" s="185"/>
      <c r="D760" s="164"/>
      <c r="E760" s="174"/>
      <c r="F760" s="164"/>
      <c r="G760" s="174"/>
      <c r="H760" s="164"/>
      <c r="I760" s="174"/>
      <c r="J760" s="184"/>
      <c r="K760" s="186"/>
      <c r="L760" s="187" t="str">
        <f t="shared" si="198"/>
        <v/>
      </c>
      <c r="M760" s="187" t="str">
        <f t="shared" si="199"/>
        <v/>
      </c>
      <c r="N760" s="187" t="str">
        <f t="shared" si="191"/>
        <v>D</v>
      </c>
      <c r="O760" s="187" t="str">
        <f t="shared" si="200"/>
        <v>D</v>
      </c>
      <c r="P760" s="187">
        <f t="shared" si="201"/>
        <v>1</v>
      </c>
      <c r="Q760" s="187">
        <f>IFERROR(VLOOKUP(E760,Tabela_Deflator:E$43,5,FALSE),1)</f>
        <v>1</v>
      </c>
      <c r="R760" s="188" t="str">
        <f t="shared" si="202"/>
        <v/>
      </c>
      <c r="S760" s="237" t="str">
        <f t="shared" si="192"/>
        <v/>
      </c>
      <c r="T760" s="237" t="str">
        <f t="shared" si="207"/>
        <v/>
      </c>
      <c r="U760" s="189"/>
      <c r="V760" s="167"/>
      <c r="W760" s="165"/>
      <c r="X760" s="164"/>
      <c r="Y760" s="164"/>
      <c r="Z760" s="164"/>
      <c r="AA760" s="174"/>
      <c r="AB760" s="164"/>
      <c r="AC760" s="174"/>
      <c r="AD760" s="184"/>
      <c r="AE760" s="190" t="str">
        <f t="shared" si="203"/>
        <v/>
      </c>
      <c r="AF760" s="190" t="str">
        <f t="shared" si="204"/>
        <v/>
      </c>
      <c r="AG760" s="190" t="str">
        <f t="shared" si="193"/>
        <v>D</v>
      </c>
      <c r="AH760" s="190">
        <f>IFERROR(VLOOKUP(Y760,SISP_Deflatores_e_INMs!B$4:F$49,3,FALSE),1)</f>
        <v>1</v>
      </c>
      <c r="AI760" s="190">
        <f>IFERROR(VLOOKUP(Y760,SISP_Deflatores_e_INMs!B$4:G$49,5,FALSE),1)</f>
        <v>1</v>
      </c>
      <c r="AJ760" s="191" t="str">
        <f t="shared" si="205"/>
        <v/>
      </c>
      <c r="AK760" s="237" t="str">
        <f t="shared" si="194"/>
        <v/>
      </c>
      <c r="AL760" s="237" t="str">
        <f t="shared" si="206"/>
        <v/>
      </c>
      <c r="AM760" s="192" t="e">
        <f t="shared" si="195"/>
        <v>#VALUE!</v>
      </c>
      <c r="AN760" s="193" t="e">
        <f t="shared" si="196"/>
        <v>#VALUE!</v>
      </c>
      <c r="AO760" s="193" t="e">
        <f t="shared" si="197"/>
        <v>#VALUE!</v>
      </c>
      <c r="AP760" s="193"/>
      <c r="AQ760" s="204"/>
      <c r="AR760" s="204"/>
      <c r="AS760" s="204"/>
      <c r="AT760" s="205"/>
      <c r="AU760"/>
    </row>
    <row r="761" spans="2:47" ht="15" customHeight="1" x14ac:dyDescent="0.25">
      <c r="B761" s="206"/>
      <c r="C761" s="185"/>
      <c r="D761" s="164"/>
      <c r="E761" s="174"/>
      <c r="F761" s="164"/>
      <c r="G761" s="174"/>
      <c r="H761" s="164"/>
      <c r="I761" s="174"/>
      <c r="J761" s="184"/>
      <c r="K761" s="186"/>
      <c r="L761" s="187" t="str">
        <f t="shared" si="198"/>
        <v/>
      </c>
      <c r="M761" s="187" t="str">
        <f t="shared" si="199"/>
        <v/>
      </c>
      <c r="N761" s="187" t="str">
        <f t="shared" si="191"/>
        <v>D</v>
      </c>
      <c r="O761" s="187" t="str">
        <f t="shared" si="200"/>
        <v>D</v>
      </c>
      <c r="P761" s="187">
        <f t="shared" si="201"/>
        <v>1</v>
      </c>
      <c r="Q761" s="187">
        <f>IFERROR(VLOOKUP(E761,Tabela_Deflator:E$43,5,FALSE),1)</f>
        <v>1</v>
      </c>
      <c r="R761" s="188" t="str">
        <f t="shared" si="202"/>
        <v/>
      </c>
      <c r="S761" s="237" t="str">
        <f t="shared" si="192"/>
        <v/>
      </c>
      <c r="T761" s="237" t="str">
        <f t="shared" si="207"/>
        <v/>
      </c>
      <c r="U761" s="189"/>
      <c r="V761" s="167"/>
      <c r="W761" s="165"/>
      <c r="X761" s="164"/>
      <c r="Y761" s="164"/>
      <c r="Z761" s="164"/>
      <c r="AA761" s="174"/>
      <c r="AB761" s="164"/>
      <c r="AC761" s="174"/>
      <c r="AD761" s="184"/>
      <c r="AE761" s="190" t="str">
        <f t="shared" si="203"/>
        <v/>
      </c>
      <c r="AF761" s="190" t="str">
        <f t="shared" si="204"/>
        <v/>
      </c>
      <c r="AG761" s="190" t="str">
        <f t="shared" si="193"/>
        <v>D</v>
      </c>
      <c r="AH761" s="190">
        <f>IFERROR(VLOOKUP(Y761,SISP_Deflatores_e_INMs!B$4:F$49,3,FALSE),1)</f>
        <v>1</v>
      </c>
      <c r="AI761" s="190">
        <f>IFERROR(VLOOKUP(Y761,SISP_Deflatores_e_INMs!B$4:G$49,5,FALSE),1)</f>
        <v>1</v>
      </c>
      <c r="AJ761" s="191" t="str">
        <f t="shared" si="205"/>
        <v/>
      </c>
      <c r="AK761" s="237" t="str">
        <f t="shared" si="194"/>
        <v/>
      </c>
      <c r="AL761" s="237" t="str">
        <f t="shared" si="206"/>
        <v/>
      </c>
      <c r="AM761" s="192" t="e">
        <f t="shared" si="195"/>
        <v>#VALUE!</v>
      </c>
      <c r="AN761" s="193" t="e">
        <f t="shared" si="196"/>
        <v>#VALUE!</v>
      </c>
      <c r="AO761" s="193" t="e">
        <f t="shared" si="197"/>
        <v>#VALUE!</v>
      </c>
      <c r="AP761" s="193"/>
      <c r="AQ761" s="204"/>
      <c r="AR761" s="204"/>
      <c r="AS761" s="204"/>
      <c r="AT761" s="205"/>
      <c r="AU761"/>
    </row>
    <row r="762" spans="2:47" ht="15" customHeight="1" x14ac:dyDescent="0.25">
      <c r="B762" s="206"/>
      <c r="C762" s="185"/>
      <c r="D762" s="164"/>
      <c r="E762" s="174"/>
      <c r="F762" s="164"/>
      <c r="G762" s="174"/>
      <c r="H762" s="164"/>
      <c r="I762" s="174"/>
      <c r="J762" s="184"/>
      <c r="K762" s="186"/>
      <c r="L762" s="187" t="str">
        <f t="shared" si="198"/>
        <v/>
      </c>
      <c r="M762" s="187" t="str">
        <f t="shared" si="199"/>
        <v/>
      </c>
      <c r="N762" s="187" t="str">
        <f t="shared" si="191"/>
        <v>D</v>
      </c>
      <c r="O762" s="187" t="str">
        <f t="shared" si="200"/>
        <v>D</v>
      </c>
      <c r="P762" s="187">
        <f t="shared" si="201"/>
        <v>1</v>
      </c>
      <c r="Q762" s="187">
        <f>IFERROR(VLOOKUP(E762,Tabela_Deflator:E$43,5,FALSE),1)</f>
        <v>1</v>
      </c>
      <c r="R762" s="188" t="str">
        <f t="shared" si="202"/>
        <v/>
      </c>
      <c r="S762" s="237" t="str">
        <f t="shared" si="192"/>
        <v/>
      </c>
      <c r="T762" s="237" t="str">
        <f t="shared" si="207"/>
        <v/>
      </c>
      <c r="U762" s="189"/>
      <c r="V762" s="167"/>
      <c r="W762" s="165"/>
      <c r="X762" s="164"/>
      <c r="Y762" s="164"/>
      <c r="Z762" s="164"/>
      <c r="AA762" s="174"/>
      <c r="AB762" s="164"/>
      <c r="AC762" s="174"/>
      <c r="AD762" s="184"/>
      <c r="AE762" s="190" t="str">
        <f t="shared" si="203"/>
        <v/>
      </c>
      <c r="AF762" s="190" t="str">
        <f t="shared" si="204"/>
        <v/>
      </c>
      <c r="AG762" s="190" t="str">
        <f t="shared" si="193"/>
        <v>D</v>
      </c>
      <c r="AH762" s="190">
        <f>IFERROR(VLOOKUP(Y762,SISP_Deflatores_e_INMs!B$4:F$49,3,FALSE),1)</f>
        <v>1</v>
      </c>
      <c r="AI762" s="190">
        <f>IFERROR(VLOOKUP(Y762,SISP_Deflatores_e_INMs!B$4:G$49,5,FALSE),1)</f>
        <v>1</v>
      </c>
      <c r="AJ762" s="191" t="str">
        <f t="shared" si="205"/>
        <v/>
      </c>
      <c r="AK762" s="237" t="str">
        <f t="shared" si="194"/>
        <v/>
      </c>
      <c r="AL762" s="237" t="str">
        <f t="shared" si="206"/>
        <v/>
      </c>
      <c r="AM762" s="192" t="e">
        <f t="shared" si="195"/>
        <v>#VALUE!</v>
      </c>
      <c r="AN762" s="193" t="e">
        <f t="shared" si="196"/>
        <v>#VALUE!</v>
      </c>
      <c r="AO762" s="193" t="e">
        <f t="shared" si="197"/>
        <v>#VALUE!</v>
      </c>
      <c r="AP762" s="193"/>
      <c r="AQ762" s="204"/>
      <c r="AR762" s="204"/>
      <c r="AS762" s="204"/>
      <c r="AT762" s="205"/>
      <c r="AU762"/>
    </row>
    <row r="763" spans="2:47" ht="15" customHeight="1" x14ac:dyDescent="0.25">
      <c r="B763" s="206"/>
      <c r="C763" s="185"/>
      <c r="D763" s="164"/>
      <c r="E763" s="174"/>
      <c r="F763" s="164"/>
      <c r="G763" s="174"/>
      <c r="H763" s="164"/>
      <c r="I763" s="174"/>
      <c r="J763" s="184"/>
      <c r="K763" s="186"/>
      <c r="L763" s="187" t="str">
        <f t="shared" si="198"/>
        <v/>
      </c>
      <c r="M763" s="187" t="str">
        <f t="shared" si="199"/>
        <v/>
      </c>
      <c r="N763" s="187" t="str">
        <f t="shared" si="191"/>
        <v>D</v>
      </c>
      <c r="O763" s="187" t="str">
        <f t="shared" si="200"/>
        <v>D</v>
      </c>
      <c r="P763" s="187">
        <f t="shared" si="201"/>
        <v>1</v>
      </c>
      <c r="Q763" s="187">
        <f>IFERROR(VLOOKUP(E763,Tabela_Deflator:E$43,5,FALSE),1)</f>
        <v>1</v>
      </c>
      <c r="R763" s="188" t="str">
        <f t="shared" si="202"/>
        <v/>
      </c>
      <c r="S763" s="237" t="str">
        <f t="shared" si="192"/>
        <v/>
      </c>
      <c r="T763" s="237" t="str">
        <f t="shared" si="207"/>
        <v/>
      </c>
      <c r="U763" s="189"/>
      <c r="V763" s="167"/>
      <c r="W763" s="165"/>
      <c r="X763" s="164"/>
      <c r="Y763" s="164"/>
      <c r="Z763" s="164"/>
      <c r="AA763" s="174"/>
      <c r="AB763" s="164"/>
      <c r="AC763" s="174"/>
      <c r="AD763" s="184"/>
      <c r="AE763" s="190" t="str">
        <f t="shared" si="203"/>
        <v/>
      </c>
      <c r="AF763" s="190" t="str">
        <f t="shared" si="204"/>
        <v/>
      </c>
      <c r="AG763" s="190" t="str">
        <f t="shared" si="193"/>
        <v>D</v>
      </c>
      <c r="AH763" s="190">
        <f>IFERROR(VLOOKUP(Y763,SISP_Deflatores_e_INMs!B$4:F$49,3,FALSE),1)</f>
        <v>1</v>
      </c>
      <c r="AI763" s="190">
        <f>IFERROR(VLOOKUP(Y763,SISP_Deflatores_e_INMs!B$4:G$49,5,FALSE),1)</f>
        <v>1</v>
      </c>
      <c r="AJ763" s="191" t="str">
        <f t="shared" si="205"/>
        <v/>
      </c>
      <c r="AK763" s="237" t="str">
        <f t="shared" si="194"/>
        <v/>
      </c>
      <c r="AL763" s="237" t="str">
        <f t="shared" si="206"/>
        <v/>
      </c>
      <c r="AM763" s="192" t="e">
        <f t="shared" si="195"/>
        <v>#VALUE!</v>
      </c>
      <c r="AN763" s="193" t="e">
        <f t="shared" si="196"/>
        <v>#VALUE!</v>
      </c>
      <c r="AO763" s="193" t="e">
        <f t="shared" si="197"/>
        <v>#VALUE!</v>
      </c>
      <c r="AP763" s="193"/>
      <c r="AQ763" s="204"/>
      <c r="AR763" s="204"/>
      <c r="AS763" s="204"/>
      <c r="AT763" s="205"/>
      <c r="AU763"/>
    </row>
    <row r="764" spans="2:47" ht="15" customHeight="1" x14ac:dyDescent="0.25">
      <c r="B764" s="206"/>
      <c r="C764" s="185"/>
      <c r="D764" s="164"/>
      <c r="E764" s="174"/>
      <c r="F764" s="164"/>
      <c r="G764" s="174"/>
      <c r="H764" s="164"/>
      <c r="I764" s="174"/>
      <c r="J764" s="184"/>
      <c r="K764" s="186"/>
      <c r="L764" s="187" t="str">
        <f t="shared" si="198"/>
        <v/>
      </c>
      <c r="M764" s="187" t="str">
        <f t="shared" si="199"/>
        <v/>
      </c>
      <c r="N764" s="187" t="str">
        <f t="shared" si="191"/>
        <v>D</v>
      </c>
      <c r="O764" s="187" t="str">
        <f t="shared" si="200"/>
        <v>D</v>
      </c>
      <c r="P764" s="187">
        <f t="shared" si="201"/>
        <v>1</v>
      </c>
      <c r="Q764" s="187">
        <f>IFERROR(VLOOKUP(E764,Tabela_Deflator:E$43,5,FALSE),1)</f>
        <v>1</v>
      </c>
      <c r="R764" s="188" t="str">
        <f t="shared" si="202"/>
        <v/>
      </c>
      <c r="S764" s="237" t="str">
        <f t="shared" si="192"/>
        <v/>
      </c>
      <c r="T764" s="237" t="str">
        <f t="shared" si="207"/>
        <v/>
      </c>
      <c r="U764" s="189"/>
      <c r="V764" s="167"/>
      <c r="W764" s="165"/>
      <c r="X764" s="164"/>
      <c r="Y764" s="164"/>
      <c r="Z764" s="164"/>
      <c r="AA764" s="174"/>
      <c r="AB764" s="164"/>
      <c r="AC764" s="174"/>
      <c r="AD764" s="184"/>
      <c r="AE764" s="190" t="str">
        <f t="shared" si="203"/>
        <v/>
      </c>
      <c r="AF764" s="190" t="str">
        <f t="shared" si="204"/>
        <v/>
      </c>
      <c r="AG764" s="190" t="str">
        <f t="shared" si="193"/>
        <v>D</v>
      </c>
      <c r="AH764" s="190">
        <f>IFERROR(VLOOKUP(Y764,SISP_Deflatores_e_INMs!B$4:F$49,3,FALSE),1)</f>
        <v>1</v>
      </c>
      <c r="AI764" s="190">
        <f>IFERROR(VLOOKUP(Y764,SISP_Deflatores_e_INMs!B$4:G$49,5,FALSE),1)</f>
        <v>1</v>
      </c>
      <c r="AJ764" s="191" t="str">
        <f t="shared" si="205"/>
        <v/>
      </c>
      <c r="AK764" s="237" t="str">
        <f t="shared" si="194"/>
        <v/>
      </c>
      <c r="AL764" s="237" t="str">
        <f t="shared" si="206"/>
        <v/>
      </c>
      <c r="AM764" s="192" t="e">
        <f t="shared" si="195"/>
        <v>#VALUE!</v>
      </c>
      <c r="AN764" s="193" t="e">
        <f t="shared" si="196"/>
        <v>#VALUE!</v>
      </c>
      <c r="AO764" s="193" t="e">
        <f t="shared" si="197"/>
        <v>#VALUE!</v>
      </c>
      <c r="AP764" s="193"/>
      <c r="AQ764" s="204"/>
      <c r="AR764" s="204"/>
      <c r="AS764" s="204"/>
      <c r="AT764" s="205"/>
      <c r="AU764"/>
    </row>
    <row r="765" spans="2:47" ht="15" customHeight="1" x14ac:dyDescent="0.25">
      <c r="B765" s="206"/>
      <c r="C765" s="185"/>
      <c r="D765" s="164"/>
      <c r="E765" s="174"/>
      <c r="F765" s="164"/>
      <c r="G765" s="174"/>
      <c r="H765" s="164"/>
      <c r="I765" s="174"/>
      <c r="J765" s="184"/>
      <c r="K765" s="186"/>
      <c r="L765" s="187" t="str">
        <f t="shared" si="198"/>
        <v/>
      </c>
      <c r="M765" s="187" t="str">
        <f t="shared" si="199"/>
        <v/>
      </c>
      <c r="N765" s="187" t="str">
        <f t="shared" si="191"/>
        <v>D</v>
      </c>
      <c r="O765" s="187" t="str">
        <f t="shared" si="200"/>
        <v>D</v>
      </c>
      <c r="P765" s="187">
        <f t="shared" si="201"/>
        <v>1</v>
      </c>
      <c r="Q765" s="187">
        <f>IFERROR(VLOOKUP(E765,Tabela_Deflator:E$43,5,FALSE),1)</f>
        <v>1</v>
      </c>
      <c r="R765" s="188" t="str">
        <f t="shared" si="202"/>
        <v/>
      </c>
      <c r="S765" s="237" t="str">
        <f t="shared" si="192"/>
        <v/>
      </c>
      <c r="T765" s="237" t="str">
        <f t="shared" si="207"/>
        <v/>
      </c>
      <c r="U765" s="189"/>
      <c r="V765" s="167"/>
      <c r="W765" s="165"/>
      <c r="X765" s="164"/>
      <c r="Y765" s="164"/>
      <c r="Z765" s="164"/>
      <c r="AA765" s="174"/>
      <c r="AB765" s="164"/>
      <c r="AC765" s="174"/>
      <c r="AD765" s="184"/>
      <c r="AE765" s="190" t="str">
        <f t="shared" si="203"/>
        <v/>
      </c>
      <c r="AF765" s="190" t="str">
        <f t="shared" si="204"/>
        <v/>
      </c>
      <c r="AG765" s="190" t="str">
        <f t="shared" si="193"/>
        <v>D</v>
      </c>
      <c r="AH765" s="190">
        <f>IFERROR(VLOOKUP(Y765,SISP_Deflatores_e_INMs!B$4:F$49,3,FALSE),1)</f>
        <v>1</v>
      </c>
      <c r="AI765" s="190">
        <f>IFERROR(VLOOKUP(Y765,SISP_Deflatores_e_INMs!B$4:G$49,5,FALSE),1)</f>
        <v>1</v>
      </c>
      <c r="AJ765" s="191" t="str">
        <f t="shared" si="205"/>
        <v/>
      </c>
      <c r="AK765" s="237" t="str">
        <f t="shared" si="194"/>
        <v/>
      </c>
      <c r="AL765" s="237" t="str">
        <f t="shared" si="206"/>
        <v/>
      </c>
      <c r="AM765" s="192" t="e">
        <f t="shared" si="195"/>
        <v>#VALUE!</v>
      </c>
      <c r="AN765" s="193" t="e">
        <f t="shared" si="196"/>
        <v>#VALUE!</v>
      </c>
      <c r="AO765" s="193" t="e">
        <f t="shared" si="197"/>
        <v>#VALUE!</v>
      </c>
      <c r="AP765" s="193"/>
      <c r="AQ765" s="204"/>
      <c r="AR765" s="204"/>
      <c r="AS765" s="204"/>
      <c r="AT765" s="205"/>
      <c r="AU765"/>
    </row>
    <row r="766" spans="2:47" ht="15" customHeight="1" x14ac:dyDescent="0.25">
      <c r="B766" s="206"/>
      <c r="C766" s="185"/>
      <c r="D766" s="164"/>
      <c r="E766" s="174"/>
      <c r="F766" s="164"/>
      <c r="G766" s="174"/>
      <c r="H766" s="164"/>
      <c r="I766" s="174"/>
      <c r="J766" s="184"/>
      <c r="K766" s="186"/>
      <c r="L766" s="187" t="str">
        <f t="shared" si="198"/>
        <v/>
      </c>
      <c r="M766" s="187" t="str">
        <f t="shared" si="199"/>
        <v/>
      </c>
      <c r="N766" s="187" t="str">
        <f t="shared" si="191"/>
        <v>D</v>
      </c>
      <c r="O766" s="187" t="str">
        <f t="shared" si="200"/>
        <v>D</v>
      </c>
      <c r="P766" s="187">
        <f t="shared" si="201"/>
        <v>1</v>
      </c>
      <c r="Q766" s="187">
        <f>IFERROR(VLOOKUP(E766,Tabela_Deflator:E$43,5,FALSE),1)</f>
        <v>1</v>
      </c>
      <c r="R766" s="188" t="str">
        <f t="shared" si="202"/>
        <v/>
      </c>
      <c r="S766" s="237" t="str">
        <f t="shared" si="192"/>
        <v/>
      </c>
      <c r="T766" s="237" t="str">
        <f t="shared" si="207"/>
        <v/>
      </c>
      <c r="U766" s="189"/>
      <c r="V766" s="167"/>
      <c r="W766" s="165"/>
      <c r="X766" s="164"/>
      <c r="Y766" s="164"/>
      <c r="Z766" s="164"/>
      <c r="AA766" s="174"/>
      <c r="AB766" s="164"/>
      <c r="AC766" s="174"/>
      <c r="AD766" s="184"/>
      <c r="AE766" s="190" t="str">
        <f t="shared" si="203"/>
        <v/>
      </c>
      <c r="AF766" s="190" t="str">
        <f t="shared" si="204"/>
        <v/>
      </c>
      <c r="AG766" s="190" t="str">
        <f t="shared" si="193"/>
        <v>D</v>
      </c>
      <c r="AH766" s="190">
        <f>IFERROR(VLOOKUP(Y766,SISP_Deflatores_e_INMs!B$4:F$49,3,FALSE),1)</f>
        <v>1</v>
      </c>
      <c r="AI766" s="190">
        <f>IFERROR(VLOOKUP(Y766,SISP_Deflatores_e_INMs!B$4:G$49,5,FALSE),1)</f>
        <v>1</v>
      </c>
      <c r="AJ766" s="191" t="str">
        <f t="shared" si="205"/>
        <v/>
      </c>
      <c r="AK766" s="237" t="str">
        <f t="shared" si="194"/>
        <v/>
      </c>
      <c r="AL766" s="237" t="str">
        <f t="shared" si="206"/>
        <v/>
      </c>
      <c r="AM766" s="192" t="e">
        <f t="shared" si="195"/>
        <v>#VALUE!</v>
      </c>
      <c r="AN766" s="193" t="e">
        <f t="shared" si="196"/>
        <v>#VALUE!</v>
      </c>
      <c r="AO766" s="193" t="e">
        <f t="shared" si="197"/>
        <v>#VALUE!</v>
      </c>
      <c r="AP766" s="193"/>
      <c r="AQ766" s="204"/>
      <c r="AR766" s="204"/>
      <c r="AS766" s="204"/>
      <c r="AT766" s="205"/>
      <c r="AU766"/>
    </row>
    <row r="767" spans="2:47" ht="15" customHeight="1" x14ac:dyDescent="0.25">
      <c r="B767" s="206"/>
      <c r="C767" s="185"/>
      <c r="D767" s="164"/>
      <c r="E767" s="174"/>
      <c r="F767" s="164"/>
      <c r="G767" s="174"/>
      <c r="H767" s="164"/>
      <c r="I767" s="174"/>
      <c r="J767" s="184"/>
      <c r="K767" s="186"/>
      <c r="L767" s="187" t="str">
        <f t="shared" si="198"/>
        <v/>
      </c>
      <c r="M767" s="187" t="str">
        <f t="shared" si="199"/>
        <v/>
      </c>
      <c r="N767" s="187" t="str">
        <f t="shared" si="191"/>
        <v>D</v>
      </c>
      <c r="O767" s="187" t="str">
        <f t="shared" si="200"/>
        <v>D</v>
      </c>
      <c r="P767" s="187">
        <f t="shared" si="201"/>
        <v>1</v>
      </c>
      <c r="Q767" s="187">
        <f>IFERROR(VLOOKUP(E767,Tabela_Deflator:E$43,5,FALSE),1)</f>
        <v>1</v>
      </c>
      <c r="R767" s="188" t="str">
        <f t="shared" si="202"/>
        <v/>
      </c>
      <c r="S767" s="237" t="str">
        <f t="shared" si="192"/>
        <v/>
      </c>
      <c r="T767" s="237" t="str">
        <f t="shared" si="207"/>
        <v/>
      </c>
      <c r="U767" s="189"/>
      <c r="V767" s="167"/>
      <c r="W767" s="165"/>
      <c r="X767" s="164"/>
      <c r="Y767" s="164"/>
      <c r="Z767" s="164"/>
      <c r="AA767" s="174"/>
      <c r="AB767" s="164"/>
      <c r="AC767" s="174"/>
      <c r="AD767" s="184"/>
      <c r="AE767" s="190" t="str">
        <f t="shared" si="203"/>
        <v/>
      </c>
      <c r="AF767" s="190" t="str">
        <f t="shared" si="204"/>
        <v/>
      </c>
      <c r="AG767" s="190" t="str">
        <f t="shared" si="193"/>
        <v>D</v>
      </c>
      <c r="AH767" s="190">
        <f>IFERROR(VLOOKUP(Y767,SISP_Deflatores_e_INMs!B$4:F$49,3,FALSE),1)</f>
        <v>1</v>
      </c>
      <c r="AI767" s="190">
        <f>IFERROR(VLOOKUP(Y767,SISP_Deflatores_e_INMs!B$4:G$49,5,FALSE),1)</f>
        <v>1</v>
      </c>
      <c r="AJ767" s="191" t="str">
        <f t="shared" si="205"/>
        <v/>
      </c>
      <c r="AK767" s="237" t="str">
        <f t="shared" si="194"/>
        <v/>
      </c>
      <c r="AL767" s="237" t="str">
        <f t="shared" si="206"/>
        <v/>
      </c>
      <c r="AM767" s="192" t="e">
        <f t="shared" si="195"/>
        <v>#VALUE!</v>
      </c>
      <c r="AN767" s="193" t="e">
        <f t="shared" si="196"/>
        <v>#VALUE!</v>
      </c>
      <c r="AO767" s="193" t="e">
        <f t="shared" si="197"/>
        <v>#VALUE!</v>
      </c>
      <c r="AP767" s="193"/>
      <c r="AQ767" s="204"/>
      <c r="AR767" s="204"/>
      <c r="AS767" s="204"/>
      <c r="AT767" s="205"/>
      <c r="AU767"/>
    </row>
    <row r="768" spans="2:47" ht="15" customHeight="1" x14ac:dyDescent="0.25">
      <c r="B768" s="206"/>
      <c r="C768" s="185"/>
      <c r="D768" s="164"/>
      <c r="E768" s="174"/>
      <c r="F768" s="164"/>
      <c r="G768" s="174"/>
      <c r="H768" s="164"/>
      <c r="I768" s="174"/>
      <c r="J768" s="184"/>
      <c r="K768" s="186"/>
      <c r="L768" s="187" t="str">
        <f t="shared" si="198"/>
        <v/>
      </c>
      <c r="M768" s="187" t="str">
        <f t="shared" si="199"/>
        <v/>
      </c>
      <c r="N768" s="187" t="str">
        <f t="shared" si="191"/>
        <v>D</v>
      </c>
      <c r="O768" s="187" t="str">
        <f t="shared" si="200"/>
        <v>D</v>
      </c>
      <c r="P768" s="187">
        <f t="shared" si="201"/>
        <v>1</v>
      </c>
      <c r="Q768" s="187">
        <f>IFERROR(VLOOKUP(E768,Tabela_Deflator:E$43,5,FALSE),1)</f>
        <v>1</v>
      </c>
      <c r="R768" s="188" t="str">
        <f t="shared" si="202"/>
        <v/>
      </c>
      <c r="S768" s="237" t="str">
        <f t="shared" si="192"/>
        <v/>
      </c>
      <c r="T768" s="237" t="str">
        <f t="shared" si="207"/>
        <v/>
      </c>
      <c r="U768" s="189"/>
      <c r="V768" s="167"/>
      <c r="W768" s="165"/>
      <c r="X768" s="164"/>
      <c r="Y768" s="164"/>
      <c r="Z768" s="164"/>
      <c r="AA768" s="174"/>
      <c r="AB768" s="164"/>
      <c r="AC768" s="174"/>
      <c r="AD768" s="184"/>
      <c r="AE768" s="190" t="str">
        <f t="shared" si="203"/>
        <v/>
      </c>
      <c r="AF768" s="190" t="str">
        <f t="shared" si="204"/>
        <v/>
      </c>
      <c r="AG768" s="190" t="str">
        <f t="shared" si="193"/>
        <v>D</v>
      </c>
      <c r="AH768" s="190">
        <f>IFERROR(VLOOKUP(Y768,SISP_Deflatores_e_INMs!B$4:F$49,3,FALSE),1)</f>
        <v>1</v>
      </c>
      <c r="AI768" s="190">
        <f>IFERROR(VLOOKUP(Y768,SISP_Deflatores_e_INMs!B$4:G$49,5,FALSE),1)</f>
        <v>1</v>
      </c>
      <c r="AJ768" s="191" t="str">
        <f t="shared" si="205"/>
        <v/>
      </c>
      <c r="AK768" s="237" t="str">
        <f t="shared" si="194"/>
        <v/>
      </c>
      <c r="AL768" s="237" t="str">
        <f t="shared" si="206"/>
        <v/>
      </c>
      <c r="AM768" s="192" t="e">
        <f t="shared" si="195"/>
        <v>#VALUE!</v>
      </c>
      <c r="AN768" s="193" t="e">
        <f t="shared" si="196"/>
        <v>#VALUE!</v>
      </c>
      <c r="AO768" s="193" t="e">
        <f t="shared" si="197"/>
        <v>#VALUE!</v>
      </c>
      <c r="AP768" s="193"/>
      <c r="AQ768" s="204"/>
      <c r="AR768" s="204"/>
      <c r="AS768" s="204"/>
      <c r="AT768" s="205"/>
      <c r="AU768"/>
    </row>
    <row r="769" spans="2:47" ht="15" customHeight="1" x14ac:dyDescent="0.25">
      <c r="B769" s="206"/>
      <c r="C769" s="185"/>
      <c r="D769" s="164"/>
      <c r="E769" s="174"/>
      <c r="F769" s="164"/>
      <c r="G769" s="174"/>
      <c r="H769" s="164"/>
      <c r="I769" s="174"/>
      <c r="J769" s="184"/>
      <c r="K769" s="186"/>
      <c r="L769" s="187" t="str">
        <f t="shared" si="198"/>
        <v/>
      </c>
      <c r="M769" s="187" t="str">
        <f t="shared" si="199"/>
        <v/>
      </c>
      <c r="N769" s="187" t="str">
        <f t="shared" si="191"/>
        <v>D</v>
      </c>
      <c r="O769" s="187" t="str">
        <f t="shared" si="200"/>
        <v>D</v>
      </c>
      <c r="P769" s="187">
        <f t="shared" si="201"/>
        <v>1</v>
      </c>
      <c r="Q769" s="187">
        <f>IFERROR(VLOOKUP(E769,Tabela_Deflator:E$43,5,FALSE),1)</f>
        <v>1</v>
      </c>
      <c r="R769" s="188" t="str">
        <f t="shared" si="202"/>
        <v/>
      </c>
      <c r="S769" s="237" t="str">
        <f t="shared" si="192"/>
        <v/>
      </c>
      <c r="T769" s="237" t="str">
        <f t="shared" si="207"/>
        <v/>
      </c>
      <c r="U769" s="189"/>
      <c r="V769" s="167"/>
      <c r="W769" s="165"/>
      <c r="X769" s="164"/>
      <c r="Y769" s="164"/>
      <c r="Z769" s="164"/>
      <c r="AA769" s="174"/>
      <c r="AB769" s="164"/>
      <c r="AC769" s="174"/>
      <c r="AD769" s="184"/>
      <c r="AE769" s="190" t="str">
        <f t="shared" si="203"/>
        <v/>
      </c>
      <c r="AF769" s="190" t="str">
        <f t="shared" si="204"/>
        <v/>
      </c>
      <c r="AG769" s="190" t="str">
        <f t="shared" si="193"/>
        <v>D</v>
      </c>
      <c r="AH769" s="190">
        <f>IFERROR(VLOOKUP(Y769,SISP_Deflatores_e_INMs!B$4:F$49,3,FALSE),1)</f>
        <v>1</v>
      </c>
      <c r="AI769" s="190">
        <f>IFERROR(VLOOKUP(Y769,SISP_Deflatores_e_INMs!B$4:G$49,5,FALSE),1)</f>
        <v>1</v>
      </c>
      <c r="AJ769" s="191" t="str">
        <f t="shared" si="205"/>
        <v/>
      </c>
      <c r="AK769" s="237" t="str">
        <f t="shared" si="194"/>
        <v/>
      </c>
      <c r="AL769" s="237" t="str">
        <f t="shared" si="206"/>
        <v/>
      </c>
      <c r="AM769" s="192" t="e">
        <f t="shared" si="195"/>
        <v>#VALUE!</v>
      </c>
      <c r="AN769" s="193" t="e">
        <f t="shared" si="196"/>
        <v>#VALUE!</v>
      </c>
      <c r="AO769" s="193" t="e">
        <f t="shared" si="197"/>
        <v>#VALUE!</v>
      </c>
      <c r="AP769" s="193"/>
      <c r="AQ769" s="204"/>
      <c r="AR769" s="204"/>
      <c r="AS769" s="204"/>
      <c r="AT769" s="205"/>
      <c r="AU769"/>
    </row>
    <row r="770" spans="2:47" ht="15" customHeight="1" x14ac:dyDescent="0.25">
      <c r="B770" s="206"/>
      <c r="C770" s="185"/>
      <c r="D770" s="164"/>
      <c r="E770" s="174"/>
      <c r="F770" s="164"/>
      <c r="G770" s="174"/>
      <c r="H770" s="164"/>
      <c r="I770" s="174"/>
      <c r="J770" s="184"/>
      <c r="K770" s="186"/>
      <c r="L770" s="187" t="str">
        <f t="shared" si="198"/>
        <v/>
      </c>
      <c r="M770" s="187" t="str">
        <f t="shared" si="199"/>
        <v/>
      </c>
      <c r="N770" s="187" t="str">
        <f t="shared" si="191"/>
        <v>D</v>
      </c>
      <c r="O770" s="187" t="str">
        <f t="shared" si="200"/>
        <v>D</v>
      </c>
      <c r="P770" s="187">
        <f t="shared" si="201"/>
        <v>1</v>
      </c>
      <c r="Q770" s="187">
        <f>IFERROR(VLOOKUP(E770,Tabela_Deflator:E$43,5,FALSE),1)</f>
        <v>1</v>
      </c>
      <c r="R770" s="188" t="str">
        <f t="shared" si="202"/>
        <v/>
      </c>
      <c r="S770" s="237" t="str">
        <f t="shared" si="192"/>
        <v/>
      </c>
      <c r="T770" s="237" t="str">
        <f t="shared" si="207"/>
        <v/>
      </c>
      <c r="U770" s="189"/>
      <c r="V770" s="167"/>
      <c r="W770" s="165"/>
      <c r="X770" s="164"/>
      <c r="Y770" s="164"/>
      <c r="Z770" s="164"/>
      <c r="AA770" s="174"/>
      <c r="AB770" s="164"/>
      <c r="AC770" s="174"/>
      <c r="AD770" s="184"/>
      <c r="AE770" s="190" t="str">
        <f t="shared" si="203"/>
        <v/>
      </c>
      <c r="AF770" s="190" t="str">
        <f t="shared" si="204"/>
        <v/>
      </c>
      <c r="AG770" s="190" t="str">
        <f t="shared" si="193"/>
        <v>D</v>
      </c>
      <c r="AH770" s="190">
        <f>IFERROR(VLOOKUP(Y770,SISP_Deflatores_e_INMs!B$4:F$49,3,FALSE),1)</f>
        <v>1</v>
      </c>
      <c r="AI770" s="190">
        <f>IFERROR(VLOOKUP(Y770,SISP_Deflatores_e_INMs!B$4:G$49,5,FALSE),1)</f>
        <v>1</v>
      </c>
      <c r="AJ770" s="191" t="str">
        <f t="shared" si="205"/>
        <v/>
      </c>
      <c r="AK770" s="237" t="str">
        <f t="shared" si="194"/>
        <v/>
      </c>
      <c r="AL770" s="237" t="str">
        <f t="shared" si="206"/>
        <v/>
      </c>
      <c r="AM770" s="192" t="e">
        <f t="shared" si="195"/>
        <v>#VALUE!</v>
      </c>
      <c r="AN770" s="193" t="e">
        <f t="shared" si="196"/>
        <v>#VALUE!</v>
      </c>
      <c r="AO770" s="193" t="e">
        <f t="shared" si="197"/>
        <v>#VALUE!</v>
      </c>
      <c r="AP770" s="193"/>
      <c r="AQ770" s="204"/>
      <c r="AR770" s="204"/>
      <c r="AS770" s="204"/>
      <c r="AT770" s="205"/>
      <c r="AU770"/>
    </row>
    <row r="771" spans="2:47" ht="15" customHeight="1" x14ac:dyDescent="0.25">
      <c r="B771" s="206"/>
      <c r="C771" s="185"/>
      <c r="D771" s="164"/>
      <c r="E771" s="174"/>
      <c r="F771" s="164"/>
      <c r="G771" s="174"/>
      <c r="H771" s="164"/>
      <c r="I771" s="174"/>
      <c r="J771" s="184"/>
      <c r="K771" s="186"/>
      <c r="L771" s="187" t="str">
        <f t="shared" si="198"/>
        <v/>
      </c>
      <c r="M771" s="187" t="str">
        <f t="shared" si="199"/>
        <v/>
      </c>
      <c r="N771" s="187" t="str">
        <f t="shared" si="191"/>
        <v>D</v>
      </c>
      <c r="O771" s="187" t="str">
        <f t="shared" si="200"/>
        <v>D</v>
      </c>
      <c r="P771" s="187">
        <f t="shared" si="201"/>
        <v>1</v>
      </c>
      <c r="Q771" s="187">
        <f>IFERROR(VLOOKUP(E771,Tabela_Deflator:E$43,5,FALSE),1)</f>
        <v>1</v>
      </c>
      <c r="R771" s="188" t="str">
        <f t="shared" si="202"/>
        <v/>
      </c>
      <c r="S771" s="237" t="str">
        <f t="shared" si="192"/>
        <v/>
      </c>
      <c r="T771" s="237" t="str">
        <f t="shared" si="207"/>
        <v/>
      </c>
      <c r="U771" s="189"/>
      <c r="V771" s="167"/>
      <c r="W771" s="165"/>
      <c r="X771" s="164"/>
      <c r="Y771" s="164"/>
      <c r="Z771" s="164"/>
      <c r="AA771" s="174"/>
      <c r="AB771" s="164"/>
      <c r="AC771" s="174"/>
      <c r="AD771" s="184"/>
      <c r="AE771" s="190" t="str">
        <f t="shared" si="203"/>
        <v/>
      </c>
      <c r="AF771" s="190" t="str">
        <f t="shared" si="204"/>
        <v/>
      </c>
      <c r="AG771" s="190" t="str">
        <f t="shared" si="193"/>
        <v>D</v>
      </c>
      <c r="AH771" s="190">
        <f>IFERROR(VLOOKUP(Y771,SISP_Deflatores_e_INMs!B$4:F$49,3,FALSE),1)</f>
        <v>1</v>
      </c>
      <c r="AI771" s="190">
        <f>IFERROR(VLOOKUP(Y771,SISP_Deflatores_e_INMs!B$4:G$49,5,FALSE),1)</f>
        <v>1</v>
      </c>
      <c r="AJ771" s="191" t="str">
        <f t="shared" si="205"/>
        <v/>
      </c>
      <c r="AK771" s="237" t="str">
        <f t="shared" si="194"/>
        <v/>
      </c>
      <c r="AL771" s="237" t="str">
        <f t="shared" si="206"/>
        <v/>
      </c>
      <c r="AM771" s="192" t="e">
        <f t="shared" si="195"/>
        <v>#VALUE!</v>
      </c>
      <c r="AN771" s="193" t="e">
        <f t="shared" si="196"/>
        <v>#VALUE!</v>
      </c>
      <c r="AO771" s="193" t="e">
        <f t="shared" si="197"/>
        <v>#VALUE!</v>
      </c>
      <c r="AP771" s="193"/>
      <c r="AQ771" s="204"/>
      <c r="AR771" s="204"/>
      <c r="AS771" s="204"/>
      <c r="AT771" s="205"/>
      <c r="AU771"/>
    </row>
    <row r="772" spans="2:47" ht="15" customHeight="1" x14ac:dyDescent="0.25">
      <c r="B772" s="206"/>
      <c r="C772" s="185"/>
      <c r="D772" s="164"/>
      <c r="E772" s="174"/>
      <c r="F772" s="164"/>
      <c r="G772" s="174"/>
      <c r="H772" s="164"/>
      <c r="I772" s="174"/>
      <c r="J772" s="184"/>
      <c r="K772" s="186"/>
      <c r="L772" s="187" t="str">
        <f t="shared" si="198"/>
        <v/>
      </c>
      <c r="M772" s="187" t="str">
        <f t="shared" si="199"/>
        <v/>
      </c>
      <c r="N772" s="187" t="str">
        <f t="shared" ref="N772:N835" si="208">IF(Tipo_de_contagem="Contagem Detalhada","D",IF(Tipo_de_contagem="Contagem Estimada","E","S"))</f>
        <v>D</v>
      </c>
      <c r="O772" s="187" t="str">
        <f t="shared" si="200"/>
        <v>D</v>
      </c>
      <c r="P772" s="187">
        <f t="shared" si="201"/>
        <v>1</v>
      </c>
      <c r="Q772" s="187">
        <f>IFERROR(VLOOKUP(E772,Tabela_Deflator:E$43,5,FALSE),1)</f>
        <v>1</v>
      </c>
      <c r="R772" s="188" t="str">
        <f t="shared" si="202"/>
        <v/>
      </c>
      <c r="S772" s="237" t="str">
        <f t="shared" ref="S772:S835" si="209">IF(D772="N/A","",IF(D772="","",IFERROR(IF(D772="INM",P772*J772,VLOOKUP(O772,Tabela_Pontuação,2,FALSE)),0)))</f>
        <v/>
      </c>
      <c r="T772" s="237" t="str">
        <f t="shared" si="207"/>
        <v/>
      </c>
      <c r="U772" s="189"/>
      <c r="V772" s="167"/>
      <c r="W772" s="165"/>
      <c r="X772" s="164"/>
      <c r="Y772" s="164"/>
      <c r="Z772" s="164"/>
      <c r="AA772" s="174"/>
      <c r="AB772" s="164"/>
      <c r="AC772" s="174"/>
      <c r="AD772" s="184"/>
      <c r="AE772" s="190" t="str">
        <f t="shared" si="203"/>
        <v/>
      </c>
      <c r="AF772" s="190" t="str">
        <f t="shared" si="204"/>
        <v/>
      </c>
      <c r="AG772" s="190" t="str">
        <f t="shared" ref="AG772:AG835" si="210">IF(N772="S",X772,CONCATENATE(X772,AE772,N772))</f>
        <v>D</v>
      </c>
      <c r="AH772" s="190">
        <f>IFERROR(VLOOKUP(Y772,SISP_Deflatores_e_INMs!B$4:F$49,3,FALSE),1)</f>
        <v>1</v>
      </c>
      <c r="AI772" s="190">
        <f>IFERROR(VLOOKUP(Y772,SISP_Deflatores_e_INMs!B$4:G$49,5,FALSE),1)</f>
        <v>1</v>
      </c>
      <c r="AJ772" s="191" t="str">
        <f t="shared" si="205"/>
        <v/>
      </c>
      <c r="AK772" s="237" t="str">
        <f t="shared" ref="AK772:AK835" si="211">IFERROR(IF(X772="INM",AH772*AD772,VLOOKUP(AG772,Tabela_Pontuação,2,FALSE)),"")</f>
        <v/>
      </c>
      <c r="AL772" s="237" t="str">
        <f t="shared" si="206"/>
        <v/>
      </c>
      <c r="AM772" s="192" t="e">
        <f t="shared" ref="AM772:AM835" si="212">IF(S772&lt;=0,0,AK772-S772)</f>
        <v>#VALUE!</v>
      </c>
      <c r="AN772" s="193" t="e">
        <f t="shared" ref="AN772:AN835" si="213">AM772/S772</f>
        <v>#VALUE!</v>
      </c>
      <c r="AO772" s="193" t="e">
        <f t="shared" ref="AO772:AO835" si="214">IF(T772&lt;=0,0,AL772-T772)</f>
        <v>#VALUE!</v>
      </c>
      <c r="AP772" s="193"/>
      <c r="AQ772" s="204"/>
      <c r="AR772" s="204"/>
      <c r="AS772" s="204"/>
      <c r="AT772" s="205"/>
      <c r="AU772"/>
    </row>
    <row r="773" spans="2:47" ht="15" customHeight="1" x14ac:dyDescent="0.25">
      <c r="B773" s="206"/>
      <c r="C773" s="185"/>
      <c r="D773" s="164"/>
      <c r="E773" s="174"/>
      <c r="F773" s="164"/>
      <c r="G773" s="174"/>
      <c r="H773" s="164"/>
      <c r="I773" s="174"/>
      <c r="J773" s="184"/>
      <c r="K773" s="186"/>
      <c r="L773" s="187" t="str">
        <f t="shared" ref="L773:L836" si="215">IF(OR(ISBLANK(F773),ISBLANK(H773)),IF(OR(D773="ALI",D773="AIE"),"L",IF(ISBLANK(D773),"","A")),IF(D773="EE",IF(H773&gt;=3,IF(F773&gt;=5,"H","A"),IF(H773&gt;=2,IF(F773&gt;=16,"H",IF(F773&lt;=4,"L","A")),IF(F773&lt;=15,"L","A"))),IF(OR(D773="SE",D773="CE"),IF(H773&gt;=4,IF(F773&gt;=6,"H","A"),IF(H773&gt;=2,IF(F773&gt;=20,"H",IF(F773&lt;=5,"L","A")),IF(F773&lt;=19,"L","A"))),IF(OR(D773="ALI",D773="AIE"),IF(H773&gt;=6,IF(F773&gt;=20,"H","A"),IF(H773&gt;=2,IF(F773&gt;=51,"H",IF(F773&lt;=19,"L","A")),IF(F773&lt;=50,"L","A")))))))</f>
        <v/>
      </c>
      <c r="M773" s="187" t="str">
        <f t="shared" ref="M773:M836" si="216">CONCATENATE(D773,L773)</f>
        <v/>
      </c>
      <c r="N773" s="187" t="str">
        <f t="shared" si="208"/>
        <v>D</v>
      </c>
      <c r="O773" s="187" t="str">
        <f t="shared" ref="O773:O836" si="217">IF(N773="S",D773,CONCATENATE(D773,L773,N773))</f>
        <v>D</v>
      </c>
      <c r="P773" s="187">
        <f t="shared" ref="P773:P836" si="218">IFERROR(VLOOKUP(E773,Tabela_Deflator,3,FALSE),1)</f>
        <v>1</v>
      </c>
      <c r="Q773" s="187">
        <f>IFERROR(VLOOKUP(E773,Tabela_Deflator:E$43,5,FALSE),1)</f>
        <v>1</v>
      </c>
      <c r="R773" s="188" t="str">
        <f t="shared" ref="R773:R836" si="219">IF(OR(D773="INM",D773="N/A"),"",IF(L773="L","Baixa",IF(L773="A","Média",IF(L773="","","Alta"))))</f>
        <v/>
      </c>
      <c r="S773" s="237" t="str">
        <f t="shared" si="209"/>
        <v/>
      </c>
      <c r="T773" s="237" t="str">
        <f t="shared" si="207"/>
        <v/>
      </c>
      <c r="U773" s="189"/>
      <c r="V773" s="167"/>
      <c r="W773" s="165"/>
      <c r="X773" s="164"/>
      <c r="Y773" s="164"/>
      <c r="Z773" s="164"/>
      <c r="AA773" s="174"/>
      <c r="AB773" s="164"/>
      <c r="AC773" s="174"/>
      <c r="AD773" s="184"/>
      <c r="AE773" s="190" t="str">
        <f t="shared" ref="AE773:AE836" si="220">IF(OR(ISBLANK(Z773),ISBLANK(AB773)),IF(OR(X773="ALI",X773="AIE"),"L",IF(ISBLANK(X773),"","A")),IF(X773="EE",IF(AB773&gt;=3,IF(Z773&gt;=5,"H","A"),IF(AB773&gt;=2,IF(Z773&gt;=16,"H",IF(Z773&lt;=4,"L","A")),IF(Z773&lt;=15,"L","A"))),IF(OR(X773="SE",X773="CE"),IF(AB773&gt;=4,IF(Z773&gt;=6,"H","A"),IF(AB773&gt;=2,IF(Z773&gt;=20,"H",IF(Z773&lt;=5,"L","A")),IF(Z773&lt;=19,"L","A"))),IF(OR(X773="ALI",X773="AIE"),IF(AB773&gt;=6,IF(Z773&gt;=20,"H","A"),IF(AB773&gt;=2,IF(Z773&gt;=51,"H",IF(Z773&lt;=19,"L","A")),IF(Z773&lt;=50,"L","A")))))))</f>
        <v/>
      </c>
      <c r="AF773" s="190" t="str">
        <f t="shared" ref="AF773:AF836" si="221">CONCATENATE(X773,AE773)</f>
        <v/>
      </c>
      <c r="AG773" s="190" t="str">
        <f t="shared" si="210"/>
        <v>D</v>
      </c>
      <c r="AH773" s="190">
        <f>IFERROR(VLOOKUP(Y773,SISP_Deflatores_e_INMs!B$4:F$49,3,FALSE),1)</f>
        <v>1</v>
      </c>
      <c r="AI773" s="190">
        <f>IFERROR(VLOOKUP(Y773,SISP_Deflatores_e_INMs!B$4:G$49,5,FALSE),1)</f>
        <v>1</v>
      </c>
      <c r="AJ773" s="191" t="str">
        <f t="shared" ref="AJ773:AJ836" si="222">IF(OR(X773="INM",X773="N/A"),"",IF(AE773="L","Baixa",IF(AE773="A","Média",IF(AE773="","","Alta"))))</f>
        <v/>
      </c>
      <c r="AK773" s="237" t="str">
        <f t="shared" si="211"/>
        <v/>
      </c>
      <c r="AL773" s="237" t="str">
        <f t="shared" ref="AL773:AL836" si="223">IFERROR(IF(OR(ISBLANK(V773),V773="NOK"),"",IF(X773="INM",(1*AH773)*AD773,AK773*AH773)),"")</f>
        <v/>
      </c>
      <c r="AM773" s="192" t="e">
        <f t="shared" si="212"/>
        <v>#VALUE!</v>
      </c>
      <c r="AN773" s="193" t="e">
        <f t="shared" si="213"/>
        <v>#VALUE!</v>
      </c>
      <c r="AO773" s="193" t="e">
        <f t="shared" si="214"/>
        <v>#VALUE!</v>
      </c>
      <c r="AP773" s="193"/>
      <c r="AQ773" s="204"/>
      <c r="AR773" s="204"/>
      <c r="AS773" s="204"/>
      <c r="AT773" s="205"/>
      <c r="AU773"/>
    </row>
    <row r="774" spans="2:47" ht="15" customHeight="1" x14ac:dyDescent="0.25">
      <c r="B774" s="206"/>
      <c r="C774" s="185"/>
      <c r="D774" s="164"/>
      <c r="E774" s="174"/>
      <c r="F774" s="164"/>
      <c r="G774" s="174"/>
      <c r="H774" s="164"/>
      <c r="I774" s="174"/>
      <c r="J774" s="184"/>
      <c r="K774" s="186"/>
      <c r="L774" s="187" t="str">
        <f t="shared" si="215"/>
        <v/>
      </c>
      <c r="M774" s="187" t="str">
        <f t="shared" si="216"/>
        <v/>
      </c>
      <c r="N774" s="187" t="str">
        <f t="shared" si="208"/>
        <v>D</v>
      </c>
      <c r="O774" s="187" t="str">
        <f t="shared" si="217"/>
        <v>D</v>
      </c>
      <c r="P774" s="187">
        <f t="shared" si="218"/>
        <v>1</v>
      </c>
      <c r="Q774" s="187">
        <f>IFERROR(VLOOKUP(E774,Tabela_Deflator:E$43,5,FALSE),1)</f>
        <v>1</v>
      </c>
      <c r="R774" s="188" t="str">
        <f t="shared" si="219"/>
        <v/>
      </c>
      <c r="S774" s="237" t="str">
        <f t="shared" si="209"/>
        <v/>
      </c>
      <c r="T774" s="237" t="str">
        <f t="shared" ref="T774:T837" si="224" xml:space="preserve"> IF(D774="N/A","",IF(D774="","",IF(D774="INM",(1*P774)*J774,S774*P774)))</f>
        <v/>
      </c>
      <c r="U774" s="189"/>
      <c r="V774" s="167"/>
      <c r="W774" s="165"/>
      <c r="X774" s="164"/>
      <c r="Y774" s="164"/>
      <c r="Z774" s="164"/>
      <c r="AA774" s="174"/>
      <c r="AB774" s="164"/>
      <c r="AC774" s="174"/>
      <c r="AD774" s="184"/>
      <c r="AE774" s="190" t="str">
        <f t="shared" si="220"/>
        <v/>
      </c>
      <c r="AF774" s="190" t="str">
        <f t="shared" si="221"/>
        <v/>
      </c>
      <c r="AG774" s="190" t="str">
        <f t="shared" si="210"/>
        <v>D</v>
      </c>
      <c r="AH774" s="190">
        <f>IFERROR(VLOOKUP(Y774,SISP_Deflatores_e_INMs!B$4:F$49,3,FALSE),1)</f>
        <v>1</v>
      </c>
      <c r="AI774" s="190">
        <f>IFERROR(VLOOKUP(Y774,SISP_Deflatores_e_INMs!B$4:G$49,5,FALSE),1)</f>
        <v>1</v>
      </c>
      <c r="AJ774" s="191" t="str">
        <f t="shared" si="222"/>
        <v/>
      </c>
      <c r="AK774" s="237" t="str">
        <f t="shared" si="211"/>
        <v/>
      </c>
      <c r="AL774" s="237" t="str">
        <f t="shared" si="223"/>
        <v/>
      </c>
      <c r="AM774" s="192" t="e">
        <f t="shared" si="212"/>
        <v>#VALUE!</v>
      </c>
      <c r="AN774" s="193" t="e">
        <f t="shared" si="213"/>
        <v>#VALUE!</v>
      </c>
      <c r="AO774" s="193" t="e">
        <f t="shared" si="214"/>
        <v>#VALUE!</v>
      </c>
      <c r="AP774" s="193"/>
      <c r="AQ774" s="204"/>
      <c r="AR774" s="204"/>
      <c r="AS774" s="204"/>
      <c r="AT774" s="205"/>
      <c r="AU774"/>
    </row>
    <row r="775" spans="2:47" ht="15" customHeight="1" x14ac:dyDescent="0.25">
      <c r="B775" s="206"/>
      <c r="C775" s="185"/>
      <c r="D775" s="164"/>
      <c r="E775" s="174"/>
      <c r="F775" s="164"/>
      <c r="G775" s="174"/>
      <c r="H775" s="164"/>
      <c r="I775" s="174"/>
      <c r="J775" s="184"/>
      <c r="K775" s="186"/>
      <c r="L775" s="187" t="str">
        <f t="shared" si="215"/>
        <v/>
      </c>
      <c r="M775" s="187" t="str">
        <f t="shared" si="216"/>
        <v/>
      </c>
      <c r="N775" s="187" t="str">
        <f t="shared" si="208"/>
        <v>D</v>
      </c>
      <c r="O775" s="187" t="str">
        <f t="shared" si="217"/>
        <v>D</v>
      </c>
      <c r="P775" s="187">
        <f t="shared" si="218"/>
        <v>1</v>
      </c>
      <c r="Q775" s="187">
        <f>IFERROR(VLOOKUP(E775,Tabela_Deflator:E$43,5,FALSE),1)</f>
        <v>1</v>
      </c>
      <c r="R775" s="188" t="str">
        <f t="shared" si="219"/>
        <v/>
      </c>
      <c r="S775" s="237" t="str">
        <f t="shared" si="209"/>
        <v/>
      </c>
      <c r="T775" s="237" t="str">
        <f t="shared" si="224"/>
        <v/>
      </c>
      <c r="U775" s="189"/>
      <c r="V775" s="167"/>
      <c r="W775" s="165"/>
      <c r="X775" s="164"/>
      <c r="Y775" s="164"/>
      <c r="Z775" s="164"/>
      <c r="AA775" s="174"/>
      <c r="AB775" s="164"/>
      <c r="AC775" s="174"/>
      <c r="AD775" s="184"/>
      <c r="AE775" s="190" t="str">
        <f t="shared" si="220"/>
        <v/>
      </c>
      <c r="AF775" s="190" t="str">
        <f t="shared" si="221"/>
        <v/>
      </c>
      <c r="AG775" s="190" t="str">
        <f t="shared" si="210"/>
        <v>D</v>
      </c>
      <c r="AH775" s="190">
        <f>IFERROR(VLOOKUP(Y775,SISP_Deflatores_e_INMs!B$4:F$49,3,FALSE),1)</f>
        <v>1</v>
      </c>
      <c r="AI775" s="190">
        <f>IFERROR(VLOOKUP(Y775,SISP_Deflatores_e_INMs!B$4:G$49,5,FALSE),1)</f>
        <v>1</v>
      </c>
      <c r="AJ775" s="191" t="str">
        <f t="shared" si="222"/>
        <v/>
      </c>
      <c r="AK775" s="237" t="str">
        <f t="shared" si="211"/>
        <v/>
      </c>
      <c r="AL775" s="237" t="str">
        <f t="shared" si="223"/>
        <v/>
      </c>
      <c r="AM775" s="192" t="e">
        <f t="shared" si="212"/>
        <v>#VALUE!</v>
      </c>
      <c r="AN775" s="193" t="e">
        <f t="shared" si="213"/>
        <v>#VALUE!</v>
      </c>
      <c r="AO775" s="193" t="e">
        <f t="shared" si="214"/>
        <v>#VALUE!</v>
      </c>
      <c r="AP775" s="193"/>
      <c r="AQ775" s="204"/>
      <c r="AR775" s="204"/>
      <c r="AS775" s="204"/>
      <c r="AT775" s="205"/>
      <c r="AU775"/>
    </row>
    <row r="776" spans="2:47" ht="15" customHeight="1" x14ac:dyDescent="0.25">
      <c r="B776" s="206"/>
      <c r="C776" s="185"/>
      <c r="D776" s="164"/>
      <c r="E776" s="174"/>
      <c r="F776" s="164"/>
      <c r="G776" s="174"/>
      <c r="H776" s="164"/>
      <c r="I776" s="174"/>
      <c r="J776" s="184"/>
      <c r="K776" s="186"/>
      <c r="L776" s="187" t="str">
        <f t="shared" si="215"/>
        <v/>
      </c>
      <c r="M776" s="187" t="str">
        <f t="shared" si="216"/>
        <v/>
      </c>
      <c r="N776" s="187" t="str">
        <f t="shared" si="208"/>
        <v>D</v>
      </c>
      <c r="O776" s="187" t="str">
        <f t="shared" si="217"/>
        <v>D</v>
      </c>
      <c r="P776" s="187">
        <f t="shared" si="218"/>
        <v>1</v>
      </c>
      <c r="Q776" s="187">
        <f>IFERROR(VLOOKUP(E776,Tabela_Deflator:E$43,5,FALSE),1)</f>
        <v>1</v>
      </c>
      <c r="R776" s="188" t="str">
        <f t="shared" si="219"/>
        <v/>
      </c>
      <c r="S776" s="237" t="str">
        <f t="shared" si="209"/>
        <v/>
      </c>
      <c r="T776" s="237" t="str">
        <f t="shared" si="224"/>
        <v/>
      </c>
      <c r="U776" s="189"/>
      <c r="V776" s="167"/>
      <c r="W776" s="165"/>
      <c r="X776" s="164"/>
      <c r="Y776" s="164"/>
      <c r="Z776" s="164"/>
      <c r="AA776" s="174"/>
      <c r="AB776" s="164"/>
      <c r="AC776" s="174"/>
      <c r="AD776" s="184"/>
      <c r="AE776" s="190" t="str">
        <f t="shared" si="220"/>
        <v/>
      </c>
      <c r="AF776" s="190" t="str">
        <f t="shared" si="221"/>
        <v/>
      </c>
      <c r="AG776" s="190" t="str">
        <f t="shared" si="210"/>
        <v>D</v>
      </c>
      <c r="AH776" s="190">
        <f>IFERROR(VLOOKUP(Y776,SISP_Deflatores_e_INMs!B$4:F$49,3,FALSE),1)</f>
        <v>1</v>
      </c>
      <c r="AI776" s="190">
        <f>IFERROR(VLOOKUP(Y776,SISP_Deflatores_e_INMs!B$4:G$49,5,FALSE),1)</f>
        <v>1</v>
      </c>
      <c r="AJ776" s="191" t="str">
        <f t="shared" si="222"/>
        <v/>
      </c>
      <c r="AK776" s="237" t="str">
        <f t="shared" si="211"/>
        <v/>
      </c>
      <c r="AL776" s="237" t="str">
        <f t="shared" si="223"/>
        <v/>
      </c>
      <c r="AM776" s="192" t="e">
        <f t="shared" si="212"/>
        <v>#VALUE!</v>
      </c>
      <c r="AN776" s="193" t="e">
        <f t="shared" si="213"/>
        <v>#VALUE!</v>
      </c>
      <c r="AO776" s="193" t="e">
        <f t="shared" si="214"/>
        <v>#VALUE!</v>
      </c>
      <c r="AP776" s="193"/>
      <c r="AQ776" s="204"/>
      <c r="AR776" s="204"/>
      <c r="AS776" s="204"/>
      <c r="AT776" s="205"/>
      <c r="AU776"/>
    </row>
    <row r="777" spans="2:47" ht="15" customHeight="1" x14ac:dyDescent="0.25">
      <c r="B777" s="206"/>
      <c r="C777" s="185"/>
      <c r="D777" s="164"/>
      <c r="E777" s="174"/>
      <c r="F777" s="164"/>
      <c r="G777" s="174"/>
      <c r="H777" s="164"/>
      <c r="I777" s="174"/>
      <c r="J777" s="184"/>
      <c r="K777" s="186"/>
      <c r="L777" s="187" t="str">
        <f t="shared" si="215"/>
        <v/>
      </c>
      <c r="M777" s="187" t="str">
        <f t="shared" si="216"/>
        <v/>
      </c>
      <c r="N777" s="187" t="str">
        <f t="shared" si="208"/>
        <v>D</v>
      </c>
      <c r="O777" s="187" t="str">
        <f t="shared" si="217"/>
        <v>D</v>
      </c>
      <c r="P777" s="187">
        <f t="shared" si="218"/>
        <v>1</v>
      </c>
      <c r="Q777" s="187">
        <f>IFERROR(VLOOKUP(E777,Tabela_Deflator:E$43,5,FALSE),1)</f>
        <v>1</v>
      </c>
      <c r="R777" s="188" t="str">
        <f t="shared" si="219"/>
        <v/>
      </c>
      <c r="S777" s="237" t="str">
        <f t="shared" si="209"/>
        <v/>
      </c>
      <c r="T777" s="237" t="str">
        <f t="shared" si="224"/>
        <v/>
      </c>
      <c r="U777" s="189"/>
      <c r="V777" s="167"/>
      <c r="W777" s="165"/>
      <c r="X777" s="164"/>
      <c r="Y777" s="164"/>
      <c r="Z777" s="164"/>
      <c r="AA777" s="174"/>
      <c r="AB777" s="164"/>
      <c r="AC777" s="174"/>
      <c r="AD777" s="184"/>
      <c r="AE777" s="190" t="str">
        <f t="shared" si="220"/>
        <v/>
      </c>
      <c r="AF777" s="190" t="str">
        <f t="shared" si="221"/>
        <v/>
      </c>
      <c r="AG777" s="190" t="str">
        <f t="shared" si="210"/>
        <v>D</v>
      </c>
      <c r="AH777" s="190">
        <f>IFERROR(VLOOKUP(Y777,SISP_Deflatores_e_INMs!B$4:F$49,3,FALSE),1)</f>
        <v>1</v>
      </c>
      <c r="AI777" s="190">
        <f>IFERROR(VLOOKUP(Y777,SISP_Deflatores_e_INMs!B$4:G$49,5,FALSE),1)</f>
        <v>1</v>
      </c>
      <c r="AJ777" s="191" t="str">
        <f t="shared" si="222"/>
        <v/>
      </c>
      <c r="AK777" s="237" t="str">
        <f t="shared" si="211"/>
        <v/>
      </c>
      <c r="AL777" s="237" t="str">
        <f t="shared" si="223"/>
        <v/>
      </c>
      <c r="AM777" s="192" t="e">
        <f t="shared" si="212"/>
        <v>#VALUE!</v>
      </c>
      <c r="AN777" s="193" t="e">
        <f t="shared" si="213"/>
        <v>#VALUE!</v>
      </c>
      <c r="AO777" s="193" t="e">
        <f t="shared" si="214"/>
        <v>#VALUE!</v>
      </c>
      <c r="AP777" s="193"/>
      <c r="AQ777" s="204"/>
      <c r="AR777" s="204"/>
      <c r="AS777" s="204"/>
      <c r="AT777" s="205"/>
      <c r="AU777"/>
    </row>
    <row r="778" spans="2:47" ht="15" customHeight="1" x14ac:dyDescent="0.25">
      <c r="B778" s="206"/>
      <c r="C778" s="185"/>
      <c r="D778" s="164"/>
      <c r="E778" s="174"/>
      <c r="F778" s="164"/>
      <c r="G778" s="174"/>
      <c r="H778" s="164"/>
      <c r="I778" s="174"/>
      <c r="J778" s="184"/>
      <c r="K778" s="186"/>
      <c r="L778" s="187" t="str">
        <f t="shared" si="215"/>
        <v/>
      </c>
      <c r="M778" s="187" t="str">
        <f t="shared" si="216"/>
        <v/>
      </c>
      <c r="N778" s="187" t="str">
        <f t="shared" si="208"/>
        <v>D</v>
      </c>
      <c r="O778" s="187" t="str">
        <f t="shared" si="217"/>
        <v>D</v>
      </c>
      <c r="P778" s="187">
        <f t="shared" si="218"/>
        <v>1</v>
      </c>
      <c r="Q778" s="187">
        <f>IFERROR(VLOOKUP(E778,Tabela_Deflator:E$43,5,FALSE),1)</f>
        <v>1</v>
      </c>
      <c r="R778" s="188" t="str">
        <f t="shared" si="219"/>
        <v/>
      </c>
      <c r="S778" s="237" t="str">
        <f t="shared" si="209"/>
        <v/>
      </c>
      <c r="T778" s="237" t="str">
        <f t="shared" si="224"/>
        <v/>
      </c>
      <c r="U778" s="189"/>
      <c r="V778" s="167"/>
      <c r="W778" s="165"/>
      <c r="X778" s="164"/>
      <c r="Y778" s="164"/>
      <c r="Z778" s="164"/>
      <c r="AA778" s="174"/>
      <c r="AB778" s="164"/>
      <c r="AC778" s="174"/>
      <c r="AD778" s="184"/>
      <c r="AE778" s="190" t="str">
        <f t="shared" si="220"/>
        <v/>
      </c>
      <c r="AF778" s="190" t="str">
        <f t="shared" si="221"/>
        <v/>
      </c>
      <c r="AG778" s="190" t="str">
        <f t="shared" si="210"/>
        <v>D</v>
      </c>
      <c r="AH778" s="190">
        <f>IFERROR(VLOOKUP(Y778,SISP_Deflatores_e_INMs!B$4:F$49,3,FALSE),1)</f>
        <v>1</v>
      </c>
      <c r="AI778" s="190">
        <f>IFERROR(VLOOKUP(Y778,SISP_Deflatores_e_INMs!B$4:G$49,5,FALSE),1)</f>
        <v>1</v>
      </c>
      <c r="AJ778" s="191" t="str">
        <f t="shared" si="222"/>
        <v/>
      </c>
      <c r="AK778" s="237" t="str">
        <f t="shared" si="211"/>
        <v/>
      </c>
      <c r="AL778" s="237" t="str">
        <f t="shared" si="223"/>
        <v/>
      </c>
      <c r="AM778" s="192" t="e">
        <f t="shared" si="212"/>
        <v>#VALUE!</v>
      </c>
      <c r="AN778" s="193" t="e">
        <f t="shared" si="213"/>
        <v>#VALUE!</v>
      </c>
      <c r="AO778" s="193" t="e">
        <f t="shared" si="214"/>
        <v>#VALUE!</v>
      </c>
      <c r="AP778" s="193"/>
      <c r="AQ778" s="204"/>
      <c r="AR778" s="204"/>
      <c r="AS778" s="204"/>
      <c r="AT778" s="205"/>
      <c r="AU778"/>
    </row>
    <row r="779" spans="2:47" ht="15" customHeight="1" x14ac:dyDescent="0.25">
      <c r="B779" s="206"/>
      <c r="C779" s="185"/>
      <c r="D779" s="164"/>
      <c r="E779" s="174"/>
      <c r="F779" s="164"/>
      <c r="G779" s="174"/>
      <c r="H779" s="164"/>
      <c r="I779" s="174"/>
      <c r="J779" s="184"/>
      <c r="K779" s="186"/>
      <c r="L779" s="187" t="str">
        <f t="shared" si="215"/>
        <v/>
      </c>
      <c r="M779" s="187" t="str">
        <f t="shared" si="216"/>
        <v/>
      </c>
      <c r="N779" s="187" t="str">
        <f t="shared" si="208"/>
        <v>D</v>
      </c>
      <c r="O779" s="187" t="str">
        <f t="shared" si="217"/>
        <v>D</v>
      </c>
      <c r="P779" s="187">
        <f t="shared" si="218"/>
        <v>1</v>
      </c>
      <c r="Q779" s="187">
        <f>IFERROR(VLOOKUP(E779,Tabela_Deflator:E$43,5,FALSE),1)</f>
        <v>1</v>
      </c>
      <c r="R779" s="188" t="str">
        <f t="shared" si="219"/>
        <v/>
      </c>
      <c r="S779" s="237" t="str">
        <f t="shared" si="209"/>
        <v/>
      </c>
      <c r="T779" s="237" t="str">
        <f t="shared" si="224"/>
        <v/>
      </c>
      <c r="U779" s="189"/>
      <c r="V779" s="167"/>
      <c r="W779" s="165"/>
      <c r="X779" s="164"/>
      <c r="Y779" s="164"/>
      <c r="Z779" s="164"/>
      <c r="AA779" s="174"/>
      <c r="AB779" s="164"/>
      <c r="AC779" s="174"/>
      <c r="AD779" s="184"/>
      <c r="AE779" s="190" t="str">
        <f t="shared" si="220"/>
        <v/>
      </c>
      <c r="AF779" s="190" t="str">
        <f t="shared" si="221"/>
        <v/>
      </c>
      <c r="AG779" s="190" t="str">
        <f t="shared" si="210"/>
        <v>D</v>
      </c>
      <c r="AH779" s="190">
        <f>IFERROR(VLOOKUP(Y779,SISP_Deflatores_e_INMs!B$4:F$49,3,FALSE),1)</f>
        <v>1</v>
      </c>
      <c r="AI779" s="190">
        <f>IFERROR(VLOOKUP(Y779,SISP_Deflatores_e_INMs!B$4:G$49,5,FALSE),1)</f>
        <v>1</v>
      </c>
      <c r="AJ779" s="191" t="str">
        <f t="shared" si="222"/>
        <v/>
      </c>
      <c r="AK779" s="237" t="str">
        <f t="shared" si="211"/>
        <v/>
      </c>
      <c r="AL779" s="237" t="str">
        <f t="shared" si="223"/>
        <v/>
      </c>
      <c r="AM779" s="192" t="e">
        <f t="shared" si="212"/>
        <v>#VALUE!</v>
      </c>
      <c r="AN779" s="193" t="e">
        <f t="shared" si="213"/>
        <v>#VALUE!</v>
      </c>
      <c r="AO779" s="193" t="e">
        <f t="shared" si="214"/>
        <v>#VALUE!</v>
      </c>
      <c r="AP779" s="193"/>
      <c r="AQ779" s="204"/>
      <c r="AR779" s="204"/>
      <c r="AS779" s="204"/>
      <c r="AT779" s="205"/>
      <c r="AU779"/>
    </row>
    <row r="780" spans="2:47" ht="15" customHeight="1" x14ac:dyDescent="0.25">
      <c r="B780" s="206"/>
      <c r="C780" s="185"/>
      <c r="D780" s="164"/>
      <c r="E780" s="174"/>
      <c r="F780" s="164"/>
      <c r="G780" s="174"/>
      <c r="H780" s="164"/>
      <c r="I780" s="174"/>
      <c r="J780" s="184"/>
      <c r="K780" s="186"/>
      <c r="L780" s="187" t="str">
        <f t="shared" si="215"/>
        <v/>
      </c>
      <c r="M780" s="187" t="str">
        <f t="shared" si="216"/>
        <v/>
      </c>
      <c r="N780" s="187" t="str">
        <f t="shared" si="208"/>
        <v>D</v>
      </c>
      <c r="O780" s="187" t="str">
        <f t="shared" si="217"/>
        <v>D</v>
      </c>
      <c r="P780" s="187">
        <f t="shared" si="218"/>
        <v>1</v>
      </c>
      <c r="Q780" s="187">
        <f>IFERROR(VLOOKUP(E780,Tabela_Deflator:E$43,5,FALSE),1)</f>
        <v>1</v>
      </c>
      <c r="R780" s="188" t="str">
        <f t="shared" si="219"/>
        <v/>
      </c>
      <c r="S780" s="237" t="str">
        <f t="shared" si="209"/>
        <v/>
      </c>
      <c r="T780" s="237" t="str">
        <f t="shared" si="224"/>
        <v/>
      </c>
      <c r="U780" s="189"/>
      <c r="V780" s="167"/>
      <c r="W780" s="165"/>
      <c r="X780" s="164"/>
      <c r="Y780" s="164"/>
      <c r="Z780" s="164"/>
      <c r="AA780" s="174"/>
      <c r="AB780" s="164"/>
      <c r="AC780" s="174"/>
      <c r="AD780" s="184"/>
      <c r="AE780" s="190" t="str">
        <f t="shared" si="220"/>
        <v/>
      </c>
      <c r="AF780" s="190" t="str">
        <f t="shared" si="221"/>
        <v/>
      </c>
      <c r="AG780" s="190" t="str">
        <f t="shared" si="210"/>
        <v>D</v>
      </c>
      <c r="AH780" s="190">
        <f>IFERROR(VLOOKUP(Y780,SISP_Deflatores_e_INMs!B$4:F$49,3,FALSE),1)</f>
        <v>1</v>
      </c>
      <c r="AI780" s="190">
        <f>IFERROR(VLOOKUP(Y780,SISP_Deflatores_e_INMs!B$4:G$49,5,FALSE),1)</f>
        <v>1</v>
      </c>
      <c r="AJ780" s="191" t="str">
        <f t="shared" si="222"/>
        <v/>
      </c>
      <c r="AK780" s="237" t="str">
        <f t="shared" si="211"/>
        <v/>
      </c>
      <c r="AL780" s="237" t="str">
        <f t="shared" si="223"/>
        <v/>
      </c>
      <c r="AM780" s="192" t="e">
        <f t="shared" si="212"/>
        <v>#VALUE!</v>
      </c>
      <c r="AN780" s="193" t="e">
        <f t="shared" si="213"/>
        <v>#VALUE!</v>
      </c>
      <c r="AO780" s="193" t="e">
        <f t="shared" si="214"/>
        <v>#VALUE!</v>
      </c>
      <c r="AP780" s="193"/>
      <c r="AQ780" s="204"/>
      <c r="AR780" s="204"/>
      <c r="AS780" s="204"/>
      <c r="AT780" s="205"/>
      <c r="AU780"/>
    </row>
    <row r="781" spans="2:47" ht="15" customHeight="1" x14ac:dyDescent="0.25">
      <c r="B781" s="206"/>
      <c r="C781" s="185"/>
      <c r="D781" s="164"/>
      <c r="E781" s="174"/>
      <c r="F781" s="164"/>
      <c r="G781" s="174"/>
      <c r="H781" s="164"/>
      <c r="I781" s="174"/>
      <c r="J781" s="184"/>
      <c r="K781" s="186"/>
      <c r="L781" s="187" t="str">
        <f t="shared" si="215"/>
        <v/>
      </c>
      <c r="M781" s="187" t="str">
        <f t="shared" si="216"/>
        <v/>
      </c>
      <c r="N781" s="187" t="str">
        <f t="shared" si="208"/>
        <v>D</v>
      </c>
      <c r="O781" s="187" t="str">
        <f t="shared" si="217"/>
        <v>D</v>
      </c>
      <c r="P781" s="187">
        <f t="shared" si="218"/>
        <v>1</v>
      </c>
      <c r="Q781" s="187">
        <f>IFERROR(VLOOKUP(E781,Tabela_Deflator:E$43,5,FALSE),1)</f>
        <v>1</v>
      </c>
      <c r="R781" s="188" t="str">
        <f t="shared" si="219"/>
        <v/>
      </c>
      <c r="S781" s="237" t="str">
        <f t="shared" si="209"/>
        <v/>
      </c>
      <c r="T781" s="237" t="str">
        <f t="shared" si="224"/>
        <v/>
      </c>
      <c r="U781" s="189"/>
      <c r="V781" s="167"/>
      <c r="W781" s="165"/>
      <c r="X781" s="164"/>
      <c r="Y781" s="164"/>
      <c r="Z781" s="164"/>
      <c r="AA781" s="174"/>
      <c r="AB781" s="164"/>
      <c r="AC781" s="174"/>
      <c r="AD781" s="184"/>
      <c r="AE781" s="190" t="str">
        <f t="shared" si="220"/>
        <v/>
      </c>
      <c r="AF781" s="190" t="str">
        <f t="shared" si="221"/>
        <v/>
      </c>
      <c r="AG781" s="190" t="str">
        <f t="shared" si="210"/>
        <v>D</v>
      </c>
      <c r="AH781" s="190">
        <f>IFERROR(VLOOKUP(Y781,SISP_Deflatores_e_INMs!B$4:F$49,3,FALSE),1)</f>
        <v>1</v>
      </c>
      <c r="AI781" s="190">
        <f>IFERROR(VLOOKUP(Y781,SISP_Deflatores_e_INMs!B$4:G$49,5,FALSE),1)</f>
        <v>1</v>
      </c>
      <c r="AJ781" s="191" t="str">
        <f t="shared" si="222"/>
        <v/>
      </c>
      <c r="AK781" s="237" t="str">
        <f t="shared" si="211"/>
        <v/>
      </c>
      <c r="AL781" s="237" t="str">
        <f t="shared" si="223"/>
        <v/>
      </c>
      <c r="AM781" s="192" t="e">
        <f t="shared" si="212"/>
        <v>#VALUE!</v>
      </c>
      <c r="AN781" s="193" t="e">
        <f t="shared" si="213"/>
        <v>#VALUE!</v>
      </c>
      <c r="AO781" s="193" t="e">
        <f t="shared" si="214"/>
        <v>#VALUE!</v>
      </c>
      <c r="AP781" s="193"/>
      <c r="AQ781" s="204"/>
      <c r="AR781" s="204"/>
      <c r="AS781" s="204"/>
      <c r="AT781" s="205"/>
      <c r="AU781"/>
    </row>
    <row r="782" spans="2:47" ht="15" customHeight="1" x14ac:dyDescent="0.25">
      <c r="B782" s="206"/>
      <c r="C782" s="185"/>
      <c r="D782" s="164"/>
      <c r="E782" s="174"/>
      <c r="F782" s="164"/>
      <c r="G782" s="174"/>
      <c r="H782" s="164"/>
      <c r="I782" s="174"/>
      <c r="J782" s="184"/>
      <c r="K782" s="186"/>
      <c r="L782" s="187" t="str">
        <f t="shared" si="215"/>
        <v/>
      </c>
      <c r="M782" s="187" t="str">
        <f t="shared" si="216"/>
        <v/>
      </c>
      <c r="N782" s="187" t="str">
        <f t="shared" si="208"/>
        <v>D</v>
      </c>
      <c r="O782" s="187" t="str">
        <f t="shared" si="217"/>
        <v>D</v>
      </c>
      <c r="P782" s="187">
        <f t="shared" si="218"/>
        <v>1</v>
      </c>
      <c r="Q782" s="187">
        <f>IFERROR(VLOOKUP(E782,Tabela_Deflator:E$43,5,FALSE),1)</f>
        <v>1</v>
      </c>
      <c r="R782" s="188" t="str">
        <f t="shared" si="219"/>
        <v/>
      </c>
      <c r="S782" s="237" t="str">
        <f t="shared" si="209"/>
        <v/>
      </c>
      <c r="T782" s="237" t="str">
        <f t="shared" si="224"/>
        <v/>
      </c>
      <c r="U782" s="189"/>
      <c r="V782" s="167"/>
      <c r="W782" s="165"/>
      <c r="X782" s="164"/>
      <c r="Y782" s="164"/>
      <c r="Z782" s="164"/>
      <c r="AA782" s="174"/>
      <c r="AB782" s="164"/>
      <c r="AC782" s="174"/>
      <c r="AD782" s="184"/>
      <c r="AE782" s="190" t="str">
        <f t="shared" si="220"/>
        <v/>
      </c>
      <c r="AF782" s="190" t="str">
        <f t="shared" si="221"/>
        <v/>
      </c>
      <c r="AG782" s="190" t="str">
        <f t="shared" si="210"/>
        <v>D</v>
      </c>
      <c r="AH782" s="190">
        <f>IFERROR(VLOOKUP(Y782,SISP_Deflatores_e_INMs!B$4:F$49,3,FALSE),1)</f>
        <v>1</v>
      </c>
      <c r="AI782" s="190">
        <f>IFERROR(VLOOKUP(Y782,SISP_Deflatores_e_INMs!B$4:G$49,5,FALSE),1)</f>
        <v>1</v>
      </c>
      <c r="AJ782" s="191" t="str">
        <f t="shared" si="222"/>
        <v/>
      </c>
      <c r="AK782" s="237" t="str">
        <f t="shared" si="211"/>
        <v/>
      </c>
      <c r="AL782" s="237" t="str">
        <f t="shared" si="223"/>
        <v/>
      </c>
      <c r="AM782" s="192" t="e">
        <f t="shared" si="212"/>
        <v>#VALUE!</v>
      </c>
      <c r="AN782" s="193" t="e">
        <f t="shared" si="213"/>
        <v>#VALUE!</v>
      </c>
      <c r="AO782" s="193" t="e">
        <f t="shared" si="214"/>
        <v>#VALUE!</v>
      </c>
      <c r="AP782" s="193"/>
      <c r="AQ782" s="204"/>
      <c r="AR782" s="204"/>
      <c r="AS782" s="204"/>
      <c r="AT782" s="205"/>
      <c r="AU782"/>
    </row>
    <row r="783" spans="2:47" ht="15" customHeight="1" x14ac:dyDescent="0.25">
      <c r="B783" s="206"/>
      <c r="C783" s="185"/>
      <c r="D783" s="164"/>
      <c r="E783" s="174"/>
      <c r="F783" s="164"/>
      <c r="G783" s="174"/>
      <c r="H783" s="164"/>
      <c r="I783" s="174"/>
      <c r="J783" s="184"/>
      <c r="K783" s="186"/>
      <c r="L783" s="187" t="str">
        <f t="shared" si="215"/>
        <v/>
      </c>
      <c r="M783" s="187" t="str">
        <f t="shared" si="216"/>
        <v/>
      </c>
      <c r="N783" s="187" t="str">
        <f t="shared" si="208"/>
        <v>D</v>
      </c>
      <c r="O783" s="187" t="str">
        <f t="shared" si="217"/>
        <v>D</v>
      </c>
      <c r="P783" s="187">
        <f t="shared" si="218"/>
        <v>1</v>
      </c>
      <c r="Q783" s="187">
        <f>IFERROR(VLOOKUP(E783,Tabela_Deflator:E$43,5,FALSE),1)</f>
        <v>1</v>
      </c>
      <c r="R783" s="188" t="str">
        <f t="shared" si="219"/>
        <v/>
      </c>
      <c r="S783" s="237" t="str">
        <f t="shared" si="209"/>
        <v/>
      </c>
      <c r="T783" s="237" t="str">
        <f t="shared" si="224"/>
        <v/>
      </c>
      <c r="U783" s="189"/>
      <c r="V783" s="167"/>
      <c r="W783" s="165"/>
      <c r="X783" s="164"/>
      <c r="Y783" s="164"/>
      <c r="Z783" s="164"/>
      <c r="AA783" s="174"/>
      <c r="AB783" s="164"/>
      <c r="AC783" s="174"/>
      <c r="AD783" s="184"/>
      <c r="AE783" s="190" t="str">
        <f t="shared" si="220"/>
        <v/>
      </c>
      <c r="AF783" s="190" t="str">
        <f t="shared" si="221"/>
        <v/>
      </c>
      <c r="AG783" s="190" t="str">
        <f t="shared" si="210"/>
        <v>D</v>
      </c>
      <c r="AH783" s="190">
        <f>IFERROR(VLOOKUP(Y783,SISP_Deflatores_e_INMs!B$4:F$49,3,FALSE),1)</f>
        <v>1</v>
      </c>
      <c r="AI783" s="190">
        <f>IFERROR(VLOOKUP(Y783,SISP_Deflatores_e_INMs!B$4:G$49,5,FALSE),1)</f>
        <v>1</v>
      </c>
      <c r="AJ783" s="191" t="str">
        <f t="shared" si="222"/>
        <v/>
      </c>
      <c r="AK783" s="237" t="str">
        <f t="shared" si="211"/>
        <v/>
      </c>
      <c r="AL783" s="237" t="str">
        <f t="shared" si="223"/>
        <v/>
      </c>
      <c r="AM783" s="192" t="e">
        <f t="shared" si="212"/>
        <v>#VALUE!</v>
      </c>
      <c r="AN783" s="193" t="e">
        <f t="shared" si="213"/>
        <v>#VALUE!</v>
      </c>
      <c r="AO783" s="193" t="e">
        <f t="shared" si="214"/>
        <v>#VALUE!</v>
      </c>
      <c r="AP783" s="193"/>
      <c r="AQ783" s="204"/>
      <c r="AR783" s="204"/>
      <c r="AS783" s="204"/>
      <c r="AT783" s="205"/>
      <c r="AU783"/>
    </row>
    <row r="784" spans="2:47" ht="15" customHeight="1" x14ac:dyDescent="0.25">
      <c r="B784" s="206"/>
      <c r="C784" s="185"/>
      <c r="D784" s="164"/>
      <c r="E784" s="174"/>
      <c r="F784" s="164"/>
      <c r="G784" s="174"/>
      <c r="H784" s="164"/>
      <c r="I784" s="174"/>
      <c r="J784" s="184"/>
      <c r="K784" s="186"/>
      <c r="L784" s="187" t="str">
        <f t="shared" si="215"/>
        <v/>
      </c>
      <c r="M784" s="187" t="str">
        <f t="shared" si="216"/>
        <v/>
      </c>
      <c r="N784" s="187" t="str">
        <f t="shared" si="208"/>
        <v>D</v>
      </c>
      <c r="O784" s="187" t="str">
        <f t="shared" si="217"/>
        <v>D</v>
      </c>
      <c r="P784" s="187">
        <f t="shared" si="218"/>
        <v>1</v>
      </c>
      <c r="Q784" s="187">
        <f>IFERROR(VLOOKUP(E784,Tabela_Deflator:E$43,5,FALSE),1)</f>
        <v>1</v>
      </c>
      <c r="R784" s="188" t="str">
        <f t="shared" si="219"/>
        <v/>
      </c>
      <c r="S784" s="237" t="str">
        <f t="shared" si="209"/>
        <v/>
      </c>
      <c r="T784" s="237" t="str">
        <f t="shared" si="224"/>
        <v/>
      </c>
      <c r="U784" s="189"/>
      <c r="V784" s="167"/>
      <c r="W784" s="165"/>
      <c r="X784" s="164"/>
      <c r="Y784" s="164"/>
      <c r="Z784" s="164"/>
      <c r="AA784" s="174"/>
      <c r="AB784" s="164"/>
      <c r="AC784" s="174"/>
      <c r="AD784" s="184"/>
      <c r="AE784" s="190" t="str">
        <f t="shared" si="220"/>
        <v/>
      </c>
      <c r="AF784" s="190" t="str">
        <f t="shared" si="221"/>
        <v/>
      </c>
      <c r="AG784" s="190" t="str">
        <f t="shared" si="210"/>
        <v>D</v>
      </c>
      <c r="AH784" s="190">
        <f>IFERROR(VLOOKUP(Y784,SISP_Deflatores_e_INMs!B$4:F$49,3,FALSE),1)</f>
        <v>1</v>
      </c>
      <c r="AI784" s="190">
        <f>IFERROR(VLOOKUP(Y784,SISP_Deflatores_e_INMs!B$4:G$49,5,FALSE),1)</f>
        <v>1</v>
      </c>
      <c r="AJ784" s="191" t="str">
        <f t="shared" si="222"/>
        <v/>
      </c>
      <c r="AK784" s="237" t="str">
        <f t="shared" si="211"/>
        <v/>
      </c>
      <c r="AL784" s="237" t="str">
        <f t="shared" si="223"/>
        <v/>
      </c>
      <c r="AM784" s="192" t="e">
        <f t="shared" si="212"/>
        <v>#VALUE!</v>
      </c>
      <c r="AN784" s="193" t="e">
        <f t="shared" si="213"/>
        <v>#VALUE!</v>
      </c>
      <c r="AO784" s="193" t="e">
        <f t="shared" si="214"/>
        <v>#VALUE!</v>
      </c>
      <c r="AP784" s="193"/>
      <c r="AQ784" s="204"/>
      <c r="AR784" s="204"/>
      <c r="AS784" s="204"/>
      <c r="AT784" s="205"/>
      <c r="AU784"/>
    </row>
    <row r="785" spans="2:47" ht="15" customHeight="1" x14ac:dyDescent="0.25">
      <c r="B785" s="206"/>
      <c r="C785" s="185"/>
      <c r="D785" s="164"/>
      <c r="E785" s="174"/>
      <c r="F785" s="164"/>
      <c r="G785" s="174"/>
      <c r="H785" s="164"/>
      <c r="I785" s="174"/>
      <c r="J785" s="184"/>
      <c r="K785" s="186"/>
      <c r="L785" s="187" t="str">
        <f t="shared" si="215"/>
        <v/>
      </c>
      <c r="M785" s="187" t="str">
        <f t="shared" si="216"/>
        <v/>
      </c>
      <c r="N785" s="187" t="str">
        <f t="shared" si="208"/>
        <v>D</v>
      </c>
      <c r="O785" s="187" t="str">
        <f t="shared" si="217"/>
        <v>D</v>
      </c>
      <c r="P785" s="187">
        <f t="shared" si="218"/>
        <v>1</v>
      </c>
      <c r="Q785" s="187">
        <f>IFERROR(VLOOKUP(E785,Tabela_Deflator:E$43,5,FALSE),1)</f>
        <v>1</v>
      </c>
      <c r="R785" s="188" t="str">
        <f t="shared" si="219"/>
        <v/>
      </c>
      <c r="S785" s="237" t="str">
        <f t="shared" si="209"/>
        <v/>
      </c>
      <c r="T785" s="237" t="str">
        <f t="shared" si="224"/>
        <v/>
      </c>
      <c r="U785" s="189"/>
      <c r="V785" s="167"/>
      <c r="W785" s="165"/>
      <c r="X785" s="164"/>
      <c r="Y785" s="164"/>
      <c r="Z785" s="164"/>
      <c r="AA785" s="174"/>
      <c r="AB785" s="164"/>
      <c r="AC785" s="174"/>
      <c r="AD785" s="184"/>
      <c r="AE785" s="190" t="str">
        <f t="shared" si="220"/>
        <v/>
      </c>
      <c r="AF785" s="190" t="str">
        <f t="shared" si="221"/>
        <v/>
      </c>
      <c r="AG785" s="190" t="str">
        <f t="shared" si="210"/>
        <v>D</v>
      </c>
      <c r="AH785" s="190">
        <f>IFERROR(VLOOKUP(Y785,SISP_Deflatores_e_INMs!B$4:F$49,3,FALSE),1)</f>
        <v>1</v>
      </c>
      <c r="AI785" s="190">
        <f>IFERROR(VLOOKUP(Y785,SISP_Deflatores_e_INMs!B$4:G$49,5,FALSE),1)</f>
        <v>1</v>
      </c>
      <c r="AJ785" s="191" t="str">
        <f t="shared" si="222"/>
        <v/>
      </c>
      <c r="AK785" s="237" t="str">
        <f t="shared" si="211"/>
        <v/>
      </c>
      <c r="AL785" s="237" t="str">
        <f t="shared" si="223"/>
        <v/>
      </c>
      <c r="AM785" s="192" t="e">
        <f t="shared" si="212"/>
        <v>#VALUE!</v>
      </c>
      <c r="AN785" s="193" t="e">
        <f t="shared" si="213"/>
        <v>#VALUE!</v>
      </c>
      <c r="AO785" s="193" t="e">
        <f t="shared" si="214"/>
        <v>#VALUE!</v>
      </c>
      <c r="AP785" s="193"/>
      <c r="AQ785" s="204"/>
      <c r="AR785" s="204"/>
      <c r="AS785" s="204"/>
      <c r="AT785" s="205"/>
      <c r="AU785"/>
    </row>
    <row r="786" spans="2:47" ht="15" customHeight="1" x14ac:dyDescent="0.25">
      <c r="B786" s="206"/>
      <c r="C786" s="185"/>
      <c r="D786" s="164"/>
      <c r="E786" s="174"/>
      <c r="F786" s="164"/>
      <c r="G786" s="174"/>
      <c r="H786" s="164"/>
      <c r="I786" s="174"/>
      <c r="J786" s="184"/>
      <c r="K786" s="186"/>
      <c r="L786" s="187" t="str">
        <f t="shared" si="215"/>
        <v/>
      </c>
      <c r="M786" s="187" t="str">
        <f t="shared" si="216"/>
        <v/>
      </c>
      <c r="N786" s="187" t="str">
        <f t="shared" si="208"/>
        <v>D</v>
      </c>
      <c r="O786" s="187" t="str">
        <f t="shared" si="217"/>
        <v>D</v>
      </c>
      <c r="P786" s="187">
        <f t="shared" si="218"/>
        <v>1</v>
      </c>
      <c r="Q786" s="187">
        <f>IFERROR(VLOOKUP(E786,Tabela_Deflator:E$43,5,FALSE),1)</f>
        <v>1</v>
      </c>
      <c r="R786" s="188" t="str">
        <f t="shared" si="219"/>
        <v/>
      </c>
      <c r="S786" s="237" t="str">
        <f t="shared" si="209"/>
        <v/>
      </c>
      <c r="T786" s="237" t="str">
        <f t="shared" si="224"/>
        <v/>
      </c>
      <c r="U786" s="189"/>
      <c r="V786" s="167"/>
      <c r="W786" s="165"/>
      <c r="X786" s="164"/>
      <c r="Y786" s="164"/>
      <c r="Z786" s="164"/>
      <c r="AA786" s="174"/>
      <c r="AB786" s="164"/>
      <c r="AC786" s="174"/>
      <c r="AD786" s="184"/>
      <c r="AE786" s="190" t="str">
        <f t="shared" si="220"/>
        <v/>
      </c>
      <c r="AF786" s="190" t="str">
        <f t="shared" si="221"/>
        <v/>
      </c>
      <c r="AG786" s="190" t="str">
        <f t="shared" si="210"/>
        <v>D</v>
      </c>
      <c r="AH786" s="190">
        <f>IFERROR(VLOOKUP(Y786,SISP_Deflatores_e_INMs!B$4:F$49,3,FALSE),1)</f>
        <v>1</v>
      </c>
      <c r="AI786" s="190">
        <f>IFERROR(VLOOKUP(Y786,SISP_Deflatores_e_INMs!B$4:G$49,5,FALSE),1)</f>
        <v>1</v>
      </c>
      <c r="AJ786" s="191" t="str">
        <f t="shared" si="222"/>
        <v/>
      </c>
      <c r="AK786" s="237" t="str">
        <f t="shared" si="211"/>
        <v/>
      </c>
      <c r="AL786" s="237" t="str">
        <f t="shared" si="223"/>
        <v/>
      </c>
      <c r="AM786" s="192" t="e">
        <f t="shared" si="212"/>
        <v>#VALUE!</v>
      </c>
      <c r="AN786" s="193" t="e">
        <f t="shared" si="213"/>
        <v>#VALUE!</v>
      </c>
      <c r="AO786" s="193" t="e">
        <f t="shared" si="214"/>
        <v>#VALUE!</v>
      </c>
      <c r="AP786" s="193"/>
      <c r="AQ786" s="204"/>
      <c r="AR786" s="204"/>
      <c r="AS786" s="204"/>
      <c r="AT786" s="205"/>
      <c r="AU786"/>
    </row>
    <row r="787" spans="2:47" ht="15" customHeight="1" x14ac:dyDescent="0.25">
      <c r="B787" s="206"/>
      <c r="C787" s="185"/>
      <c r="D787" s="164"/>
      <c r="E787" s="174"/>
      <c r="F787" s="164"/>
      <c r="G787" s="174"/>
      <c r="H787" s="164"/>
      <c r="I787" s="174"/>
      <c r="J787" s="184"/>
      <c r="K787" s="186"/>
      <c r="L787" s="187" t="str">
        <f t="shared" si="215"/>
        <v/>
      </c>
      <c r="M787" s="187" t="str">
        <f t="shared" si="216"/>
        <v/>
      </c>
      <c r="N787" s="187" t="str">
        <f t="shared" si="208"/>
        <v>D</v>
      </c>
      <c r="O787" s="187" t="str">
        <f t="shared" si="217"/>
        <v>D</v>
      </c>
      <c r="P787" s="187">
        <f t="shared" si="218"/>
        <v>1</v>
      </c>
      <c r="Q787" s="187">
        <f>IFERROR(VLOOKUP(E787,Tabela_Deflator:E$43,5,FALSE),1)</f>
        <v>1</v>
      </c>
      <c r="R787" s="188" t="str">
        <f t="shared" si="219"/>
        <v/>
      </c>
      <c r="S787" s="237" t="str">
        <f t="shared" si="209"/>
        <v/>
      </c>
      <c r="T787" s="237" t="str">
        <f t="shared" si="224"/>
        <v/>
      </c>
      <c r="U787" s="189"/>
      <c r="V787" s="167"/>
      <c r="W787" s="165"/>
      <c r="X787" s="164"/>
      <c r="Y787" s="164"/>
      <c r="Z787" s="164"/>
      <c r="AA787" s="174"/>
      <c r="AB787" s="164"/>
      <c r="AC787" s="174"/>
      <c r="AD787" s="184"/>
      <c r="AE787" s="190" t="str">
        <f t="shared" si="220"/>
        <v/>
      </c>
      <c r="AF787" s="190" t="str">
        <f t="shared" si="221"/>
        <v/>
      </c>
      <c r="AG787" s="190" t="str">
        <f t="shared" si="210"/>
        <v>D</v>
      </c>
      <c r="AH787" s="190">
        <f>IFERROR(VLOOKUP(Y787,SISP_Deflatores_e_INMs!B$4:F$49,3,FALSE),1)</f>
        <v>1</v>
      </c>
      <c r="AI787" s="190">
        <f>IFERROR(VLOOKUP(Y787,SISP_Deflatores_e_INMs!B$4:G$49,5,FALSE),1)</f>
        <v>1</v>
      </c>
      <c r="AJ787" s="191" t="str">
        <f t="shared" si="222"/>
        <v/>
      </c>
      <c r="AK787" s="237" t="str">
        <f t="shared" si="211"/>
        <v/>
      </c>
      <c r="AL787" s="237" t="str">
        <f t="shared" si="223"/>
        <v/>
      </c>
      <c r="AM787" s="192" t="e">
        <f t="shared" si="212"/>
        <v>#VALUE!</v>
      </c>
      <c r="AN787" s="193" t="e">
        <f t="shared" si="213"/>
        <v>#VALUE!</v>
      </c>
      <c r="AO787" s="193" t="e">
        <f t="shared" si="214"/>
        <v>#VALUE!</v>
      </c>
      <c r="AP787" s="193"/>
      <c r="AQ787" s="204"/>
      <c r="AR787" s="204"/>
      <c r="AS787" s="204"/>
      <c r="AT787" s="205"/>
      <c r="AU787"/>
    </row>
    <row r="788" spans="2:47" ht="15" customHeight="1" x14ac:dyDescent="0.25">
      <c r="B788" s="206"/>
      <c r="C788" s="185"/>
      <c r="D788" s="164"/>
      <c r="E788" s="174"/>
      <c r="F788" s="164"/>
      <c r="G788" s="174"/>
      <c r="H788" s="164"/>
      <c r="I788" s="174"/>
      <c r="J788" s="184"/>
      <c r="K788" s="186"/>
      <c r="L788" s="187" t="str">
        <f t="shared" si="215"/>
        <v/>
      </c>
      <c r="M788" s="187" t="str">
        <f t="shared" si="216"/>
        <v/>
      </c>
      <c r="N788" s="187" t="str">
        <f t="shared" si="208"/>
        <v>D</v>
      </c>
      <c r="O788" s="187" t="str">
        <f t="shared" si="217"/>
        <v>D</v>
      </c>
      <c r="P788" s="187">
        <f t="shared" si="218"/>
        <v>1</v>
      </c>
      <c r="Q788" s="187">
        <f>IFERROR(VLOOKUP(E788,Tabela_Deflator:E$43,5,FALSE),1)</f>
        <v>1</v>
      </c>
      <c r="R788" s="188" t="str">
        <f t="shared" si="219"/>
        <v/>
      </c>
      <c r="S788" s="237" t="str">
        <f t="shared" si="209"/>
        <v/>
      </c>
      <c r="T788" s="237" t="str">
        <f t="shared" si="224"/>
        <v/>
      </c>
      <c r="U788" s="189"/>
      <c r="V788" s="167"/>
      <c r="W788" s="165"/>
      <c r="X788" s="164"/>
      <c r="Y788" s="164"/>
      <c r="Z788" s="164"/>
      <c r="AA788" s="174"/>
      <c r="AB788" s="164"/>
      <c r="AC788" s="174"/>
      <c r="AD788" s="184"/>
      <c r="AE788" s="190" t="str">
        <f t="shared" si="220"/>
        <v/>
      </c>
      <c r="AF788" s="190" t="str">
        <f t="shared" si="221"/>
        <v/>
      </c>
      <c r="AG788" s="190" t="str">
        <f t="shared" si="210"/>
        <v>D</v>
      </c>
      <c r="AH788" s="190">
        <f>IFERROR(VLOOKUP(Y788,SISP_Deflatores_e_INMs!B$4:F$49,3,FALSE),1)</f>
        <v>1</v>
      </c>
      <c r="AI788" s="190">
        <f>IFERROR(VLOOKUP(Y788,SISP_Deflatores_e_INMs!B$4:G$49,5,FALSE),1)</f>
        <v>1</v>
      </c>
      <c r="AJ788" s="191" t="str">
        <f t="shared" si="222"/>
        <v/>
      </c>
      <c r="AK788" s="237" t="str">
        <f t="shared" si="211"/>
        <v/>
      </c>
      <c r="AL788" s="237" t="str">
        <f t="shared" si="223"/>
        <v/>
      </c>
      <c r="AM788" s="192" t="e">
        <f t="shared" si="212"/>
        <v>#VALUE!</v>
      </c>
      <c r="AN788" s="193" t="e">
        <f t="shared" si="213"/>
        <v>#VALUE!</v>
      </c>
      <c r="AO788" s="193" t="e">
        <f t="shared" si="214"/>
        <v>#VALUE!</v>
      </c>
      <c r="AP788" s="193"/>
      <c r="AQ788" s="204"/>
      <c r="AR788" s="204"/>
      <c r="AS788" s="204"/>
      <c r="AT788" s="205"/>
      <c r="AU788"/>
    </row>
    <row r="789" spans="2:47" ht="15" customHeight="1" x14ac:dyDescent="0.25">
      <c r="B789" s="206"/>
      <c r="C789" s="185"/>
      <c r="D789" s="164"/>
      <c r="E789" s="174"/>
      <c r="F789" s="164"/>
      <c r="G789" s="174"/>
      <c r="H789" s="164"/>
      <c r="I789" s="174"/>
      <c r="J789" s="184"/>
      <c r="K789" s="186"/>
      <c r="L789" s="187" t="str">
        <f t="shared" si="215"/>
        <v/>
      </c>
      <c r="M789" s="187" t="str">
        <f t="shared" si="216"/>
        <v/>
      </c>
      <c r="N789" s="187" t="str">
        <f t="shared" si="208"/>
        <v>D</v>
      </c>
      <c r="O789" s="187" t="str">
        <f t="shared" si="217"/>
        <v>D</v>
      </c>
      <c r="P789" s="187">
        <f t="shared" si="218"/>
        <v>1</v>
      </c>
      <c r="Q789" s="187">
        <f>IFERROR(VLOOKUP(E789,Tabela_Deflator:E$43,5,FALSE),1)</f>
        <v>1</v>
      </c>
      <c r="R789" s="188" t="str">
        <f t="shared" si="219"/>
        <v/>
      </c>
      <c r="S789" s="237" t="str">
        <f t="shared" si="209"/>
        <v/>
      </c>
      <c r="T789" s="237" t="str">
        <f t="shared" si="224"/>
        <v/>
      </c>
      <c r="U789" s="189"/>
      <c r="V789" s="167"/>
      <c r="W789" s="165"/>
      <c r="X789" s="164"/>
      <c r="Y789" s="164"/>
      <c r="Z789" s="164"/>
      <c r="AA789" s="174"/>
      <c r="AB789" s="164"/>
      <c r="AC789" s="174"/>
      <c r="AD789" s="184"/>
      <c r="AE789" s="190" t="str">
        <f t="shared" si="220"/>
        <v/>
      </c>
      <c r="AF789" s="190" t="str">
        <f t="shared" si="221"/>
        <v/>
      </c>
      <c r="AG789" s="190" t="str">
        <f t="shared" si="210"/>
        <v>D</v>
      </c>
      <c r="AH789" s="190">
        <f>IFERROR(VLOOKUP(Y789,SISP_Deflatores_e_INMs!B$4:F$49,3,FALSE),1)</f>
        <v>1</v>
      </c>
      <c r="AI789" s="190">
        <f>IFERROR(VLOOKUP(Y789,SISP_Deflatores_e_INMs!B$4:G$49,5,FALSE),1)</f>
        <v>1</v>
      </c>
      <c r="AJ789" s="191" t="str">
        <f t="shared" si="222"/>
        <v/>
      </c>
      <c r="AK789" s="237" t="str">
        <f t="shared" si="211"/>
        <v/>
      </c>
      <c r="AL789" s="237" t="str">
        <f t="shared" si="223"/>
        <v/>
      </c>
      <c r="AM789" s="192" t="e">
        <f t="shared" si="212"/>
        <v>#VALUE!</v>
      </c>
      <c r="AN789" s="193" t="e">
        <f t="shared" si="213"/>
        <v>#VALUE!</v>
      </c>
      <c r="AO789" s="193" t="e">
        <f t="shared" si="214"/>
        <v>#VALUE!</v>
      </c>
      <c r="AP789" s="193"/>
      <c r="AQ789" s="204"/>
      <c r="AR789" s="204"/>
      <c r="AS789" s="204"/>
      <c r="AT789" s="205"/>
      <c r="AU789"/>
    </row>
    <row r="790" spans="2:47" ht="15" customHeight="1" x14ac:dyDescent="0.25">
      <c r="B790" s="206"/>
      <c r="C790" s="185"/>
      <c r="D790" s="164"/>
      <c r="E790" s="174"/>
      <c r="F790" s="164"/>
      <c r="G790" s="174"/>
      <c r="H790" s="164"/>
      <c r="I790" s="174"/>
      <c r="J790" s="184"/>
      <c r="K790" s="186"/>
      <c r="L790" s="187" t="str">
        <f t="shared" si="215"/>
        <v/>
      </c>
      <c r="M790" s="187" t="str">
        <f t="shared" si="216"/>
        <v/>
      </c>
      <c r="N790" s="187" t="str">
        <f t="shared" si="208"/>
        <v>D</v>
      </c>
      <c r="O790" s="187" t="str">
        <f t="shared" si="217"/>
        <v>D</v>
      </c>
      <c r="P790" s="187">
        <f t="shared" si="218"/>
        <v>1</v>
      </c>
      <c r="Q790" s="187">
        <f>IFERROR(VLOOKUP(E790,Tabela_Deflator:E$43,5,FALSE),1)</f>
        <v>1</v>
      </c>
      <c r="R790" s="188" t="str">
        <f t="shared" si="219"/>
        <v/>
      </c>
      <c r="S790" s="237" t="str">
        <f t="shared" si="209"/>
        <v/>
      </c>
      <c r="T790" s="237" t="str">
        <f t="shared" si="224"/>
        <v/>
      </c>
      <c r="U790" s="189"/>
      <c r="V790" s="167"/>
      <c r="W790" s="165"/>
      <c r="X790" s="164"/>
      <c r="Y790" s="164"/>
      <c r="Z790" s="164"/>
      <c r="AA790" s="174"/>
      <c r="AB790" s="164"/>
      <c r="AC790" s="174"/>
      <c r="AD790" s="184"/>
      <c r="AE790" s="190" t="str">
        <f t="shared" si="220"/>
        <v/>
      </c>
      <c r="AF790" s="190" t="str">
        <f t="shared" si="221"/>
        <v/>
      </c>
      <c r="AG790" s="190" t="str">
        <f t="shared" si="210"/>
        <v>D</v>
      </c>
      <c r="AH790" s="190">
        <f>IFERROR(VLOOKUP(Y790,SISP_Deflatores_e_INMs!B$4:F$49,3,FALSE),1)</f>
        <v>1</v>
      </c>
      <c r="AI790" s="190">
        <f>IFERROR(VLOOKUP(Y790,SISP_Deflatores_e_INMs!B$4:G$49,5,FALSE),1)</f>
        <v>1</v>
      </c>
      <c r="AJ790" s="191" t="str">
        <f t="shared" si="222"/>
        <v/>
      </c>
      <c r="AK790" s="237" t="str">
        <f t="shared" si="211"/>
        <v/>
      </c>
      <c r="AL790" s="237" t="str">
        <f t="shared" si="223"/>
        <v/>
      </c>
      <c r="AM790" s="192" t="e">
        <f t="shared" si="212"/>
        <v>#VALUE!</v>
      </c>
      <c r="AN790" s="193" t="e">
        <f t="shared" si="213"/>
        <v>#VALUE!</v>
      </c>
      <c r="AO790" s="193" t="e">
        <f t="shared" si="214"/>
        <v>#VALUE!</v>
      </c>
      <c r="AP790" s="193"/>
      <c r="AQ790" s="204"/>
      <c r="AR790" s="204"/>
      <c r="AS790" s="204"/>
      <c r="AT790" s="205"/>
      <c r="AU790"/>
    </row>
    <row r="791" spans="2:47" ht="15" customHeight="1" x14ac:dyDescent="0.25">
      <c r="B791" s="206"/>
      <c r="C791" s="185"/>
      <c r="D791" s="164"/>
      <c r="E791" s="174"/>
      <c r="F791" s="164"/>
      <c r="G791" s="174"/>
      <c r="H791" s="164"/>
      <c r="I791" s="174"/>
      <c r="J791" s="184"/>
      <c r="K791" s="186"/>
      <c r="L791" s="187" t="str">
        <f t="shared" si="215"/>
        <v/>
      </c>
      <c r="M791" s="187" t="str">
        <f t="shared" si="216"/>
        <v/>
      </c>
      <c r="N791" s="187" t="str">
        <f t="shared" si="208"/>
        <v>D</v>
      </c>
      <c r="O791" s="187" t="str">
        <f t="shared" si="217"/>
        <v>D</v>
      </c>
      <c r="P791" s="187">
        <f t="shared" si="218"/>
        <v>1</v>
      </c>
      <c r="Q791" s="187">
        <f>IFERROR(VLOOKUP(E791,Tabela_Deflator:E$43,5,FALSE),1)</f>
        <v>1</v>
      </c>
      <c r="R791" s="188" t="str">
        <f t="shared" si="219"/>
        <v/>
      </c>
      <c r="S791" s="237" t="str">
        <f t="shared" si="209"/>
        <v/>
      </c>
      <c r="T791" s="237" t="str">
        <f t="shared" si="224"/>
        <v/>
      </c>
      <c r="U791" s="189"/>
      <c r="V791" s="167"/>
      <c r="W791" s="165"/>
      <c r="X791" s="164"/>
      <c r="Y791" s="164"/>
      <c r="Z791" s="164"/>
      <c r="AA791" s="174"/>
      <c r="AB791" s="164"/>
      <c r="AC791" s="174"/>
      <c r="AD791" s="184"/>
      <c r="AE791" s="190" t="str">
        <f t="shared" si="220"/>
        <v/>
      </c>
      <c r="AF791" s="190" t="str">
        <f t="shared" si="221"/>
        <v/>
      </c>
      <c r="AG791" s="190" t="str">
        <f t="shared" si="210"/>
        <v>D</v>
      </c>
      <c r="AH791" s="190">
        <f>IFERROR(VLOOKUP(Y791,SISP_Deflatores_e_INMs!B$4:F$49,3,FALSE),1)</f>
        <v>1</v>
      </c>
      <c r="AI791" s="190">
        <f>IFERROR(VLOOKUP(Y791,SISP_Deflatores_e_INMs!B$4:G$49,5,FALSE),1)</f>
        <v>1</v>
      </c>
      <c r="AJ791" s="191" t="str">
        <f t="shared" si="222"/>
        <v/>
      </c>
      <c r="AK791" s="237" t="str">
        <f t="shared" si="211"/>
        <v/>
      </c>
      <c r="AL791" s="237" t="str">
        <f t="shared" si="223"/>
        <v/>
      </c>
      <c r="AM791" s="192" t="e">
        <f t="shared" si="212"/>
        <v>#VALUE!</v>
      </c>
      <c r="AN791" s="193" t="e">
        <f t="shared" si="213"/>
        <v>#VALUE!</v>
      </c>
      <c r="AO791" s="193" t="e">
        <f t="shared" si="214"/>
        <v>#VALUE!</v>
      </c>
      <c r="AP791" s="193"/>
      <c r="AQ791" s="204"/>
      <c r="AR791" s="204"/>
      <c r="AS791" s="204"/>
      <c r="AT791" s="205"/>
      <c r="AU791"/>
    </row>
    <row r="792" spans="2:47" ht="15" customHeight="1" x14ac:dyDescent="0.25">
      <c r="B792" s="206"/>
      <c r="C792" s="185"/>
      <c r="D792" s="164"/>
      <c r="E792" s="174"/>
      <c r="F792" s="164"/>
      <c r="G792" s="174"/>
      <c r="H792" s="164"/>
      <c r="I792" s="174"/>
      <c r="J792" s="184"/>
      <c r="K792" s="186"/>
      <c r="L792" s="187" t="str">
        <f t="shared" si="215"/>
        <v/>
      </c>
      <c r="M792" s="187" t="str">
        <f t="shared" si="216"/>
        <v/>
      </c>
      <c r="N792" s="187" t="str">
        <f t="shared" si="208"/>
        <v>D</v>
      </c>
      <c r="O792" s="187" t="str">
        <f t="shared" si="217"/>
        <v>D</v>
      </c>
      <c r="P792" s="187">
        <f t="shared" si="218"/>
        <v>1</v>
      </c>
      <c r="Q792" s="187">
        <f>IFERROR(VLOOKUP(E792,Tabela_Deflator:E$43,5,FALSE),1)</f>
        <v>1</v>
      </c>
      <c r="R792" s="188" t="str">
        <f t="shared" si="219"/>
        <v/>
      </c>
      <c r="S792" s="237" t="str">
        <f t="shared" si="209"/>
        <v/>
      </c>
      <c r="T792" s="237" t="str">
        <f t="shared" si="224"/>
        <v/>
      </c>
      <c r="U792" s="189"/>
      <c r="V792" s="167"/>
      <c r="W792" s="165"/>
      <c r="X792" s="164"/>
      <c r="Y792" s="164"/>
      <c r="Z792" s="164"/>
      <c r="AA792" s="174"/>
      <c r="AB792" s="164"/>
      <c r="AC792" s="174"/>
      <c r="AD792" s="184"/>
      <c r="AE792" s="190" t="str">
        <f t="shared" si="220"/>
        <v/>
      </c>
      <c r="AF792" s="190" t="str">
        <f t="shared" si="221"/>
        <v/>
      </c>
      <c r="AG792" s="190" t="str">
        <f t="shared" si="210"/>
        <v>D</v>
      </c>
      <c r="AH792" s="190">
        <f>IFERROR(VLOOKUP(Y792,SISP_Deflatores_e_INMs!B$4:F$49,3,FALSE),1)</f>
        <v>1</v>
      </c>
      <c r="AI792" s="190">
        <f>IFERROR(VLOOKUP(Y792,SISP_Deflatores_e_INMs!B$4:G$49,5,FALSE),1)</f>
        <v>1</v>
      </c>
      <c r="AJ792" s="191" t="str">
        <f t="shared" si="222"/>
        <v/>
      </c>
      <c r="AK792" s="237" t="str">
        <f t="shared" si="211"/>
        <v/>
      </c>
      <c r="AL792" s="237" t="str">
        <f t="shared" si="223"/>
        <v/>
      </c>
      <c r="AM792" s="192" t="e">
        <f t="shared" si="212"/>
        <v>#VALUE!</v>
      </c>
      <c r="AN792" s="193" t="e">
        <f t="shared" si="213"/>
        <v>#VALUE!</v>
      </c>
      <c r="AO792" s="193" t="e">
        <f t="shared" si="214"/>
        <v>#VALUE!</v>
      </c>
      <c r="AP792" s="193"/>
      <c r="AQ792" s="204"/>
      <c r="AR792" s="204"/>
      <c r="AS792" s="204"/>
      <c r="AT792" s="205"/>
      <c r="AU792"/>
    </row>
    <row r="793" spans="2:47" ht="15" customHeight="1" x14ac:dyDescent="0.25">
      <c r="B793" s="206"/>
      <c r="C793" s="185"/>
      <c r="D793" s="164"/>
      <c r="E793" s="174"/>
      <c r="F793" s="164"/>
      <c r="G793" s="174"/>
      <c r="H793" s="164"/>
      <c r="I793" s="174"/>
      <c r="J793" s="184"/>
      <c r="K793" s="186"/>
      <c r="L793" s="187" t="str">
        <f t="shared" si="215"/>
        <v/>
      </c>
      <c r="M793" s="187" t="str">
        <f t="shared" si="216"/>
        <v/>
      </c>
      <c r="N793" s="187" t="str">
        <f t="shared" si="208"/>
        <v>D</v>
      </c>
      <c r="O793" s="187" t="str">
        <f t="shared" si="217"/>
        <v>D</v>
      </c>
      <c r="P793" s="187">
        <f t="shared" si="218"/>
        <v>1</v>
      </c>
      <c r="Q793" s="187">
        <f>IFERROR(VLOOKUP(E793,Tabela_Deflator:E$43,5,FALSE),1)</f>
        <v>1</v>
      </c>
      <c r="R793" s="188" t="str">
        <f t="shared" si="219"/>
        <v/>
      </c>
      <c r="S793" s="237" t="str">
        <f t="shared" si="209"/>
        <v/>
      </c>
      <c r="T793" s="237" t="str">
        <f t="shared" si="224"/>
        <v/>
      </c>
      <c r="U793" s="189"/>
      <c r="V793" s="167"/>
      <c r="W793" s="165"/>
      <c r="X793" s="164"/>
      <c r="Y793" s="164"/>
      <c r="Z793" s="164"/>
      <c r="AA793" s="174"/>
      <c r="AB793" s="164"/>
      <c r="AC793" s="174"/>
      <c r="AD793" s="184"/>
      <c r="AE793" s="190" t="str">
        <f t="shared" si="220"/>
        <v/>
      </c>
      <c r="AF793" s="190" t="str">
        <f t="shared" si="221"/>
        <v/>
      </c>
      <c r="AG793" s="190" t="str">
        <f t="shared" si="210"/>
        <v>D</v>
      </c>
      <c r="AH793" s="190">
        <f>IFERROR(VLOOKUP(Y793,SISP_Deflatores_e_INMs!B$4:F$49,3,FALSE),1)</f>
        <v>1</v>
      </c>
      <c r="AI793" s="190">
        <f>IFERROR(VLOOKUP(Y793,SISP_Deflatores_e_INMs!B$4:G$49,5,FALSE),1)</f>
        <v>1</v>
      </c>
      <c r="AJ793" s="191" t="str">
        <f t="shared" si="222"/>
        <v/>
      </c>
      <c r="AK793" s="237" t="str">
        <f t="shared" si="211"/>
        <v/>
      </c>
      <c r="AL793" s="237" t="str">
        <f t="shared" si="223"/>
        <v/>
      </c>
      <c r="AM793" s="192" t="e">
        <f t="shared" si="212"/>
        <v>#VALUE!</v>
      </c>
      <c r="AN793" s="193" t="e">
        <f t="shared" si="213"/>
        <v>#VALUE!</v>
      </c>
      <c r="AO793" s="193" t="e">
        <f t="shared" si="214"/>
        <v>#VALUE!</v>
      </c>
      <c r="AP793" s="193"/>
      <c r="AQ793" s="204"/>
      <c r="AR793" s="204"/>
      <c r="AS793" s="204"/>
      <c r="AT793" s="205"/>
      <c r="AU793"/>
    </row>
    <row r="794" spans="2:47" ht="15" customHeight="1" x14ac:dyDescent="0.25">
      <c r="B794" s="206"/>
      <c r="C794" s="185"/>
      <c r="D794" s="164"/>
      <c r="E794" s="174"/>
      <c r="F794" s="164"/>
      <c r="G794" s="174"/>
      <c r="H794" s="164"/>
      <c r="I794" s="174"/>
      <c r="J794" s="184"/>
      <c r="K794" s="186"/>
      <c r="L794" s="187" t="str">
        <f t="shared" si="215"/>
        <v/>
      </c>
      <c r="M794" s="187" t="str">
        <f t="shared" si="216"/>
        <v/>
      </c>
      <c r="N794" s="187" t="str">
        <f t="shared" si="208"/>
        <v>D</v>
      </c>
      <c r="O794" s="187" t="str">
        <f t="shared" si="217"/>
        <v>D</v>
      </c>
      <c r="P794" s="187">
        <f t="shared" si="218"/>
        <v>1</v>
      </c>
      <c r="Q794" s="187">
        <f>IFERROR(VLOOKUP(E794,Tabela_Deflator:E$43,5,FALSE),1)</f>
        <v>1</v>
      </c>
      <c r="R794" s="188" t="str">
        <f t="shared" si="219"/>
        <v/>
      </c>
      <c r="S794" s="237" t="str">
        <f t="shared" si="209"/>
        <v/>
      </c>
      <c r="T794" s="237" t="str">
        <f t="shared" si="224"/>
        <v/>
      </c>
      <c r="U794" s="189"/>
      <c r="V794" s="167"/>
      <c r="W794" s="165"/>
      <c r="X794" s="164"/>
      <c r="Y794" s="164"/>
      <c r="Z794" s="164"/>
      <c r="AA794" s="174"/>
      <c r="AB794" s="164"/>
      <c r="AC794" s="174"/>
      <c r="AD794" s="184"/>
      <c r="AE794" s="190" t="str">
        <f t="shared" si="220"/>
        <v/>
      </c>
      <c r="AF794" s="190" t="str">
        <f t="shared" si="221"/>
        <v/>
      </c>
      <c r="AG794" s="190" t="str">
        <f t="shared" si="210"/>
        <v>D</v>
      </c>
      <c r="AH794" s="190">
        <f>IFERROR(VLOOKUP(Y794,SISP_Deflatores_e_INMs!B$4:F$49,3,FALSE),1)</f>
        <v>1</v>
      </c>
      <c r="AI794" s="190">
        <f>IFERROR(VLOOKUP(Y794,SISP_Deflatores_e_INMs!B$4:G$49,5,FALSE),1)</f>
        <v>1</v>
      </c>
      <c r="AJ794" s="191" t="str">
        <f t="shared" si="222"/>
        <v/>
      </c>
      <c r="AK794" s="237" t="str">
        <f t="shared" si="211"/>
        <v/>
      </c>
      <c r="AL794" s="237" t="str">
        <f t="shared" si="223"/>
        <v/>
      </c>
      <c r="AM794" s="192" t="e">
        <f t="shared" si="212"/>
        <v>#VALUE!</v>
      </c>
      <c r="AN794" s="193" t="e">
        <f t="shared" si="213"/>
        <v>#VALUE!</v>
      </c>
      <c r="AO794" s="193" t="e">
        <f t="shared" si="214"/>
        <v>#VALUE!</v>
      </c>
      <c r="AP794" s="193"/>
      <c r="AQ794" s="204"/>
      <c r="AR794" s="204"/>
      <c r="AS794" s="204"/>
      <c r="AT794" s="205"/>
      <c r="AU794"/>
    </row>
    <row r="795" spans="2:47" ht="15" customHeight="1" x14ac:dyDescent="0.25">
      <c r="B795" s="206"/>
      <c r="C795" s="185"/>
      <c r="D795" s="164"/>
      <c r="E795" s="174"/>
      <c r="F795" s="164"/>
      <c r="G795" s="174"/>
      <c r="H795" s="164"/>
      <c r="I795" s="174"/>
      <c r="J795" s="184"/>
      <c r="K795" s="186"/>
      <c r="L795" s="187" t="str">
        <f t="shared" si="215"/>
        <v/>
      </c>
      <c r="M795" s="187" t="str">
        <f t="shared" si="216"/>
        <v/>
      </c>
      <c r="N795" s="187" t="str">
        <f t="shared" si="208"/>
        <v>D</v>
      </c>
      <c r="O795" s="187" t="str">
        <f t="shared" si="217"/>
        <v>D</v>
      </c>
      <c r="P795" s="187">
        <f t="shared" si="218"/>
        <v>1</v>
      </c>
      <c r="Q795" s="187">
        <f>IFERROR(VLOOKUP(E795,Tabela_Deflator:E$43,5,FALSE),1)</f>
        <v>1</v>
      </c>
      <c r="R795" s="188" t="str">
        <f t="shared" si="219"/>
        <v/>
      </c>
      <c r="S795" s="237" t="str">
        <f t="shared" si="209"/>
        <v/>
      </c>
      <c r="T795" s="237" t="str">
        <f t="shared" si="224"/>
        <v/>
      </c>
      <c r="U795" s="189"/>
      <c r="V795" s="167"/>
      <c r="W795" s="165"/>
      <c r="X795" s="164"/>
      <c r="Y795" s="164"/>
      <c r="Z795" s="164"/>
      <c r="AA795" s="174"/>
      <c r="AB795" s="164"/>
      <c r="AC795" s="174"/>
      <c r="AD795" s="184"/>
      <c r="AE795" s="190" t="str">
        <f t="shared" si="220"/>
        <v/>
      </c>
      <c r="AF795" s="190" t="str">
        <f t="shared" si="221"/>
        <v/>
      </c>
      <c r="AG795" s="190" t="str">
        <f t="shared" si="210"/>
        <v>D</v>
      </c>
      <c r="AH795" s="190">
        <f>IFERROR(VLOOKUP(Y795,SISP_Deflatores_e_INMs!B$4:F$49,3,FALSE),1)</f>
        <v>1</v>
      </c>
      <c r="AI795" s="190">
        <f>IFERROR(VLOOKUP(Y795,SISP_Deflatores_e_INMs!B$4:G$49,5,FALSE),1)</f>
        <v>1</v>
      </c>
      <c r="AJ795" s="191" t="str">
        <f t="shared" si="222"/>
        <v/>
      </c>
      <c r="AK795" s="237" t="str">
        <f t="shared" si="211"/>
        <v/>
      </c>
      <c r="AL795" s="237" t="str">
        <f t="shared" si="223"/>
        <v/>
      </c>
      <c r="AM795" s="192" t="e">
        <f t="shared" si="212"/>
        <v>#VALUE!</v>
      </c>
      <c r="AN795" s="193" t="e">
        <f t="shared" si="213"/>
        <v>#VALUE!</v>
      </c>
      <c r="AO795" s="193" t="e">
        <f t="shared" si="214"/>
        <v>#VALUE!</v>
      </c>
      <c r="AP795" s="193"/>
      <c r="AQ795" s="204"/>
      <c r="AR795" s="204"/>
      <c r="AS795" s="204"/>
      <c r="AT795" s="205"/>
      <c r="AU795"/>
    </row>
    <row r="796" spans="2:47" ht="15" customHeight="1" x14ac:dyDescent="0.25">
      <c r="B796" s="206"/>
      <c r="C796" s="185"/>
      <c r="D796" s="164"/>
      <c r="E796" s="174"/>
      <c r="F796" s="164"/>
      <c r="G796" s="174"/>
      <c r="H796" s="164"/>
      <c r="I796" s="174"/>
      <c r="J796" s="184"/>
      <c r="K796" s="186"/>
      <c r="L796" s="187" t="str">
        <f t="shared" si="215"/>
        <v/>
      </c>
      <c r="M796" s="187" t="str">
        <f t="shared" si="216"/>
        <v/>
      </c>
      <c r="N796" s="187" t="str">
        <f t="shared" si="208"/>
        <v>D</v>
      </c>
      <c r="O796" s="187" t="str">
        <f t="shared" si="217"/>
        <v>D</v>
      </c>
      <c r="P796" s="187">
        <f t="shared" si="218"/>
        <v>1</v>
      </c>
      <c r="Q796" s="187">
        <f>IFERROR(VLOOKUP(E796,Tabela_Deflator:E$43,5,FALSE),1)</f>
        <v>1</v>
      </c>
      <c r="R796" s="188" t="str">
        <f t="shared" si="219"/>
        <v/>
      </c>
      <c r="S796" s="237" t="str">
        <f t="shared" si="209"/>
        <v/>
      </c>
      <c r="T796" s="237" t="str">
        <f t="shared" si="224"/>
        <v/>
      </c>
      <c r="U796" s="189"/>
      <c r="V796" s="167"/>
      <c r="W796" s="165"/>
      <c r="X796" s="164"/>
      <c r="Y796" s="164"/>
      <c r="Z796" s="164"/>
      <c r="AA796" s="174"/>
      <c r="AB796" s="164"/>
      <c r="AC796" s="174"/>
      <c r="AD796" s="184"/>
      <c r="AE796" s="190" t="str">
        <f t="shared" si="220"/>
        <v/>
      </c>
      <c r="AF796" s="190" t="str">
        <f t="shared" si="221"/>
        <v/>
      </c>
      <c r="AG796" s="190" t="str">
        <f t="shared" si="210"/>
        <v>D</v>
      </c>
      <c r="AH796" s="190">
        <f>IFERROR(VLOOKUP(Y796,SISP_Deflatores_e_INMs!B$4:F$49,3,FALSE),1)</f>
        <v>1</v>
      </c>
      <c r="AI796" s="190">
        <f>IFERROR(VLOOKUP(Y796,SISP_Deflatores_e_INMs!B$4:G$49,5,FALSE),1)</f>
        <v>1</v>
      </c>
      <c r="AJ796" s="191" t="str">
        <f t="shared" si="222"/>
        <v/>
      </c>
      <c r="AK796" s="237" t="str">
        <f t="shared" si="211"/>
        <v/>
      </c>
      <c r="AL796" s="237" t="str">
        <f t="shared" si="223"/>
        <v/>
      </c>
      <c r="AM796" s="192" t="e">
        <f t="shared" si="212"/>
        <v>#VALUE!</v>
      </c>
      <c r="AN796" s="193" t="e">
        <f t="shared" si="213"/>
        <v>#VALUE!</v>
      </c>
      <c r="AO796" s="193" t="e">
        <f t="shared" si="214"/>
        <v>#VALUE!</v>
      </c>
      <c r="AP796" s="193"/>
      <c r="AQ796" s="204"/>
      <c r="AR796" s="204"/>
      <c r="AS796" s="204"/>
      <c r="AT796" s="205"/>
      <c r="AU796"/>
    </row>
    <row r="797" spans="2:47" ht="15" customHeight="1" x14ac:dyDescent="0.25">
      <c r="B797" s="206"/>
      <c r="C797" s="185"/>
      <c r="D797" s="164"/>
      <c r="E797" s="174"/>
      <c r="F797" s="164"/>
      <c r="G797" s="174"/>
      <c r="H797" s="164"/>
      <c r="I797" s="174"/>
      <c r="J797" s="184"/>
      <c r="K797" s="186"/>
      <c r="L797" s="187" t="str">
        <f t="shared" si="215"/>
        <v/>
      </c>
      <c r="M797" s="187" t="str">
        <f t="shared" si="216"/>
        <v/>
      </c>
      <c r="N797" s="187" t="str">
        <f t="shared" si="208"/>
        <v>D</v>
      </c>
      <c r="O797" s="187" t="str">
        <f t="shared" si="217"/>
        <v>D</v>
      </c>
      <c r="P797" s="187">
        <f t="shared" si="218"/>
        <v>1</v>
      </c>
      <c r="Q797" s="187">
        <f>IFERROR(VLOOKUP(E797,Tabela_Deflator:E$43,5,FALSE),1)</f>
        <v>1</v>
      </c>
      <c r="R797" s="188" t="str">
        <f t="shared" si="219"/>
        <v/>
      </c>
      <c r="S797" s="237" t="str">
        <f t="shared" si="209"/>
        <v/>
      </c>
      <c r="T797" s="237" t="str">
        <f t="shared" si="224"/>
        <v/>
      </c>
      <c r="U797" s="189"/>
      <c r="V797" s="167"/>
      <c r="W797" s="165"/>
      <c r="X797" s="164"/>
      <c r="Y797" s="164"/>
      <c r="Z797" s="164"/>
      <c r="AA797" s="174"/>
      <c r="AB797" s="164"/>
      <c r="AC797" s="174"/>
      <c r="AD797" s="184"/>
      <c r="AE797" s="190" t="str">
        <f t="shared" si="220"/>
        <v/>
      </c>
      <c r="AF797" s="190" t="str">
        <f t="shared" si="221"/>
        <v/>
      </c>
      <c r="AG797" s="190" t="str">
        <f t="shared" si="210"/>
        <v>D</v>
      </c>
      <c r="AH797" s="190">
        <f>IFERROR(VLOOKUP(Y797,SISP_Deflatores_e_INMs!B$4:F$49,3,FALSE),1)</f>
        <v>1</v>
      </c>
      <c r="AI797" s="190">
        <f>IFERROR(VLOOKUP(Y797,SISP_Deflatores_e_INMs!B$4:G$49,5,FALSE),1)</f>
        <v>1</v>
      </c>
      <c r="AJ797" s="191" t="str">
        <f t="shared" si="222"/>
        <v/>
      </c>
      <c r="AK797" s="237" t="str">
        <f t="shared" si="211"/>
        <v/>
      </c>
      <c r="AL797" s="237" t="str">
        <f t="shared" si="223"/>
        <v/>
      </c>
      <c r="AM797" s="192" t="e">
        <f t="shared" si="212"/>
        <v>#VALUE!</v>
      </c>
      <c r="AN797" s="193" t="e">
        <f t="shared" si="213"/>
        <v>#VALUE!</v>
      </c>
      <c r="AO797" s="193" t="e">
        <f t="shared" si="214"/>
        <v>#VALUE!</v>
      </c>
      <c r="AP797" s="193"/>
      <c r="AQ797" s="204"/>
      <c r="AR797" s="204"/>
      <c r="AS797" s="204"/>
      <c r="AT797" s="205"/>
      <c r="AU797"/>
    </row>
    <row r="798" spans="2:47" ht="15" customHeight="1" x14ac:dyDescent="0.25">
      <c r="B798" s="206"/>
      <c r="C798" s="185"/>
      <c r="D798" s="164"/>
      <c r="E798" s="174"/>
      <c r="F798" s="164"/>
      <c r="G798" s="174"/>
      <c r="H798" s="164"/>
      <c r="I798" s="174"/>
      <c r="J798" s="184"/>
      <c r="K798" s="186"/>
      <c r="L798" s="187" t="str">
        <f t="shared" si="215"/>
        <v/>
      </c>
      <c r="M798" s="187" t="str">
        <f t="shared" si="216"/>
        <v/>
      </c>
      <c r="N798" s="187" t="str">
        <f t="shared" si="208"/>
        <v>D</v>
      </c>
      <c r="O798" s="187" t="str">
        <f t="shared" si="217"/>
        <v>D</v>
      </c>
      <c r="P798" s="187">
        <f t="shared" si="218"/>
        <v>1</v>
      </c>
      <c r="Q798" s="187">
        <f>IFERROR(VLOOKUP(E798,Tabela_Deflator:E$43,5,FALSE),1)</f>
        <v>1</v>
      </c>
      <c r="R798" s="188" t="str">
        <f t="shared" si="219"/>
        <v/>
      </c>
      <c r="S798" s="237" t="str">
        <f t="shared" si="209"/>
        <v/>
      </c>
      <c r="T798" s="237" t="str">
        <f t="shared" si="224"/>
        <v/>
      </c>
      <c r="U798" s="189"/>
      <c r="V798" s="167"/>
      <c r="W798" s="165"/>
      <c r="X798" s="164"/>
      <c r="Y798" s="164"/>
      <c r="Z798" s="164"/>
      <c r="AA798" s="174"/>
      <c r="AB798" s="164"/>
      <c r="AC798" s="174"/>
      <c r="AD798" s="184"/>
      <c r="AE798" s="190" t="str">
        <f t="shared" si="220"/>
        <v/>
      </c>
      <c r="AF798" s="190" t="str">
        <f t="shared" si="221"/>
        <v/>
      </c>
      <c r="AG798" s="190" t="str">
        <f t="shared" si="210"/>
        <v>D</v>
      </c>
      <c r="AH798" s="190">
        <f>IFERROR(VLOOKUP(Y798,SISP_Deflatores_e_INMs!B$4:F$49,3,FALSE),1)</f>
        <v>1</v>
      </c>
      <c r="AI798" s="190">
        <f>IFERROR(VLOOKUP(Y798,SISP_Deflatores_e_INMs!B$4:G$49,5,FALSE),1)</f>
        <v>1</v>
      </c>
      <c r="AJ798" s="191" t="str">
        <f t="shared" si="222"/>
        <v/>
      </c>
      <c r="AK798" s="237" t="str">
        <f t="shared" si="211"/>
        <v/>
      </c>
      <c r="AL798" s="237" t="str">
        <f t="shared" si="223"/>
        <v/>
      </c>
      <c r="AM798" s="192" t="e">
        <f t="shared" si="212"/>
        <v>#VALUE!</v>
      </c>
      <c r="AN798" s="193" t="e">
        <f t="shared" si="213"/>
        <v>#VALUE!</v>
      </c>
      <c r="AO798" s="193" t="e">
        <f t="shared" si="214"/>
        <v>#VALUE!</v>
      </c>
      <c r="AP798" s="193"/>
      <c r="AQ798" s="204"/>
      <c r="AR798" s="204"/>
      <c r="AS798" s="204"/>
      <c r="AT798" s="205"/>
      <c r="AU798"/>
    </row>
    <row r="799" spans="2:47" ht="15" customHeight="1" x14ac:dyDescent="0.25">
      <c r="B799" s="206"/>
      <c r="C799" s="185"/>
      <c r="D799" s="164"/>
      <c r="E799" s="174"/>
      <c r="F799" s="164"/>
      <c r="G799" s="174"/>
      <c r="H799" s="164"/>
      <c r="I799" s="174"/>
      <c r="J799" s="184"/>
      <c r="K799" s="186"/>
      <c r="L799" s="187" t="str">
        <f t="shared" si="215"/>
        <v/>
      </c>
      <c r="M799" s="187" t="str">
        <f t="shared" si="216"/>
        <v/>
      </c>
      <c r="N799" s="187" t="str">
        <f t="shared" si="208"/>
        <v>D</v>
      </c>
      <c r="O799" s="187" t="str">
        <f t="shared" si="217"/>
        <v>D</v>
      </c>
      <c r="P799" s="187">
        <f t="shared" si="218"/>
        <v>1</v>
      </c>
      <c r="Q799" s="187">
        <f>IFERROR(VLOOKUP(E799,Tabela_Deflator:E$43,5,FALSE),1)</f>
        <v>1</v>
      </c>
      <c r="R799" s="188" t="str">
        <f t="shared" si="219"/>
        <v/>
      </c>
      <c r="S799" s="237" t="str">
        <f t="shared" si="209"/>
        <v/>
      </c>
      <c r="T799" s="237" t="str">
        <f t="shared" si="224"/>
        <v/>
      </c>
      <c r="U799" s="189"/>
      <c r="V799" s="167"/>
      <c r="W799" s="165"/>
      <c r="X799" s="164"/>
      <c r="Y799" s="164"/>
      <c r="Z799" s="164"/>
      <c r="AA799" s="174"/>
      <c r="AB799" s="164"/>
      <c r="AC799" s="174"/>
      <c r="AD799" s="184"/>
      <c r="AE799" s="190" t="str">
        <f t="shared" si="220"/>
        <v/>
      </c>
      <c r="AF799" s="190" t="str">
        <f t="shared" si="221"/>
        <v/>
      </c>
      <c r="AG799" s="190" t="str">
        <f t="shared" si="210"/>
        <v>D</v>
      </c>
      <c r="AH799" s="190">
        <f>IFERROR(VLOOKUP(Y799,SISP_Deflatores_e_INMs!B$4:F$49,3,FALSE),1)</f>
        <v>1</v>
      </c>
      <c r="AI799" s="190">
        <f>IFERROR(VLOOKUP(Y799,SISP_Deflatores_e_INMs!B$4:G$49,5,FALSE),1)</f>
        <v>1</v>
      </c>
      <c r="AJ799" s="191" t="str">
        <f t="shared" si="222"/>
        <v/>
      </c>
      <c r="AK799" s="237" t="str">
        <f t="shared" si="211"/>
        <v/>
      </c>
      <c r="AL799" s="237" t="str">
        <f t="shared" si="223"/>
        <v/>
      </c>
      <c r="AM799" s="192" t="e">
        <f t="shared" si="212"/>
        <v>#VALUE!</v>
      </c>
      <c r="AN799" s="193" t="e">
        <f t="shared" si="213"/>
        <v>#VALUE!</v>
      </c>
      <c r="AO799" s="193" t="e">
        <f t="shared" si="214"/>
        <v>#VALUE!</v>
      </c>
      <c r="AP799" s="193"/>
      <c r="AQ799" s="204"/>
      <c r="AR799" s="204"/>
      <c r="AS799" s="204"/>
      <c r="AT799" s="205"/>
      <c r="AU799"/>
    </row>
    <row r="800" spans="2:47" ht="15" customHeight="1" x14ac:dyDescent="0.25">
      <c r="B800" s="206"/>
      <c r="C800" s="185"/>
      <c r="D800" s="164"/>
      <c r="E800" s="174"/>
      <c r="F800" s="164"/>
      <c r="G800" s="174"/>
      <c r="H800" s="164"/>
      <c r="I800" s="174"/>
      <c r="J800" s="184"/>
      <c r="K800" s="186"/>
      <c r="L800" s="187" t="str">
        <f t="shared" si="215"/>
        <v/>
      </c>
      <c r="M800" s="187" t="str">
        <f t="shared" si="216"/>
        <v/>
      </c>
      <c r="N800" s="187" t="str">
        <f t="shared" si="208"/>
        <v>D</v>
      </c>
      <c r="O800" s="187" t="str">
        <f t="shared" si="217"/>
        <v>D</v>
      </c>
      <c r="P800" s="187">
        <f t="shared" si="218"/>
        <v>1</v>
      </c>
      <c r="Q800" s="187">
        <f>IFERROR(VLOOKUP(E800,Tabela_Deflator:E$43,5,FALSE),1)</f>
        <v>1</v>
      </c>
      <c r="R800" s="188" t="str">
        <f t="shared" si="219"/>
        <v/>
      </c>
      <c r="S800" s="237" t="str">
        <f t="shared" si="209"/>
        <v/>
      </c>
      <c r="T800" s="237" t="str">
        <f t="shared" si="224"/>
        <v/>
      </c>
      <c r="U800" s="189"/>
      <c r="V800" s="167"/>
      <c r="W800" s="165"/>
      <c r="X800" s="164"/>
      <c r="Y800" s="164"/>
      <c r="Z800" s="164"/>
      <c r="AA800" s="174"/>
      <c r="AB800" s="164"/>
      <c r="AC800" s="174"/>
      <c r="AD800" s="184"/>
      <c r="AE800" s="190" t="str">
        <f t="shared" si="220"/>
        <v/>
      </c>
      <c r="AF800" s="190" t="str">
        <f t="shared" si="221"/>
        <v/>
      </c>
      <c r="AG800" s="190" t="str">
        <f t="shared" si="210"/>
        <v>D</v>
      </c>
      <c r="AH800" s="190">
        <f>IFERROR(VLOOKUP(Y800,SISP_Deflatores_e_INMs!B$4:F$49,3,FALSE),1)</f>
        <v>1</v>
      </c>
      <c r="AI800" s="190">
        <f>IFERROR(VLOOKUP(Y800,SISP_Deflatores_e_INMs!B$4:G$49,5,FALSE),1)</f>
        <v>1</v>
      </c>
      <c r="AJ800" s="191" t="str">
        <f t="shared" si="222"/>
        <v/>
      </c>
      <c r="AK800" s="237" t="str">
        <f t="shared" si="211"/>
        <v/>
      </c>
      <c r="AL800" s="237" t="str">
        <f t="shared" si="223"/>
        <v/>
      </c>
      <c r="AM800" s="192" t="e">
        <f t="shared" si="212"/>
        <v>#VALUE!</v>
      </c>
      <c r="AN800" s="193" t="e">
        <f t="shared" si="213"/>
        <v>#VALUE!</v>
      </c>
      <c r="AO800" s="193" t="e">
        <f t="shared" si="214"/>
        <v>#VALUE!</v>
      </c>
      <c r="AP800" s="193"/>
      <c r="AQ800" s="204"/>
      <c r="AR800" s="204"/>
      <c r="AS800" s="204"/>
      <c r="AT800" s="205"/>
      <c r="AU800"/>
    </row>
    <row r="801" spans="2:47" ht="15" customHeight="1" x14ac:dyDescent="0.25">
      <c r="B801" s="206"/>
      <c r="C801" s="185"/>
      <c r="D801" s="164"/>
      <c r="E801" s="174"/>
      <c r="F801" s="164"/>
      <c r="G801" s="174"/>
      <c r="H801" s="164"/>
      <c r="I801" s="174"/>
      <c r="J801" s="184"/>
      <c r="K801" s="186"/>
      <c r="L801" s="187" t="str">
        <f t="shared" si="215"/>
        <v/>
      </c>
      <c r="M801" s="187" t="str">
        <f t="shared" si="216"/>
        <v/>
      </c>
      <c r="N801" s="187" t="str">
        <f t="shared" si="208"/>
        <v>D</v>
      </c>
      <c r="O801" s="187" t="str">
        <f t="shared" si="217"/>
        <v>D</v>
      </c>
      <c r="P801" s="187">
        <f t="shared" si="218"/>
        <v>1</v>
      </c>
      <c r="Q801" s="187">
        <f>IFERROR(VLOOKUP(E801,Tabela_Deflator:E$43,5,FALSE),1)</f>
        <v>1</v>
      </c>
      <c r="R801" s="188" t="str">
        <f t="shared" si="219"/>
        <v/>
      </c>
      <c r="S801" s="237" t="str">
        <f t="shared" si="209"/>
        <v/>
      </c>
      <c r="T801" s="237" t="str">
        <f t="shared" si="224"/>
        <v/>
      </c>
      <c r="U801" s="189"/>
      <c r="V801" s="167"/>
      <c r="W801" s="165"/>
      <c r="X801" s="164"/>
      <c r="Y801" s="164"/>
      <c r="Z801" s="164"/>
      <c r="AA801" s="174"/>
      <c r="AB801" s="164"/>
      <c r="AC801" s="174"/>
      <c r="AD801" s="184"/>
      <c r="AE801" s="190" t="str">
        <f t="shared" si="220"/>
        <v/>
      </c>
      <c r="AF801" s="190" t="str">
        <f t="shared" si="221"/>
        <v/>
      </c>
      <c r="AG801" s="190" t="str">
        <f t="shared" si="210"/>
        <v>D</v>
      </c>
      <c r="AH801" s="190">
        <f>IFERROR(VLOOKUP(Y801,SISP_Deflatores_e_INMs!B$4:F$49,3,FALSE),1)</f>
        <v>1</v>
      </c>
      <c r="AI801" s="190">
        <f>IFERROR(VLOOKUP(Y801,SISP_Deflatores_e_INMs!B$4:G$49,5,FALSE),1)</f>
        <v>1</v>
      </c>
      <c r="AJ801" s="191" t="str">
        <f t="shared" si="222"/>
        <v/>
      </c>
      <c r="AK801" s="237" t="str">
        <f t="shared" si="211"/>
        <v/>
      </c>
      <c r="AL801" s="237" t="str">
        <f t="shared" si="223"/>
        <v/>
      </c>
      <c r="AM801" s="192" t="e">
        <f t="shared" si="212"/>
        <v>#VALUE!</v>
      </c>
      <c r="AN801" s="193" t="e">
        <f t="shared" si="213"/>
        <v>#VALUE!</v>
      </c>
      <c r="AO801" s="193" t="e">
        <f t="shared" si="214"/>
        <v>#VALUE!</v>
      </c>
      <c r="AP801" s="193"/>
      <c r="AQ801" s="204"/>
      <c r="AR801" s="204"/>
      <c r="AS801" s="204"/>
      <c r="AT801" s="205"/>
      <c r="AU801"/>
    </row>
    <row r="802" spans="2:47" ht="15" customHeight="1" x14ac:dyDescent="0.25">
      <c r="B802" s="206"/>
      <c r="C802" s="185"/>
      <c r="D802" s="164"/>
      <c r="E802" s="174"/>
      <c r="F802" s="164"/>
      <c r="G802" s="174"/>
      <c r="H802" s="164"/>
      <c r="I802" s="174"/>
      <c r="J802" s="184"/>
      <c r="K802" s="186"/>
      <c r="L802" s="187" t="str">
        <f t="shared" si="215"/>
        <v/>
      </c>
      <c r="M802" s="187" t="str">
        <f t="shared" si="216"/>
        <v/>
      </c>
      <c r="N802" s="187" t="str">
        <f t="shared" si="208"/>
        <v>D</v>
      </c>
      <c r="O802" s="187" t="str">
        <f t="shared" si="217"/>
        <v>D</v>
      </c>
      <c r="P802" s="187">
        <f t="shared" si="218"/>
        <v>1</v>
      </c>
      <c r="Q802" s="187">
        <f>IFERROR(VLOOKUP(E802,Tabela_Deflator:E$43,5,FALSE),1)</f>
        <v>1</v>
      </c>
      <c r="R802" s="188" t="str">
        <f t="shared" si="219"/>
        <v/>
      </c>
      <c r="S802" s="237" t="str">
        <f t="shared" si="209"/>
        <v/>
      </c>
      <c r="T802" s="237" t="str">
        <f t="shared" si="224"/>
        <v/>
      </c>
      <c r="U802" s="189"/>
      <c r="V802" s="167"/>
      <c r="W802" s="165"/>
      <c r="X802" s="164"/>
      <c r="Y802" s="164"/>
      <c r="Z802" s="164"/>
      <c r="AA802" s="174"/>
      <c r="AB802" s="164"/>
      <c r="AC802" s="174"/>
      <c r="AD802" s="184"/>
      <c r="AE802" s="190" t="str">
        <f t="shared" si="220"/>
        <v/>
      </c>
      <c r="AF802" s="190" t="str">
        <f t="shared" si="221"/>
        <v/>
      </c>
      <c r="AG802" s="190" t="str">
        <f t="shared" si="210"/>
        <v>D</v>
      </c>
      <c r="AH802" s="190">
        <f>IFERROR(VLOOKUP(Y802,SISP_Deflatores_e_INMs!B$4:F$49,3,FALSE),1)</f>
        <v>1</v>
      </c>
      <c r="AI802" s="190">
        <f>IFERROR(VLOOKUP(Y802,SISP_Deflatores_e_INMs!B$4:G$49,5,FALSE),1)</f>
        <v>1</v>
      </c>
      <c r="AJ802" s="191" t="str">
        <f t="shared" si="222"/>
        <v/>
      </c>
      <c r="AK802" s="237" t="str">
        <f t="shared" si="211"/>
        <v/>
      </c>
      <c r="AL802" s="237" t="str">
        <f t="shared" si="223"/>
        <v/>
      </c>
      <c r="AM802" s="192" t="e">
        <f t="shared" si="212"/>
        <v>#VALUE!</v>
      </c>
      <c r="AN802" s="193" t="e">
        <f t="shared" si="213"/>
        <v>#VALUE!</v>
      </c>
      <c r="AO802" s="193" t="e">
        <f t="shared" si="214"/>
        <v>#VALUE!</v>
      </c>
      <c r="AP802" s="193"/>
      <c r="AQ802" s="204"/>
      <c r="AR802" s="204"/>
      <c r="AS802" s="204"/>
      <c r="AT802" s="205"/>
      <c r="AU802"/>
    </row>
    <row r="803" spans="2:47" ht="15" customHeight="1" x14ac:dyDescent="0.25">
      <c r="B803" s="206"/>
      <c r="C803" s="185"/>
      <c r="D803" s="164"/>
      <c r="E803" s="174"/>
      <c r="F803" s="164"/>
      <c r="G803" s="174"/>
      <c r="H803" s="164"/>
      <c r="I803" s="174"/>
      <c r="J803" s="184"/>
      <c r="K803" s="186"/>
      <c r="L803" s="187" t="str">
        <f t="shared" si="215"/>
        <v/>
      </c>
      <c r="M803" s="187" t="str">
        <f t="shared" si="216"/>
        <v/>
      </c>
      <c r="N803" s="187" t="str">
        <f t="shared" si="208"/>
        <v>D</v>
      </c>
      <c r="O803" s="187" t="str">
        <f t="shared" si="217"/>
        <v>D</v>
      </c>
      <c r="P803" s="187">
        <f t="shared" si="218"/>
        <v>1</v>
      </c>
      <c r="Q803" s="187">
        <f>IFERROR(VLOOKUP(E803,Tabela_Deflator:E$43,5,FALSE),1)</f>
        <v>1</v>
      </c>
      <c r="R803" s="188" t="str">
        <f t="shared" si="219"/>
        <v/>
      </c>
      <c r="S803" s="237" t="str">
        <f t="shared" si="209"/>
        <v/>
      </c>
      <c r="T803" s="237" t="str">
        <f t="shared" si="224"/>
        <v/>
      </c>
      <c r="U803" s="189"/>
      <c r="V803" s="167"/>
      <c r="W803" s="165"/>
      <c r="X803" s="164"/>
      <c r="Y803" s="164"/>
      <c r="Z803" s="164"/>
      <c r="AA803" s="174"/>
      <c r="AB803" s="164"/>
      <c r="AC803" s="174"/>
      <c r="AD803" s="184"/>
      <c r="AE803" s="190" t="str">
        <f t="shared" si="220"/>
        <v/>
      </c>
      <c r="AF803" s="190" t="str">
        <f t="shared" si="221"/>
        <v/>
      </c>
      <c r="AG803" s="190" t="str">
        <f t="shared" si="210"/>
        <v>D</v>
      </c>
      <c r="AH803" s="190">
        <f>IFERROR(VLOOKUP(Y803,SISP_Deflatores_e_INMs!B$4:F$49,3,FALSE),1)</f>
        <v>1</v>
      </c>
      <c r="AI803" s="190">
        <f>IFERROR(VLOOKUP(Y803,SISP_Deflatores_e_INMs!B$4:G$49,5,FALSE),1)</f>
        <v>1</v>
      </c>
      <c r="AJ803" s="191" t="str">
        <f t="shared" si="222"/>
        <v/>
      </c>
      <c r="AK803" s="237" t="str">
        <f t="shared" si="211"/>
        <v/>
      </c>
      <c r="AL803" s="237" t="str">
        <f t="shared" si="223"/>
        <v/>
      </c>
      <c r="AM803" s="192" t="e">
        <f t="shared" si="212"/>
        <v>#VALUE!</v>
      </c>
      <c r="AN803" s="193" t="e">
        <f t="shared" si="213"/>
        <v>#VALUE!</v>
      </c>
      <c r="AO803" s="193" t="e">
        <f t="shared" si="214"/>
        <v>#VALUE!</v>
      </c>
      <c r="AP803" s="193"/>
      <c r="AQ803" s="204"/>
      <c r="AR803" s="204"/>
      <c r="AS803" s="204"/>
      <c r="AT803" s="205"/>
      <c r="AU803"/>
    </row>
    <row r="804" spans="2:47" ht="15" customHeight="1" x14ac:dyDescent="0.25">
      <c r="B804" s="206"/>
      <c r="C804" s="185"/>
      <c r="D804" s="164"/>
      <c r="E804" s="174"/>
      <c r="F804" s="164"/>
      <c r="G804" s="174"/>
      <c r="H804" s="164"/>
      <c r="I804" s="174"/>
      <c r="J804" s="184"/>
      <c r="K804" s="186"/>
      <c r="L804" s="187" t="str">
        <f t="shared" si="215"/>
        <v/>
      </c>
      <c r="M804" s="187" t="str">
        <f t="shared" si="216"/>
        <v/>
      </c>
      <c r="N804" s="187" t="str">
        <f t="shared" si="208"/>
        <v>D</v>
      </c>
      <c r="O804" s="187" t="str">
        <f t="shared" si="217"/>
        <v>D</v>
      </c>
      <c r="P804" s="187">
        <f t="shared" si="218"/>
        <v>1</v>
      </c>
      <c r="Q804" s="187">
        <f>IFERROR(VLOOKUP(E804,Tabela_Deflator:E$43,5,FALSE),1)</f>
        <v>1</v>
      </c>
      <c r="R804" s="188" t="str">
        <f t="shared" si="219"/>
        <v/>
      </c>
      <c r="S804" s="237" t="str">
        <f t="shared" si="209"/>
        <v/>
      </c>
      <c r="T804" s="237" t="str">
        <f t="shared" si="224"/>
        <v/>
      </c>
      <c r="U804" s="189"/>
      <c r="V804" s="167"/>
      <c r="W804" s="165"/>
      <c r="X804" s="164"/>
      <c r="Y804" s="164"/>
      <c r="Z804" s="164"/>
      <c r="AA804" s="174"/>
      <c r="AB804" s="164"/>
      <c r="AC804" s="174"/>
      <c r="AD804" s="184"/>
      <c r="AE804" s="190" t="str">
        <f t="shared" si="220"/>
        <v/>
      </c>
      <c r="AF804" s="190" t="str">
        <f t="shared" si="221"/>
        <v/>
      </c>
      <c r="AG804" s="190" t="str">
        <f t="shared" si="210"/>
        <v>D</v>
      </c>
      <c r="AH804" s="190">
        <f>IFERROR(VLOOKUP(Y804,SISP_Deflatores_e_INMs!B$4:F$49,3,FALSE),1)</f>
        <v>1</v>
      </c>
      <c r="AI804" s="190">
        <f>IFERROR(VLOOKUP(Y804,SISP_Deflatores_e_INMs!B$4:G$49,5,FALSE),1)</f>
        <v>1</v>
      </c>
      <c r="AJ804" s="191" t="str">
        <f t="shared" si="222"/>
        <v/>
      </c>
      <c r="AK804" s="237" t="str">
        <f t="shared" si="211"/>
        <v/>
      </c>
      <c r="AL804" s="237" t="str">
        <f t="shared" si="223"/>
        <v/>
      </c>
      <c r="AM804" s="192" t="e">
        <f t="shared" si="212"/>
        <v>#VALUE!</v>
      </c>
      <c r="AN804" s="193" t="e">
        <f t="shared" si="213"/>
        <v>#VALUE!</v>
      </c>
      <c r="AO804" s="193" t="e">
        <f t="shared" si="214"/>
        <v>#VALUE!</v>
      </c>
      <c r="AP804" s="193"/>
      <c r="AQ804" s="204"/>
      <c r="AR804" s="204"/>
      <c r="AS804" s="204"/>
      <c r="AT804" s="205"/>
      <c r="AU804"/>
    </row>
    <row r="805" spans="2:47" ht="15" customHeight="1" x14ac:dyDescent="0.25">
      <c r="B805" s="206"/>
      <c r="C805" s="185"/>
      <c r="D805" s="164"/>
      <c r="E805" s="174"/>
      <c r="F805" s="164"/>
      <c r="G805" s="174"/>
      <c r="H805" s="164"/>
      <c r="I805" s="174"/>
      <c r="J805" s="184"/>
      <c r="K805" s="186"/>
      <c r="L805" s="187" t="str">
        <f t="shared" si="215"/>
        <v/>
      </c>
      <c r="M805" s="187" t="str">
        <f t="shared" si="216"/>
        <v/>
      </c>
      <c r="N805" s="187" t="str">
        <f t="shared" si="208"/>
        <v>D</v>
      </c>
      <c r="O805" s="187" t="str">
        <f t="shared" si="217"/>
        <v>D</v>
      </c>
      <c r="P805" s="187">
        <f t="shared" si="218"/>
        <v>1</v>
      </c>
      <c r="Q805" s="187">
        <f>IFERROR(VLOOKUP(E805,Tabela_Deflator:E$43,5,FALSE),1)</f>
        <v>1</v>
      </c>
      <c r="R805" s="188" t="str">
        <f t="shared" si="219"/>
        <v/>
      </c>
      <c r="S805" s="237" t="str">
        <f t="shared" si="209"/>
        <v/>
      </c>
      <c r="T805" s="237" t="str">
        <f t="shared" si="224"/>
        <v/>
      </c>
      <c r="U805" s="189"/>
      <c r="V805" s="167"/>
      <c r="W805" s="165"/>
      <c r="X805" s="164"/>
      <c r="Y805" s="164"/>
      <c r="Z805" s="164"/>
      <c r="AA805" s="174"/>
      <c r="AB805" s="164"/>
      <c r="AC805" s="174"/>
      <c r="AD805" s="184"/>
      <c r="AE805" s="190" t="str">
        <f t="shared" si="220"/>
        <v/>
      </c>
      <c r="AF805" s="190" t="str">
        <f t="shared" si="221"/>
        <v/>
      </c>
      <c r="AG805" s="190" t="str">
        <f t="shared" si="210"/>
        <v>D</v>
      </c>
      <c r="AH805" s="190">
        <f>IFERROR(VLOOKUP(Y805,SISP_Deflatores_e_INMs!B$4:F$49,3,FALSE),1)</f>
        <v>1</v>
      </c>
      <c r="AI805" s="190">
        <f>IFERROR(VLOOKUP(Y805,SISP_Deflatores_e_INMs!B$4:G$49,5,FALSE),1)</f>
        <v>1</v>
      </c>
      <c r="AJ805" s="191" t="str">
        <f t="shared" si="222"/>
        <v/>
      </c>
      <c r="AK805" s="237" t="str">
        <f t="shared" si="211"/>
        <v/>
      </c>
      <c r="AL805" s="237" t="str">
        <f t="shared" si="223"/>
        <v/>
      </c>
      <c r="AM805" s="192" t="e">
        <f t="shared" si="212"/>
        <v>#VALUE!</v>
      </c>
      <c r="AN805" s="193" t="e">
        <f t="shared" si="213"/>
        <v>#VALUE!</v>
      </c>
      <c r="AO805" s="193" t="e">
        <f t="shared" si="214"/>
        <v>#VALUE!</v>
      </c>
      <c r="AP805" s="193"/>
      <c r="AQ805" s="204"/>
      <c r="AR805" s="204"/>
      <c r="AS805" s="204"/>
      <c r="AT805" s="205"/>
      <c r="AU805"/>
    </row>
    <row r="806" spans="2:47" ht="15" customHeight="1" x14ac:dyDescent="0.25">
      <c r="B806" s="206"/>
      <c r="C806" s="185"/>
      <c r="D806" s="164"/>
      <c r="E806" s="174"/>
      <c r="F806" s="164"/>
      <c r="G806" s="174"/>
      <c r="H806" s="164"/>
      <c r="I806" s="174"/>
      <c r="J806" s="184"/>
      <c r="K806" s="186"/>
      <c r="L806" s="187" t="str">
        <f t="shared" si="215"/>
        <v/>
      </c>
      <c r="M806" s="187" t="str">
        <f t="shared" si="216"/>
        <v/>
      </c>
      <c r="N806" s="187" t="str">
        <f t="shared" si="208"/>
        <v>D</v>
      </c>
      <c r="O806" s="187" t="str">
        <f t="shared" si="217"/>
        <v>D</v>
      </c>
      <c r="P806" s="187">
        <f t="shared" si="218"/>
        <v>1</v>
      </c>
      <c r="Q806" s="187">
        <f>IFERROR(VLOOKUP(E806,Tabela_Deflator:E$43,5,FALSE),1)</f>
        <v>1</v>
      </c>
      <c r="R806" s="188" t="str">
        <f t="shared" si="219"/>
        <v/>
      </c>
      <c r="S806" s="237" t="str">
        <f t="shared" si="209"/>
        <v/>
      </c>
      <c r="T806" s="237" t="str">
        <f t="shared" si="224"/>
        <v/>
      </c>
      <c r="U806" s="189"/>
      <c r="V806" s="167"/>
      <c r="W806" s="165"/>
      <c r="X806" s="164"/>
      <c r="Y806" s="164"/>
      <c r="Z806" s="164"/>
      <c r="AA806" s="174"/>
      <c r="AB806" s="164"/>
      <c r="AC806" s="174"/>
      <c r="AD806" s="184"/>
      <c r="AE806" s="190" t="str">
        <f t="shared" si="220"/>
        <v/>
      </c>
      <c r="AF806" s="190" t="str">
        <f t="shared" si="221"/>
        <v/>
      </c>
      <c r="AG806" s="190" t="str">
        <f t="shared" si="210"/>
        <v>D</v>
      </c>
      <c r="AH806" s="190">
        <f>IFERROR(VLOOKUP(Y806,SISP_Deflatores_e_INMs!B$4:F$49,3,FALSE),1)</f>
        <v>1</v>
      </c>
      <c r="AI806" s="190">
        <f>IFERROR(VLOOKUP(Y806,SISP_Deflatores_e_INMs!B$4:G$49,5,FALSE),1)</f>
        <v>1</v>
      </c>
      <c r="AJ806" s="191" t="str">
        <f t="shared" si="222"/>
        <v/>
      </c>
      <c r="AK806" s="237" t="str">
        <f t="shared" si="211"/>
        <v/>
      </c>
      <c r="AL806" s="237" t="str">
        <f t="shared" si="223"/>
        <v/>
      </c>
      <c r="AM806" s="192" t="e">
        <f t="shared" si="212"/>
        <v>#VALUE!</v>
      </c>
      <c r="AN806" s="193" t="e">
        <f t="shared" si="213"/>
        <v>#VALUE!</v>
      </c>
      <c r="AO806" s="193" t="e">
        <f t="shared" si="214"/>
        <v>#VALUE!</v>
      </c>
      <c r="AP806" s="193"/>
      <c r="AQ806" s="204"/>
      <c r="AR806" s="204"/>
      <c r="AS806" s="204"/>
      <c r="AT806" s="205"/>
      <c r="AU806"/>
    </row>
    <row r="807" spans="2:47" ht="15" customHeight="1" x14ac:dyDescent="0.25">
      <c r="B807" s="206"/>
      <c r="C807" s="185"/>
      <c r="D807" s="164"/>
      <c r="E807" s="174"/>
      <c r="F807" s="164"/>
      <c r="G807" s="174"/>
      <c r="H807" s="164"/>
      <c r="I807" s="174"/>
      <c r="J807" s="184"/>
      <c r="K807" s="186"/>
      <c r="L807" s="187" t="str">
        <f t="shared" si="215"/>
        <v/>
      </c>
      <c r="M807" s="187" t="str">
        <f t="shared" si="216"/>
        <v/>
      </c>
      <c r="N807" s="187" t="str">
        <f t="shared" si="208"/>
        <v>D</v>
      </c>
      <c r="O807" s="187" t="str">
        <f t="shared" si="217"/>
        <v>D</v>
      </c>
      <c r="P807" s="187">
        <f t="shared" si="218"/>
        <v>1</v>
      </c>
      <c r="Q807" s="187">
        <f>IFERROR(VLOOKUP(E807,Tabela_Deflator:E$43,5,FALSE),1)</f>
        <v>1</v>
      </c>
      <c r="R807" s="188" t="str">
        <f t="shared" si="219"/>
        <v/>
      </c>
      <c r="S807" s="237" t="str">
        <f t="shared" si="209"/>
        <v/>
      </c>
      <c r="T807" s="237" t="str">
        <f t="shared" si="224"/>
        <v/>
      </c>
      <c r="U807" s="189"/>
      <c r="V807" s="167"/>
      <c r="W807" s="165"/>
      <c r="X807" s="164"/>
      <c r="Y807" s="164"/>
      <c r="Z807" s="164"/>
      <c r="AA807" s="174"/>
      <c r="AB807" s="164"/>
      <c r="AC807" s="174"/>
      <c r="AD807" s="184"/>
      <c r="AE807" s="190" t="str">
        <f t="shared" si="220"/>
        <v/>
      </c>
      <c r="AF807" s="190" t="str">
        <f t="shared" si="221"/>
        <v/>
      </c>
      <c r="AG807" s="190" t="str">
        <f t="shared" si="210"/>
        <v>D</v>
      </c>
      <c r="AH807" s="190">
        <f>IFERROR(VLOOKUP(Y807,SISP_Deflatores_e_INMs!B$4:F$49,3,FALSE),1)</f>
        <v>1</v>
      </c>
      <c r="AI807" s="190">
        <f>IFERROR(VLOOKUP(Y807,SISP_Deflatores_e_INMs!B$4:G$49,5,FALSE),1)</f>
        <v>1</v>
      </c>
      <c r="AJ807" s="191" t="str">
        <f t="shared" si="222"/>
        <v/>
      </c>
      <c r="AK807" s="237" t="str">
        <f t="shared" si="211"/>
        <v/>
      </c>
      <c r="AL807" s="237" t="str">
        <f t="shared" si="223"/>
        <v/>
      </c>
      <c r="AM807" s="192" t="e">
        <f t="shared" si="212"/>
        <v>#VALUE!</v>
      </c>
      <c r="AN807" s="193" t="e">
        <f t="shared" si="213"/>
        <v>#VALUE!</v>
      </c>
      <c r="AO807" s="193" t="e">
        <f t="shared" si="214"/>
        <v>#VALUE!</v>
      </c>
      <c r="AP807" s="193"/>
      <c r="AQ807" s="204"/>
      <c r="AR807" s="204"/>
      <c r="AS807" s="204"/>
      <c r="AT807" s="205"/>
      <c r="AU807"/>
    </row>
    <row r="808" spans="2:47" ht="15" customHeight="1" x14ac:dyDescent="0.25">
      <c r="B808" s="206"/>
      <c r="C808" s="185"/>
      <c r="D808" s="164"/>
      <c r="E808" s="174"/>
      <c r="F808" s="164"/>
      <c r="G808" s="174"/>
      <c r="H808" s="164"/>
      <c r="I808" s="174"/>
      <c r="J808" s="184"/>
      <c r="K808" s="186"/>
      <c r="L808" s="187" t="str">
        <f t="shared" si="215"/>
        <v/>
      </c>
      <c r="M808" s="187" t="str">
        <f t="shared" si="216"/>
        <v/>
      </c>
      <c r="N808" s="187" t="str">
        <f t="shared" si="208"/>
        <v>D</v>
      </c>
      <c r="O808" s="187" t="str">
        <f t="shared" si="217"/>
        <v>D</v>
      </c>
      <c r="P808" s="187">
        <f t="shared" si="218"/>
        <v>1</v>
      </c>
      <c r="Q808" s="187">
        <f>IFERROR(VLOOKUP(E808,Tabela_Deflator:E$43,5,FALSE),1)</f>
        <v>1</v>
      </c>
      <c r="R808" s="188" t="str">
        <f t="shared" si="219"/>
        <v/>
      </c>
      <c r="S808" s="237" t="str">
        <f t="shared" si="209"/>
        <v/>
      </c>
      <c r="T808" s="237" t="str">
        <f t="shared" si="224"/>
        <v/>
      </c>
      <c r="U808" s="189"/>
      <c r="V808" s="167"/>
      <c r="W808" s="165"/>
      <c r="X808" s="164"/>
      <c r="Y808" s="164"/>
      <c r="Z808" s="164"/>
      <c r="AA808" s="174"/>
      <c r="AB808" s="164"/>
      <c r="AC808" s="174"/>
      <c r="AD808" s="184"/>
      <c r="AE808" s="190" t="str">
        <f t="shared" si="220"/>
        <v/>
      </c>
      <c r="AF808" s="190" t="str">
        <f t="shared" si="221"/>
        <v/>
      </c>
      <c r="AG808" s="190" t="str">
        <f t="shared" si="210"/>
        <v>D</v>
      </c>
      <c r="AH808" s="190">
        <f>IFERROR(VLOOKUP(Y808,SISP_Deflatores_e_INMs!B$4:F$49,3,FALSE),1)</f>
        <v>1</v>
      </c>
      <c r="AI808" s="190">
        <f>IFERROR(VLOOKUP(Y808,SISP_Deflatores_e_INMs!B$4:G$49,5,FALSE),1)</f>
        <v>1</v>
      </c>
      <c r="AJ808" s="191" t="str">
        <f t="shared" si="222"/>
        <v/>
      </c>
      <c r="AK808" s="237" t="str">
        <f t="shared" si="211"/>
        <v/>
      </c>
      <c r="AL808" s="237" t="str">
        <f t="shared" si="223"/>
        <v/>
      </c>
      <c r="AM808" s="192" t="e">
        <f t="shared" si="212"/>
        <v>#VALUE!</v>
      </c>
      <c r="AN808" s="193" t="e">
        <f t="shared" si="213"/>
        <v>#VALUE!</v>
      </c>
      <c r="AO808" s="193" t="e">
        <f t="shared" si="214"/>
        <v>#VALUE!</v>
      </c>
      <c r="AP808" s="193"/>
      <c r="AQ808" s="204"/>
      <c r="AR808" s="204"/>
      <c r="AS808" s="204"/>
      <c r="AT808" s="205"/>
      <c r="AU808"/>
    </row>
    <row r="809" spans="2:47" ht="15" customHeight="1" x14ac:dyDescent="0.25">
      <c r="B809" s="206"/>
      <c r="C809" s="185"/>
      <c r="D809" s="164"/>
      <c r="E809" s="174"/>
      <c r="F809" s="164"/>
      <c r="G809" s="174"/>
      <c r="H809" s="164"/>
      <c r="I809" s="174"/>
      <c r="J809" s="184"/>
      <c r="K809" s="186"/>
      <c r="L809" s="187" t="str">
        <f t="shared" si="215"/>
        <v/>
      </c>
      <c r="M809" s="187" t="str">
        <f t="shared" si="216"/>
        <v/>
      </c>
      <c r="N809" s="187" t="str">
        <f t="shared" si="208"/>
        <v>D</v>
      </c>
      <c r="O809" s="187" t="str">
        <f t="shared" si="217"/>
        <v>D</v>
      </c>
      <c r="P809" s="187">
        <f t="shared" si="218"/>
        <v>1</v>
      </c>
      <c r="Q809" s="187">
        <f>IFERROR(VLOOKUP(E809,Tabela_Deflator:E$43,5,FALSE),1)</f>
        <v>1</v>
      </c>
      <c r="R809" s="188" t="str">
        <f t="shared" si="219"/>
        <v/>
      </c>
      <c r="S809" s="237" t="str">
        <f t="shared" si="209"/>
        <v/>
      </c>
      <c r="T809" s="237" t="str">
        <f t="shared" si="224"/>
        <v/>
      </c>
      <c r="U809" s="189"/>
      <c r="V809" s="167"/>
      <c r="W809" s="165"/>
      <c r="X809" s="164"/>
      <c r="Y809" s="164"/>
      <c r="Z809" s="164"/>
      <c r="AA809" s="174"/>
      <c r="AB809" s="164"/>
      <c r="AC809" s="174"/>
      <c r="AD809" s="184"/>
      <c r="AE809" s="190" t="str">
        <f t="shared" si="220"/>
        <v/>
      </c>
      <c r="AF809" s="190" t="str">
        <f t="shared" si="221"/>
        <v/>
      </c>
      <c r="AG809" s="190" t="str">
        <f t="shared" si="210"/>
        <v>D</v>
      </c>
      <c r="AH809" s="190">
        <f>IFERROR(VLOOKUP(Y809,SISP_Deflatores_e_INMs!B$4:F$49,3,FALSE),1)</f>
        <v>1</v>
      </c>
      <c r="AI809" s="190">
        <f>IFERROR(VLOOKUP(Y809,SISP_Deflatores_e_INMs!B$4:G$49,5,FALSE),1)</f>
        <v>1</v>
      </c>
      <c r="AJ809" s="191" t="str">
        <f t="shared" si="222"/>
        <v/>
      </c>
      <c r="AK809" s="237" t="str">
        <f t="shared" si="211"/>
        <v/>
      </c>
      <c r="AL809" s="237" t="str">
        <f t="shared" si="223"/>
        <v/>
      </c>
      <c r="AM809" s="192" t="e">
        <f t="shared" si="212"/>
        <v>#VALUE!</v>
      </c>
      <c r="AN809" s="193" t="e">
        <f t="shared" si="213"/>
        <v>#VALUE!</v>
      </c>
      <c r="AO809" s="193" t="e">
        <f t="shared" si="214"/>
        <v>#VALUE!</v>
      </c>
      <c r="AP809" s="193"/>
      <c r="AQ809" s="204"/>
      <c r="AR809" s="204"/>
      <c r="AS809" s="204"/>
      <c r="AT809" s="205"/>
      <c r="AU809"/>
    </row>
    <row r="810" spans="2:47" ht="15" customHeight="1" x14ac:dyDescent="0.25">
      <c r="B810" s="206"/>
      <c r="C810" s="185"/>
      <c r="D810" s="164"/>
      <c r="E810" s="174"/>
      <c r="F810" s="164"/>
      <c r="G810" s="174"/>
      <c r="H810" s="164"/>
      <c r="I810" s="174"/>
      <c r="J810" s="184"/>
      <c r="K810" s="186"/>
      <c r="L810" s="187" t="str">
        <f t="shared" si="215"/>
        <v/>
      </c>
      <c r="M810" s="187" t="str">
        <f t="shared" si="216"/>
        <v/>
      </c>
      <c r="N810" s="187" t="str">
        <f t="shared" si="208"/>
        <v>D</v>
      </c>
      <c r="O810" s="187" t="str">
        <f t="shared" si="217"/>
        <v>D</v>
      </c>
      <c r="P810" s="187">
        <f t="shared" si="218"/>
        <v>1</v>
      </c>
      <c r="Q810" s="187">
        <f>IFERROR(VLOOKUP(E810,Tabela_Deflator:E$43,5,FALSE),1)</f>
        <v>1</v>
      </c>
      <c r="R810" s="188" t="str">
        <f t="shared" si="219"/>
        <v/>
      </c>
      <c r="S810" s="237" t="str">
        <f t="shared" si="209"/>
        <v/>
      </c>
      <c r="T810" s="237" t="str">
        <f t="shared" si="224"/>
        <v/>
      </c>
      <c r="U810" s="189"/>
      <c r="V810" s="167"/>
      <c r="W810" s="165"/>
      <c r="X810" s="164"/>
      <c r="Y810" s="164"/>
      <c r="Z810" s="164"/>
      <c r="AA810" s="174"/>
      <c r="AB810" s="164"/>
      <c r="AC810" s="174"/>
      <c r="AD810" s="184"/>
      <c r="AE810" s="190" t="str">
        <f t="shared" si="220"/>
        <v/>
      </c>
      <c r="AF810" s="190" t="str">
        <f t="shared" si="221"/>
        <v/>
      </c>
      <c r="AG810" s="190" t="str">
        <f t="shared" si="210"/>
        <v>D</v>
      </c>
      <c r="AH810" s="190">
        <f>IFERROR(VLOOKUP(Y810,SISP_Deflatores_e_INMs!B$4:F$49,3,FALSE),1)</f>
        <v>1</v>
      </c>
      <c r="AI810" s="190">
        <f>IFERROR(VLOOKUP(Y810,SISP_Deflatores_e_INMs!B$4:G$49,5,FALSE),1)</f>
        <v>1</v>
      </c>
      <c r="AJ810" s="191" t="str">
        <f t="shared" si="222"/>
        <v/>
      </c>
      <c r="AK810" s="237" t="str">
        <f t="shared" si="211"/>
        <v/>
      </c>
      <c r="AL810" s="237" t="str">
        <f t="shared" si="223"/>
        <v/>
      </c>
      <c r="AM810" s="192" t="e">
        <f t="shared" si="212"/>
        <v>#VALUE!</v>
      </c>
      <c r="AN810" s="193" t="e">
        <f t="shared" si="213"/>
        <v>#VALUE!</v>
      </c>
      <c r="AO810" s="193" t="e">
        <f t="shared" si="214"/>
        <v>#VALUE!</v>
      </c>
      <c r="AP810" s="193"/>
      <c r="AQ810" s="204"/>
      <c r="AR810" s="204"/>
      <c r="AS810" s="204"/>
      <c r="AT810" s="205"/>
      <c r="AU810"/>
    </row>
    <row r="811" spans="2:47" ht="15" customHeight="1" x14ac:dyDescent="0.25">
      <c r="B811" s="206"/>
      <c r="C811" s="185"/>
      <c r="D811" s="164"/>
      <c r="E811" s="174"/>
      <c r="F811" s="164"/>
      <c r="G811" s="174"/>
      <c r="H811" s="164"/>
      <c r="I811" s="174"/>
      <c r="J811" s="184"/>
      <c r="K811" s="186"/>
      <c r="L811" s="187" t="str">
        <f t="shared" si="215"/>
        <v/>
      </c>
      <c r="M811" s="187" t="str">
        <f t="shared" si="216"/>
        <v/>
      </c>
      <c r="N811" s="187" t="str">
        <f t="shared" si="208"/>
        <v>D</v>
      </c>
      <c r="O811" s="187" t="str">
        <f t="shared" si="217"/>
        <v>D</v>
      </c>
      <c r="P811" s="187">
        <f t="shared" si="218"/>
        <v>1</v>
      </c>
      <c r="Q811" s="187">
        <f>IFERROR(VLOOKUP(E811,Tabela_Deflator:E$43,5,FALSE),1)</f>
        <v>1</v>
      </c>
      <c r="R811" s="188" t="str">
        <f t="shared" si="219"/>
        <v/>
      </c>
      <c r="S811" s="237" t="str">
        <f t="shared" si="209"/>
        <v/>
      </c>
      <c r="T811" s="237" t="str">
        <f t="shared" si="224"/>
        <v/>
      </c>
      <c r="U811" s="189"/>
      <c r="V811" s="167"/>
      <c r="W811" s="165"/>
      <c r="X811" s="164"/>
      <c r="Y811" s="164"/>
      <c r="Z811" s="164"/>
      <c r="AA811" s="174"/>
      <c r="AB811" s="164"/>
      <c r="AC811" s="174"/>
      <c r="AD811" s="184"/>
      <c r="AE811" s="190" t="str">
        <f t="shared" si="220"/>
        <v/>
      </c>
      <c r="AF811" s="190" t="str">
        <f t="shared" si="221"/>
        <v/>
      </c>
      <c r="AG811" s="190" t="str">
        <f t="shared" si="210"/>
        <v>D</v>
      </c>
      <c r="AH811" s="190">
        <f>IFERROR(VLOOKUP(Y811,SISP_Deflatores_e_INMs!B$4:F$49,3,FALSE),1)</f>
        <v>1</v>
      </c>
      <c r="AI811" s="190">
        <f>IFERROR(VLOOKUP(Y811,SISP_Deflatores_e_INMs!B$4:G$49,5,FALSE),1)</f>
        <v>1</v>
      </c>
      <c r="AJ811" s="191" t="str">
        <f t="shared" si="222"/>
        <v/>
      </c>
      <c r="AK811" s="237" t="str">
        <f t="shared" si="211"/>
        <v/>
      </c>
      <c r="AL811" s="237" t="str">
        <f t="shared" si="223"/>
        <v/>
      </c>
      <c r="AM811" s="192" t="e">
        <f t="shared" si="212"/>
        <v>#VALUE!</v>
      </c>
      <c r="AN811" s="193" t="e">
        <f t="shared" si="213"/>
        <v>#VALUE!</v>
      </c>
      <c r="AO811" s="193" t="e">
        <f t="shared" si="214"/>
        <v>#VALUE!</v>
      </c>
      <c r="AP811" s="193"/>
      <c r="AQ811" s="204"/>
      <c r="AR811" s="204"/>
      <c r="AS811" s="204"/>
      <c r="AT811" s="205"/>
      <c r="AU811"/>
    </row>
    <row r="812" spans="2:47" ht="15" customHeight="1" x14ac:dyDescent="0.25">
      <c r="B812" s="206"/>
      <c r="C812" s="185"/>
      <c r="D812" s="164"/>
      <c r="E812" s="174"/>
      <c r="F812" s="164"/>
      <c r="G812" s="174"/>
      <c r="H812" s="164"/>
      <c r="I812" s="174"/>
      <c r="J812" s="184"/>
      <c r="K812" s="186"/>
      <c r="L812" s="187" t="str">
        <f t="shared" si="215"/>
        <v/>
      </c>
      <c r="M812" s="187" t="str">
        <f t="shared" si="216"/>
        <v/>
      </c>
      <c r="N812" s="187" t="str">
        <f t="shared" si="208"/>
        <v>D</v>
      </c>
      <c r="O812" s="187" t="str">
        <f t="shared" si="217"/>
        <v>D</v>
      </c>
      <c r="P812" s="187">
        <f t="shared" si="218"/>
        <v>1</v>
      </c>
      <c r="Q812" s="187">
        <f>IFERROR(VLOOKUP(E812,Tabela_Deflator:E$43,5,FALSE),1)</f>
        <v>1</v>
      </c>
      <c r="R812" s="188" t="str">
        <f t="shared" si="219"/>
        <v/>
      </c>
      <c r="S812" s="237" t="str">
        <f t="shared" si="209"/>
        <v/>
      </c>
      <c r="T812" s="237" t="str">
        <f t="shared" si="224"/>
        <v/>
      </c>
      <c r="U812" s="189"/>
      <c r="V812" s="167"/>
      <c r="W812" s="165"/>
      <c r="X812" s="164"/>
      <c r="Y812" s="164"/>
      <c r="Z812" s="164"/>
      <c r="AA812" s="174"/>
      <c r="AB812" s="164"/>
      <c r="AC812" s="174"/>
      <c r="AD812" s="184"/>
      <c r="AE812" s="190" t="str">
        <f t="shared" si="220"/>
        <v/>
      </c>
      <c r="AF812" s="190" t="str">
        <f t="shared" si="221"/>
        <v/>
      </c>
      <c r="AG812" s="190" t="str">
        <f t="shared" si="210"/>
        <v>D</v>
      </c>
      <c r="AH812" s="190">
        <f>IFERROR(VLOOKUP(Y812,SISP_Deflatores_e_INMs!B$4:F$49,3,FALSE),1)</f>
        <v>1</v>
      </c>
      <c r="AI812" s="190">
        <f>IFERROR(VLOOKUP(Y812,SISP_Deflatores_e_INMs!B$4:G$49,5,FALSE),1)</f>
        <v>1</v>
      </c>
      <c r="AJ812" s="191" t="str">
        <f t="shared" si="222"/>
        <v/>
      </c>
      <c r="AK812" s="237" t="str">
        <f t="shared" si="211"/>
        <v/>
      </c>
      <c r="AL812" s="237" t="str">
        <f t="shared" si="223"/>
        <v/>
      </c>
      <c r="AM812" s="192" t="e">
        <f t="shared" si="212"/>
        <v>#VALUE!</v>
      </c>
      <c r="AN812" s="193" t="e">
        <f t="shared" si="213"/>
        <v>#VALUE!</v>
      </c>
      <c r="AO812" s="193" t="e">
        <f t="shared" si="214"/>
        <v>#VALUE!</v>
      </c>
      <c r="AP812" s="193"/>
      <c r="AQ812" s="204"/>
      <c r="AR812" s="204"/>
      <c r="AS812" s="204"/>
      <c r="AT812" s="205"/>
      <c r="AU812"/>
    </row>
    <row r="813" spans="2:47" ht="15" customHeight="1" x14ac:dyDescent="0.25">
      <c r="B813" s="206"/>
      <c r="C813" s="185"/>
      <c r="D813" s="164"/>
      <c r="E813" s="174"/>
      <c r="F813" s="164"/>
      <c r="G813" s="174"/>
      <c r="H813" s="164"/>
      <c r="I813" s="174"/>
      <c r="J813" s="184"/>
      <c r="K813" s="186"/>
      <c r="L813" s="187" t="str">
        <f t="shared" si="215"/>
        <v/>
      </c>
      <c r="M813" s="187" t="str">
        <f t="shared" si="216"/>
        <v/>
      </c>
      <c r="N813" s="187" t="str">
        <f t="shared" si="208"/>
        <v>D</v>
      </c>
      <c r="O813" s="187" t="str">
        <f t="shared" si="217"/>
        <v>D</v>
      </c>
      <c r="P813" s="187">
        <f t="shared" si="218"/>
        <v>1</v>
      </c>
      <c r="Q813" s="187">
        <f>IFERROR(VLOOKUP(E813,Tabela_Deflator:E$43,5,FALSE),1)</f>
        <v>1</v>
      </c>
      <c r="R813" s="188" t="str">
        <f t="shared" si="219"/>
        <v/>
      </c>
      <c r="S813" s="237" t="str">
        <f t="shared" si="209"/>
        <v/>
      </c>
      <c r="T813" s="237" t="str">
        <f t="shared" si="224"/>
        <v/>
      </c>
      <c r="U813" s="189"/>
      <c r="V813" s="167"/>
      <c r="W813" s="165"/>
      <c r="X813" s="164"/>
      <c r="Y813" s="164"/>
      <c r="Z813" s="164"/>
      <c r="AA813" s="174"/>
      <c r="AB813" s="164"/>
      <c r="AC813" s="174"/>
      <c r="AD813" s="184"/>
      <c r="AE813" s="190" t="str">
        <f t="shared" si="220"/>
        <v/>
      </c>
      <c r="AF813" s="190" t="str">
        <f t="shared" si="221"/>
        <v/>
      </c>
      <c r="AG813" s="190" t="str">
        <f t="shared" si="210"/>
        <v>D</v>
      </c>
      <c r="AH813" s="190">
        <f>IFERROR(VLOOKUP(Y813,SISP_Deflatores_e_INMs!B$4:F$49,3,FALSE),1)</f>
        <v>1</v>
      </c>
      <c r="AI813" s="190">
        <f>IFERROR(VLOOKUP(Y813,SISP_Deflatores_e_INMs!B$4:G$49,5,FALSE),1)</f>
        <v>1</v>
      </c>
      <c r="AJ813" s="191" t="str">
        <f t="shared" si="222"/>
        <v/>
      </c>
      <c r="AK813" s="237" t="str">
        <f t="shared" si="211"/>
        <v/>
      </c>
      <c r="AL813" s="237" t="str">
        <f t="shared" si="223"/>
        <v/>
      </c>
      <c r="AM813" s="192" t="e">
        <f t="shared" si="212"/>
        <v>#VALUE!</v>
      </c>
      <c r="AN813" s="193" t="e">
        <f t="shared" si="213"/>
        <v>#VALUE!</v>
      </c>
      <c r="AO813" s="193" t="e">
        <f t="shared" si="214"/>
        <v>#VALUE!</v>
      </c>
      <c r="AP813" s="193"/>
      <c r="AQ813" s="204"/>
      <c r="AR813" s="204"/>
      <c r="AS813" s="204"/>
      <c r="AT813" s="205"/>
      <c r="AU813"/>
    </row>
    <row r="814" spans="2:47" ht="15" customHeight="1" x14ac:dyDescent="0.25">
      <c r="B814" s="206"/>
      <c r="C814" s="185"/>
      <c r="D814" s="164"/>
      <c r="E814" s="174"/>
      <c r="F814" s="164"/>
      <c r="G814" s="174"/>
      <c r="H814" s="164"/>
      <c r="I814" s="174"/>
      <c r="J814" s="184"/>
      <c r="K814" s="186"/>
      <c r="L814" s="187" t="str">
        <f t="shared" si="215"/>
        <v/>
      </c>
      <c r="M814" s="187" t="str">
        <f t="shared" si="216"/>
        <v/>
      </c>
      <c r="N814" s="187" t="str">
        <f t="shared" si="208"/>
        <v>D</v>
      </c>
      <c r="O814" s="187" t="str">
        <f t="shared" si="217"/>
        <v>D</v>
      </c>
      <c r="P814" s="187">
        <f t="shared" si="218"/>
        <v>1</v>
      </c>
      <c r="Q814" s="187">
        <f>IFERROR(VLOOKUP(E814,Tabela_Deflator:E$43,5,FALSE),1)</f>
        <v>1</v>
      </c>
      <c r="R814" s="188" t="str">
        <f t="shared" si="219"/>
        <v/>
      </c>
      <c r="S814" s="237" t="str">
        <f t="shared" si="209"/>
        <v/>
      </c>
      <c r="T814" s="237" t="str">
        <f t="shared" si="224"/>
        <v/>
      </c>
      <c r="U814" s="189"/>
      <c r="V814" s="167"/>
      <c r="W814" s="165"/>
      <c r="X814" s="164"/>
      <c r="Y814" s="164"/>
      <c r="Z814" s="164"/>
      <c r="AA814" s="174"/>
      <c r="AB814" s="164"/>
      <c r="AC814" s="174"/>
      <c r="AD814" s="184"/>
      <c r="AE814" s="190" t="str">
        <f t="shared" si="220"/>
        <v/>
      </c>
      <c r="AF814" s="190" t="str">
        <f t="shared" si="221"/>
        <v/>
      </c>
      <c r="AG814" s="190" t="str">
        <f t="shared" si="210"/>
        <v>D</v>
      </c>
      <c r="AH814" s="190">
        <f>IFERROR(VLOOKUP(Y814,SISP_Deflatores_e_INMs!B$4:F$49,3,FALSE),1)</f>
        <v>1</v>
      </c>
      <c r="AI814" s="190">
        <f>IFERROR(VLOOKUP(Y814,SISP_Deflatores_e_INMs!B$4:G$49,5,FALSE),1)</f>
        <v>1</v>
      </c>
      <c r="AJ814" s="191" t="str">
        <f t="shared" si="222"/>
        <v/>
      </c>
      <c r="AK814" s="237" t="str">
        <f t="shared" si="211"/>
        <v/>
      </c>
      <c r="AL814" s="237" t="str">
        <f t="shared" si="223"/>
        <v/>
      </c>
      <c r="AM814" s="192" t="e">
        <f t="shared" si="212"/>
        <v>#VALUE!</v>
      </c>
      <c r="AN814" s="193" t="e">
        <f t="shared" si="213"/>
        <v>#VALUE!</v>
      </c>
      <c r="AO814" s="193" t="e">
        <f t="shared" si="214"/>
        <v>#VALUE!</v>
      </c>
      <c r="AP814" s="193"/>
      <c r="AQ814" s="204"/>
      <c r="AR814" s="204"/>
      <c r="AS814" s="204"/>
      <c r="AT814" s="205"/>
      <c r="AU814"/>
    </row>
    <row r="815" spans="2:47" ht="15" customHeight="1" x14ac:dyDescent="0.25">
      <c r="B815" s="206"/>
      <c r="C815" s="185"/>
      <c r="D815" s="164"/>
      <c r="E815" s="174"/>
      <c r="F815" s="164"/>
      <c r="G815" s="174"/>
      <c r="H815" s="164"/>
      <c r="I815" s="174"/>
      <c r="J815" s="184"/>
      <c r="K815" s="186"/>
      <c r="L815" s="187" t="str">
        <f t="shared" si="215"/>
        <v/>
      </c>
      <c r="M815" s="187" t="str">
        <f t="shared" si="216"/>
        <v/>
      </c>
      <c r="N815" s="187" t="str">
        <f t="shared" si="208"/>
        <v>D</v>
      </c>
      <c r="O815" s="187" t="str">
        <f t="shared" si="217"/>
        <v>D</v>
      </c>
      <c r="P815" s="187">
        <f t="shared" si="218"/>
        <v>1</v>
      </c>
      <c r="Q815" s="187">
        <f>IFERROR(VLOOKUP(E815,Tabela_Deflator:E$43,5,FALSE),1)</f>
        <v>1</v>
      </c>
      <c r="R815" s="188" t="str">
        <f t="shared" si="219"/>
        <v/>
      </c>
      <c r="S815" s="237" t="str">
        <f t="shared" si="209"/>
        <v/>
      </c>
      <c r="T815" s="237" t="str">
        <f t="shared" si="224"/>
        <v/>
      </c>
      <c r="U815" s="189"/>
      <c r="V815" s="167"/>
      <c r="W815" s="165"/>
      <c r="X815" s="164"/>
      <c r="Y815" s="164"/>
      <c r="Z815" s="164"/>
      <c r="AA815" s="174"/>
      <c r="AB815" s="164"/>
      <c r="AC815" s="174"/>
      <c r="AD815" s="184"/>
      <c r="AE815" s="190" t="str">
        <f t="shared" si="220"/>
        <v/>
      </c>
      <c r="AF815" s="190" t="str">
        <f t="shared" si="221"/>
        <v/>
      </c>
      <c r="AG815" s="190" t="str">
        <f t="shared" si="210"/>
        <v>D</v>
      </c>
      <c r="AH815" s="190">
        <f>IFERROR(VLOOKUP(Y815,SISP_Deflatores_e_INMs!B$4:F$49,3,FALSE),1)</f>
        <v>1</v>
      </c>
      <c r="AI815" s="190">
        <f>IFERROR(VLOOKUP(Y815,SISP_Deflatores_e_INMs!B$4:G$49,5,FALSE),1)</f>
        <v>1</v>
      </c>
      <c r="AJ815" s="191" t="str">
        <f t="shared" si="222"/>
        <v/>
      </c>
      <c r="AK815" s="237" t="str">
        <f t="shared" si="211"/>
        <v/>
      </c>
      <c r="AL815" s="237" t="str">
        <f t="shared" si="223"/>
        <v/>
      </c>
      <c r="AM815" s="192" t="e">
        <f t="shared" si="212"/>
        <v>#VALUE!</v>
      </c>
      <c r="AN815" s="193" t="e">
        <f t="shared" si="213"/>
        <v>#VALUE!</v>
      </c>
      <c r="AO815" s="193" t="e">
        <f t="shared" si="214"/>
        <v>#VALUE!</v>
      </c>
      <c r="AP815" s="193"/>
      <c r="AQ815" s="204"/>
      <c r="AR815" s="204"/>
      <c r="AS815" s="204"/>
      <c r="AT815" s="205"/>
      <c r="AU815"/>
    </row>
    <row r="816" spans="2:47" ht="15" customHeight="1" x14ac:dyDescent="0.25">
      <c r="B816" s="206"/>
      <c r="C816" s="185"/>
      <c r="D816" s="164"/>
      <c r="E816" s="174"/>
      <c r="F816" s="164"/>
      <c r="G816" s="174"/>
      <c r="H816" s="164"/>
      <c r="I816" s="174"/>
      <c r="J816" s="184"/>
      <c r="K816" s="186"/>
      <c r="L816" s="187" t="str">
        <f t="shared" si="215"/>
        <v/>
      </c>
      <c r="M816" s="187" t="str">
        <f t="shared" si="216"/>
        <v/>
      </c>
      <c r="N816" s="187" t="str">
        <f t="shared" si="208"/>
        <v>D</v>
      </c>
      <c r="O816" s="187" t="str">
        <f t="shared" si="217"/>
        <v>D</v>
      </c>
      <c r="P816" s="187">
        <f t="shared" si="218"/>
        <v>1</v>
      </c>
      <c r="Q816" s="187">
        <f>IFERROR(VLOOKUP(E816,Tabela_Deflator:E$43,5,FALSE),1)</f>
        <v>1</v>
      </c>
      <c r="R816" s="188" t="str">
        <f t="shared" si="219"/>
        <v/>
      </c>
      <c r="S816" s="237" t="str">
        <f t="shared" si="209"/>
        <v/>
      </c>
      <c r="T816" s="237" t="str">
        <f t="shared" si="224"/>
        <v/>
      </c>
      <c r="U816" s="189"/>
      <c r="V816" s="167"/>
      <c r="W816" s="165"/>
      <c r="X816" s="164"/>
      <c r="Y816" s="164"/>
      <c r="Z816" s="164"/>
      <c r="AA816" s="174"/>
      <c r="AB816" s="164"/>
      <c r="AC816" s="174"/>
      <c r="AD816" s="184"/>
      <c r="AE816" s="190" t="str">
        <f t="shared" si="220"/>
        <v/>
      </c>
      <c r="AF816" s="190" t="str">
        <f t="shared" si="221"/>
        <v/>
      </c>
      <c r="AG816" s="190" t="str">
        <f t="shared" si="210"/>
        <v>D</v>
      </c>
      <c r="AH816" s="190">
        <f>IFERROR(VLOOKUP(Y816,SISP_Deflatores_e_INMs!B$4:F$49,3,FALSE),1)</f>
        <v>1</v>
      </c>
      <c r="AI816" s="190">
        <f>IFERROR(VLOOKUP(Y816,SISP_Deflatores_e_INMs!B$4:G$49,5,FALSE),1)</f>
        <v>1</v>
      </c>
      <c r="AJ816" s="191" t="str">
        <f t="shared" si="222"/>
        <v/>
      </c>
      <c r="AK816" s="237" t="str">
        <f t="shared" si="211"/>
        <v/>
      </c>
      <c r="AL816" s="237" t="str">
        <f t="shared" si="223"/>
        <v/>
      </c>
      <c r="AM816" s="192" t="e">
        <f t="shared" si="212"/>
        <v>#VALUE!</v>
      </c>
      <c r="AN816" s="193" t="e">
        <f t="shared" si="213"/>
        <v>#VALUE!</v>
      </c>
      <c r="AO816" s="193" t="e">
        <f t="shared" si="214"/>
        <v>#VALUE!</v>
      </c>
      <c r="AP816" s="193"/>
      <c r="AQ816" s="204"/>
      <c r="AR816" s="204"/>
      <c r="AS816" s="204"/>
      <c r="AT816" s="205"/>
      <c r="AU816"/>
    </row>
    <row r="817" spans="2:47" ht="15" customHeight="1" x14ac:dyDescent="0.25">
      <c r="B817" s="206"/>
      <c r="C817" s="185"/>
      <c r="D817" s="164"/>
      <c r="E817" s="174"/>
      <c r="F817" s="164"/>
      <c r="G817" s="174"/>
      <c r="H817" s="164"/>
      <c r="I817" s="174"/>
      <c r="J817" s="184"/>
      <c r="K817" s="186"/>
      <c r="L817" s="187" t="str">
        <f t="shared" si="215"/>
        <v/>
      </c>
      <c r="M817" s="187" t="str">
        <f t="shared" si="216"/>
        <v/>
      </c>
      <c r="N817" s="187" t="str">
        <f t="shared" si="208"/>
        <v>D</v>
      </c>
      <c r="O817" s="187" t="str">
        <f t="shared" si="217"/>
        <v>D</v>
      </c>
      <c r="P817" s="187">
        <f t="shared" si="218"/>
        <v>1</v>
      </c>
      <c r="Q817" s="187">
        <f>IFERROR(VLOOKUP(E817,Tabela_Deflator:E$43,5,FALSE),1)</f>
        <v>1</v>
      </c>
      <c r="R817" s="188" t="str">
        <f t="shared" si="219"/>
        <v/>
      </c>
      <c r="S817" s="237" t="str">
        <f t="shared" si="209"/>
        <v/>
      </c>
      <c r="T817" s="237" t="str">
        <f t="shared" si="224"/>
        <v/>
      </c>
      <c r="U817" s="189"/>
      <c r="V817" s="167"/>
      <c r="W817" s="165"/>
      <c r="X817" s="164"/>
      <c r="Y817" s="164"/>
      <c r="Z817" s="164"/>
      <c r="AA817" s="174"/>
      <c r="AB817" s="164"/>
      <c r="AC817" s="174"/>
      <c r="AD817" s="184"/>
      <c r="AE817" s="190" t="str">
        <f t="shared" si="220"/>
        <v/>
      </c>
      <c r="AF817" s="190" t="str">
        <f t="shared" si="221"/>
        <v/>
      </c>
      <c r="AG817" s="190" t="str">
        <f t="shared" si="210"/>
        <v>D</v>
      </c>
      <c r="AH817" s="190">
        <f>IFERROR(VLOOKUP(Y817,SISP_Deflatores_e_INMs!B$4:F$49,3,FALSE),1)</f>
        <v>1</v>
      </c>
      <c r="AI817" s="190">
        <f>IFERROR(VLOOKUP(Y817,SISP_Deflatores_e_INMs!B$4:G$49,5,FALSE),1)</f>
        <v>1</v>
      </c>
      <c r="AJ817" s="191" t="str">
        <f t="shared" si="222"/>
        <v/>
      </c>
      <c r="AK817" s="237" t="str">
        <f t="shared" si="211"/>
        <v/>
      </c>
      <c r="AL817" s="237" t="str">
        <f t="shared" si="223"/>
        <v/>
      </c>
      <c r="AM817" s="192" t="e">
        <f t="shared" si="212"/>
        <v>#VALUE!</v>
      </c>
      <c r="AN817" s="193" t="e">
        <f t="shared" si="213"/>
        <v>#VALUE!</v>
      </c>
      <c r="AO817" s="193" t="e">
        <f t="shared" si="214"/>
        <v>#VALUE!</v>
      </c>
      <c r="AP817" s="193"/>
      <c r="AQ817" s="204"/>
      <c r="AR817" s="204"/>
      <c r="AS817" s="204"/>
      <c r="AT817" s="205"/>
      <c r="AU817"/>
    </row>
    <row r="818" spans="2:47" ht="15" customHeight="1" x14ac:dyDescent="0.25">
      <c r="B818" s="206"/>
      <c r="C818" s="185"/>
      <c r="D818" s="164"/>
      <c r="E818" s="174"/>
      <c r="F818" s="164"/>
      <c r="G818" s="174"/>
      <c r="H818" s="164"/>
      <c r="I818" s="174"/>
      <c r="J818" s="184"/>
      <c r="K818" s="186"/>
      <c r="L818" s="187" t="str">
        <f t="shared" si="215"/>
        <v/>
      </c>
      <c r="M818" s="187" t="str">
        <f t="shared" si="216"/>
        <v/>
      </c>
      <c r="N818" s="187" t="str">
        <f t="shared" si="208"/>
        <v>D</v>
      </c>
      <c r="O818" s="187" t="str">
        <f t="shared" si="217"/>
        <v>D</v>
      </c>
      <c r="P818" s="187">
        <f t="shared" si="218"/>
        <v>1</v>
      </c>
      <c r="Q818" s="187">
        <f>IFERROR(VLOOKUP(E818,Tabela_Deflator:E$43,5,FALSE),1)</f>
        <v>1</v>
      </c>
      <c r="R818" s="188" t="str">
        <f t="shared" si="219"/>
        <v/>
      </c>
      <c r="S818" s="237" t="str">
        <f t="shared" si="209"/>
        <v/>
      </c>
      <c r="T818" s="237" t="str">
        <f t="shared" si="224"/>
        <v/>
      </c>
      <c r="U818" s="189"/>
      <c r="V818" s="167"/>
      <c r="W818" s="165"/>
      <c r="X818" s="164"/>
      <c r="Y818" s="164"/>
      <c r="Z818" s="164"/>
      <c r="AA818" s="174"/>
      <c r="AB818" s="164"/>
      <c r="AC818" s="174"/>
      <c r="AD818" s="184"/>
      <c r="AE818" s="190" t="str">
        <f t="shared" si="220"/>
        <v/>
      </c>
      <c r="AF818" s="190" t="str">
        <f t="shared" si="221"/>
        <v/>
      </c>
      <c r="AG818" s="190" t="str">
        <f t="shared" si="210"/>
        <v>D</v>
      </c>
      <c r="AH818" s="190">
        <f>IFERROR(VLOOKUP(Y818,SISP_Deflatores_e_INMs!B$4:F$49,3,FALSE),1)</f>
        <v>1</v>
      </c>
      <c r="AI818" s="190">
        <f>IFERROR(VLOOKUP(Y818,SISP_Deflatores_e_INMs!B$4:G$49,5,FALSE),1)</f>
        <v>1</v>
      </c>
      <c r="AJ818" s="191" t="str">
        <f t="shared" si="222"/>
        <v/>
      </c>
      <c r="AK818" s="237" t="str">
        <f t="shared" si="211"/>
        <v/>
      </c>
      <c r="AL818" s="237" t="str">
        <f t="shared" si="223"/>
        <v/>
      </c>
      <c r="AM818" s="192" t="e">
        <f t="shared" si="212"/>
        <v>#VALUE!</v>
      </c>
      <c r="AN818" s="193" t="e">
        <f t="shared" si="213"/>
        <v>#VALUE!</v>
      </c>
      <c r="AO818" s="193" t="e">
        <f t="shared" si="214"/>
        <v>#VALUE!</v>
      </c>
      <c r="AP818" s="193"/>
      <c r="AQ818" s="204"/>
      <c r="AR818" s="204"/>
      <c r="AS818" s="204"/>
      <c r="AT818" s="205"/>
      <c r="AU818"/>
    </row>
    <row r="819" spans="2:47" ht="15" customHeight="1" x14ac:dyDescent="0.25">
      <c r="B819" s="206"/>
      <c r="C819" s="185"/>
      <c r="D819" s="164"/>
      <c r="E819" s="174"/>
      <c r="F819" s="164"/>
      <c r="G819" s="174"/>
      <c r="H819" s="164"/>
      <c r="I819" s="174"/>
      <c r="J819" s="184"/>
      <c r="K819" s="186"/>
      <c r="L819" s="187" t="str">
        <f t="shared" si="215"/>
        <v/>
      </c>
      <c r="M819" s="187" t="str">
        <f t="shared" si="216"/>
        <v/>
      </c>
      <c r="N819" s="187" t="str">
        <f t="shared" si="208"/>
        <v>D</v>
      </c>
      <c r="O819" s="187" t="str">
        <f t="shared" si="217"/>
        <v>D</v>
      </c>
      <c r="P819" s="187">
        <f t="shared" si="218"/>
        <v>1</v>
      </c>
      <c r="Q819" s="187">
        <f>IFERROR(VLOOKUP(E819,Tabela_Deflator:E$43,5,FALSE),1)</f>
        <v>1</v>
      </c>
      <c r="R819" s="188" t="str">
        <f t="shared" si="219"/>
        <v/>
      </c>
      <c r="S819" s="237" t="str">
        <f t="shared" si="209"/>
        <v/>
      </c>
      <c r="T819" s="237" t="str">
        <f t="shared" si="224"/>
        <v/>
      </c>
      <c r="U819" s="189"/>
      <c r="V819" s="167"/>
      <c r="W819" s="165"/>
      <c r="X819" s="164"/>
      <c r="Y819" s="164"/>
      <c r="Z819" s="164"/>
      <c r="AA819" s="174"/>
      <c r="AB819" s="164"/>
      <c r="AC819" s="174"/>
      <c r="AD819" s="184"/>
      <c r="AE819" s="190" t="str">
        <f t="shared" si="220"/>
        <v/>
      </c>
      <c r="AF819" s="190" t="str">
        <f t="shared" si="221"/>
        <v/>
      </c>
      <c r="AG819" s="190" t="str">
        <f t="shared" si="210"/>
        <v>D</v>
      </c>
      <c r="AH819" s="190">
        <f>IFERROR(VLOOKUP(Y819,SISP_Deflatores_e_INMs!B$4:F$49,3,FALSE),1)</f>
        <v>1</v>
      </c>
      <c r="AI819" s="190">
        <f>IFERROR(VLOOKUP(Y819,SISP_Deflatores_e_INMs!B$4:G$49,5,FALSE),1)</f>
        <v>1</v>
      </c>
      <c r="AJ819" s="191" t="str">
        <f t="shared" si="222"/>
        <v/>
      </c>
      <c r="AK819" s="237" t="str">
        <f t="shared" si="211"/>
        <v/>
      </c>
      <c r="AL819" s="237" t="str">
        <f t="shared" si="223"/>
        <v/>
      </c>
      <c r="AM819" s="192" t="e">
        <f t="shared" si="212"/>
        <v>#VALUE!</v>
      </c>
      <c r="AN819" s="193" t="e">
        <f t="shared" si="213"/>
        <v>#VALUE!</v>
      </c>
      <c r="AO819" s="193" t="e">
        <f t="shared" si="214"/>
        <v>#VALUE!</v>
      </c>
      <c r="AP819" s="193"/>
      <c r="AQ819" s="204"/>
      <c r="AR819" s="204"/>
      <c r="AS819" s="204"/>
      <c r="AT819" s="205"/>
      <c r="AU819"/>
    </row>
    <row r="820" spans="2:47" ht="15" customHeight="1" x14ac:dyDescent="0.25">
      <c r="B820" s="206"/>
      <c r="C820" s="185"/>
      <c r="D820" s="164"/>
      <c r="E820" s="174"/>
      <c r="F820" s="164"/>
      <c r="G820" s="174"/>
      <c r="H820" s="164"/>
      <c r="I820" s="174"/>
      <c r="J820" s="184"/>
      <c r="K820" s="186"/>
      <c r="L820" s="187" t="str">
        <f t="shared" si="215"/>
        <v/>
      </c>
      <c r="M820" s="187" t="str">
        <f t="shared" si="216"/>
        <v/>
      </c>
      <c r="N820" s="187" t="str">
        <f t="shared" si="208"/>
        <v>D</v>
      </c>
      <c r="O820" s="187" t="str">
        <f t="shared" si="217"/>
        <v>D</v>
      </c>
      <c r="P820" s="187">
        <f t="shared" si="218"/>
        <v>1</v>
      </c>
      <c r="Q820" s="187">
        <f>IFERROR(VLOOKUP(E820,Tabela_Deflator:E$43,5,FALSE),1)</f>
        <v>1</v>
      </c>
      <c r="R820" s="188" t="str">
        <f t="shared" si="219"/>
        <v/>
      </c>
      <c r="S820" s="237" t="str">
        <f t="shared" si="209"/>
        <v/>
      </c>
      <c r="T820" s="237" t="str">
        <f t="shared" si="224"/>
        <v/>
      </c>
      <c r="U820" s="189"/>
      <c r="V820" s="167"/>
      <c r="W820" s="165"/>
      <c r="X820" s="164"/>
      <c r="Y820" s="164"/>
      <c r="Z820" s="164"/>
      <c r="AA820" s="174"/>
      <c r="AB820" s="164"/>
      <c r="AC820" s="174"/>
      <c r="AD820" s="184"/>
      <c r="AE820" s="190" t="str">
        <f t="shared" si="220"/>
        <v/>
      </c>
      <c r="AF820" s="190" t="str">
        <f t="shared" si="221"/>
        <v/>
      </c>
      <c r="AG820" s="190" t="str">
        <f t="shared" si="210"/>
        <v>D</v>
      </c>
      <c r="AH820" s="190">
        <f>IFERROR(VLOOKUP(Y820,SISP_Deflatores_e_INMs!B$4:F$49,3,FALSE),1)</f>
        <v>1</v>
      </c>
      <c r="AI820" s="190">
        <f>IFERROR(VLOOKUP(Y820,SISP_Deflatores_e_INMs!B$4:G$49,5,FALSE),1)</f>
        <v>1</v>
      </c>
      <c r="AJ820" s="191" t="str">
        <f t="shared" si="222"/>
        <v/>
      </c>
      <c r="AK820" s="237" t="str">
        <f t="shared" si="211"/>
        <v/>
      </c>
      <c r="AL820" s="237" t="str">
        <f t="shared" si="223"/>
        <v/>
      </c>
      <c r="AM820" s="192" t="e">
        <f t="shared" si="212"/>
        <v>#VALUE!</v>
      </c>
      <c r="AN820" s="193" t="e">
        <f t="shared" si="213"/>
        <v>#VALUE!</v>
      </c>
      <c r="AO820" s="193" t="e">
        <f t="shared" si="214"/>
        <v>#VALUE!</v>
      </c>
      <c r="AP820" s="193"/>
      <c r="AQ820" s="204"/>
      <c r="AR820" s="204"/>
      <c r="AS820" s="204"/>
      <c r="AT820" s="205"/>
      <c r="AU820"/>
    </row>
    <row r="821" spans="2:47" ht="15" customHeight="1" x14ac:dyDescent="0.25">
      <c r="B821" s="206"/>
      <c r="C821" s="185"/>
      <c r="D821" s="164"/>
      <c r="E821" s="174"/>
      <c r="F821" s="164"/>
      <c r="G821" s="174"/>
      <c r="H821" s="164"/>
      <c r="I821" s="174"/>
      <c r="J821" s="184"/>
      <c r="K821" s="186"/>
      <c r="L821" s="187" t="str">
        <f t="shared" si="215"/>
        <v/>
      </c>
      <c r="M821" s="187" t="str">
        <f t="shared" si="216"/>
        <v/>
      </c>
      <c r="N821" s="187" t="str">
        <f t="shared" si="208"/>
        <v>D</v>
      </c>
      <c r="O821" s="187" t="str">
        <f t="shared" si="217"/>
        <v>D</v>
      </c>
      <c r="P821" s="187">
        <f t="shared" si="218"/>
        <v>1</v>
      </c>
      <c r="Q821" s="187">
        <f>IFERROR(VLOOKUP(E821,Tabela_Deflator:E$43,5,FALSE),1)</f>
        <v>1</v>
      </c>
      <c r="R821" s="188" t="str">
        <f t="shared" si="219"/>
        <v/>
      </c>
      <c r="S821" s="237" t="str">
        <f t="shared" si="209"/>
        <v/>
      </c>
      <c r="T821" s="237" t="str">
        <f t="shared" si="224"/>
        <v/>
      </c>
      <c r="U821" s="189"/>
      <c r="V821" s="167"/>
      <c r="W821" s="165"/>
      <c r="X821" s="164"/>
      <c r="Y821" s="164"/>
      <c r="Z821" s="164"/>
      <c r="AA821" s="174"/>
      <c r="AB821" s="164"/>
      <c r="AC821" s="174"/>
      <c r="AD821" s="184"/>
      <c r="AE821" s="190" t="str">
        <f t="shared" si="220"/>
        <v/>
      </c>
      <c r="AF821" s="190" t="str">
        <f t="shared" si="221"/>
        <v/>
      </c>
      <c r="AG821" s="190" t="str">
        <f t="shared" si="210"/>
        <v>D</v>
      </c>
      <c r="AH821" s="190">
        <f>IFERROR(VLOOKUP(Y821,SISP_Deflatores_e_INMs!B$4:F$49,3,FALSE),1)</f>
        <v>1</v>
      </c>
      <c r="AI821" s="190">
        <f>IFERROR(VLOOKUP(Y821,SISP_Deflatores_e_INMs!B$4:G$49,5,FALSE),1)</f>
        <v>1</v>
      </c>
      <c r="AJ821" s="191" t="str">
        <f t="shared" si="222"/>
        <v/>
      </c>
      <c r="AK821" s="237" t="str">
        <f t="shared" si="211"/>
        <v/>
      </c>
      <c r="AL821" s="237" t="str">
        <f t="shared" si="223"/>
        <v/>
      </c>
      <c r="AM821" s="192" t="e">
        <f t="shared" si="212"/>
        <v>#VALUE!</v>
      </c>
      <c r="AN821" s="193" t="e">
        <f t="shared" si="213"/>
        <v>#VALUE!</v>
      </c>
      <c r="AO821" s="193" t="e">
        <f t="shared" si="214"/>
        <v>#VALUE!</v>
      </c>
      <c r="AP821" s="193"/>
      <c r="AQ821" s="204"/>
      <c r="AR821" s="204"/>
      <c r="AS821" s="204"/>
      <c r="AT821" s="205"/>
      <c r="AU821"/>
    </row>
    <row r="822" spans="2:47" ht="15" customHeight="1" x14ac:dyDescent="0.25">
      <c r="B822" s="206"/>
      <c r="C822" s="185"/>
      <c r="D822" s="164"/>
      <c r="E822" s="174"/>
      <c r="F822" s="164"/>
      <c r="G822" s="174"/>
      <c r="H822" s="164"/>
      <c r="I822" s="174"/>
      <c r="J822" s="184"/>
      <c r="K822" s="186"/>
      <c r="L822" s="187" t="str">
        <f t="shared" si="215"/>
        <v/>
      </c>
      <c r="M822" s="187" t="str">
        <f t="shared" si="216"/>
        <v/>
      </c>
      <c r="N822" s="187" t="str">
        <f t="shared" si="208"/>
        <v>D</v>
      </c>
      <c r="O822" s="187" t="str">
        <f t="shared" si="217"/>
        <v>D</v>
      </c>
      <c r="P822" s="187">
        <f t="shared" si="218"/>
        <v>1</v>
      </c>
      <c r="Q822" s="187">
        <f>IFERROR(VLOOKUP(E822,Tabela_Deflator:E$43,5,FALSE),1)</f>
        <v>1</v>
      </c>
      <c r="R822" s="188" t="str">
        <f t="shared" si="219"/>
        <v/>
      </c>
      <c r="S822" s="237" t="str">
        <f t="shared" si="209"/>
        <v/>
      </c>
      <c r="T822" s="237" t="str">
        <f t="shared" si="224"/>
        <v/>
      </c>
      <c r="U822" s="189"/>
      <c r="V822" s="167"/>
      <c r="W822" s="165"/>
      <c r="X822" s="164"/>
      <c r="Y822" s="164"/>
      <c r="Z822" s="164"/>
      <c r="AA822" s="174"/>
      <c r="AB822" s="164"/>
      <c r="AC822" s="174"/>
      <c r="AD822" s="184"/>
      <c r="AE822" s="190" t="str">
        <f t="shared" si="220"/>
        <v/>
      </c>
      <c r="AF822" s="190" t="str">
        <f t="shared" si="221"/>
        <v/>
      </c>
      <c r="AG822" s="190" t="str">
        <f t="shared" si="210"/>
        <v>D</v>
      </c>
      <c r="AH822" s="190">
        <f>IFERROR(VLOOKUP(Y822,SISP_Deflatores_e_INMs!B$4:F$49,3,FALSE),1)</f>
        <v>1</v>
      </c>
      <c r="AI822" s="190">
        <f>IFERROR(VLOOKUP(Y822,SISP_Deflatores_e_INMs!B$4:G$49,5,FALSE),1)</f>
        <v>1</v>
      </c>
      <c r="AJ822" s="191" t="str">
        <f t="shared" si="222"/>
        <v/>
      </c>
      <c r="AK822" s="237" t="str">
        <f t="shared" si="211"/>
        <v/>
      </c>
      <c r="AL822" s="237" t="str">
        <f t="shared" si="223"/>
        <v/>
      </c>
      <c r="AM822" s="192" t="e">
        <f t="shared" si="212"/>
        <v>#VALUE!</v>
      </c>
      <c r="AN822" s="193" t="e">
        <f t="shared" si="213"/>
        <v>#VALUE!</v>
      </c>
      <c r="AO822" s="193" t="e">
        <f t="shared" si="214"/>
        <v>#VALUE!</v>
      </c>
      <c r="AP822" s="193"/>
      <c r="AQ822" s="204"/>
      <c r="AR822" s="204"/>
      <c r="AS822" s="204"/>
      <c r="AT822" s="205"/>
      <c r="AU822"/>
    </row>
    <row r="823" spans="2:47" ht="15" customHeight="1" x14ac:dyDescent="0.25">
      <c r="B823" s="206"/>
      <c r="C823" s="185"/>
      <c r="D823" s="164"/>
      <c r="E823" s="174"/>
      <c r="F823" s="164"/>
      <c r="G823" s="174"/>
      <c r="H823" s="164"/>
      <c r="I823" s="174"/>
      <c r="J823" s="184"/>
      <c r="K823" s="186"/>
      <c r="L823" s="187" t="str">
        <f t="shared" si="215"/>
        <v/>
      </c>
      <c r="M823" s="187" t="str">
        <f t="shared" si="216"/>
        <v/>
      </c>
      <c r="N823" s="187" t="str">
        <f t="shared" si="208"/>
        <v>D</v>
      </c>
      <c r="O823" s="187" t="str">
        <f t="shared" si="217"/>
        <v>D</v>
      </c>
      <c r="P823" s="187">
        <f t="shared" si="218"/>
        <v>1</v>
      </c>
      <c r="Q823" s="187">
        <f>IFERROR(VLOOKUP(E823,Tabela_Deflator:E$43,5,FALSE),1)</f>
        <v>1</v>
      </c>
      <c r="R823" s="188" t="str">
        <f t="shared" si="219"/>
        <v/>
      </c>
      <c r="S823" s="237" t="str">
        <f t="shared" si="209"/>
        <v/>
      </c>
      <c r="T823" s="237" t="str">
        <f t="shared" si="224"/>
        <v/>
      </c>
      <c r="U823" s="189"/>
      <c r="V823" s="167"/>
      <c r="W823" s="165"/>
      <c r="X823" s="164"/>
      <c r="Y823" s="164"/>
      <c r="Z823" s="164"/>
      <c r="AA823" s="174"/>
      <c r="AB823" s="164"/>
      <c r="AC823" s="174"/>
      <c r="AD823" s="184"/>
      <c r="AE823" s="190" t="str">
        <f t="shared" si="220"/>
        <v/>
      </c>
      <c r="AF823" s="190" t="str">
        <f t="shared" si="221"/>
        <v/>
      </c>
      <c r="AG823" s="190" t="str">
        <f t="shared" si="210"/>
        <v>D</v>
      </c>
      <c r="AH823" s="190">
        <f>IFERROR(VLOOKUP(Y823,SISP_Deflatores_e_INMs!B$4:F$49,3,FALSE),1)</f>
        <v>1</v>
      </c>
      <c r="AI823" s="190">
        <f>IFERROR(VLOOKUP(Y823,SISP_Deflatores_e_INMs!B$4:G$49,5,FALSE),1)</f>
        <v>1</v>
      </c>
      <c r="AJ823" s="191" t="str">
        <f t="shared" si="222"/>
        <v/>
      </c>
      <c r="AK823" s="237" t="str">
        <f t="shared" si="211"/>
        <v/>
      </c>
      <c r="AL823" s="237" t="str">
        <f t="shared" si="223"/>
        <v/>
      </c>
      <c r="AM823" s="192" t="e">
        <f t="shared" si="212"/>
        <v>#VALUE!</v>
      </c>
      <c r="AN823" s="193" t="e">
        <f t="shared" si="213"/>
        <v>#VALUE!</v>
      </c>
      <c r="AO823" s="193" t="e">
        <f t="shared" si="214"/>
        <v>#VALUE!</v>
      </c>
      <c r="AP823" s="193"/>
      <c r="AQ823" s="204"/>
      <c r="AR823" s="204"/>
      <c r="AS823" s="204"/>
      <c r="AT823" s="205"/>
      <c r="AU823"/>
    </row>
    <row r="824" spans="2:47" ht="15" customHeight="1" x14ac:dyDescent="0.25">
      <c r="B824" s="206"/>
      <c r="C824" s="185"/>
      <c r="D824" s="164"/>
      <c r="E824" s="174"/>
      <c r="F824" s="164"/>
      <c r="G824" s="174"/>
      <c r="H824" s="164"/>
      <c r="I824" s="174"/>
      <c r="J824" s="184"/>
      <c r="K824" s="186"/>
      <c r="L824" s="187" t="str">
        <f t="shared" si="215"/>
        <v/>
      </c>
      <c r="M824" s="187" t="str">
        <f t="shared" si="216"/>
        <v/>
      </c>
      <c r="N824" s="187" t="str">
        <f t="shared" si="208"/>
        <v>D</v>
      </c>
      <c r="O824" s="187" t="str">
        <f t="shared" si="217"/>
        <v>D</v>
      </c>
      <c r="P824" s="187">
        <f t="shared" si="218"/>
        <v>1</v>
      </c>
      <c r="Q824" s="187">
        <f>IFERROR(VLOOKUP(E824,Tabela_Deflator:E$43,5,FALSE),1)</f>
        <v>1</v>
      </c>
      <c r="R824" s="188" t="str">
        <f t="shared" si="219"/>
        <v/>
      </c>
      <c r="S824" s="237" t="str">
        <f t="shared" si="209"/>
        <v/>
      </c>
      <c r="T824" s="237" t="str">
        <f t="shared" si="224"/>
        <v/>
      </c>
      <c r="U824" s="189"/>
      <c r="V824" s="167"/>
      <c r="W824" s="165"/>
      <c r="X824" s="164"/>
      <c r="Y824" s="164"/>
      <c r="Z824" s="164"/>
      <c r="AA824" s="174"/>
      <c r="AB824" s="164"/>
      <c r="AC824" s="174"/>
      <c r="AD824" s="184"/>
      <c r="AE824" s="190" t="str">
        <f t="shared" si="220"/>
        <v/>
      </c>
      <c r="AF824" s="190" t="str">
        <f t="shared" si="221"/>
        <v/>
      </c>
      <c r="AG824" s="190" t="str">
        <f t="shared" si="210"/>
        <v>D</v>
      </c>
      <c r="AH824" s="190">
        <f>IFERROR(VLOOKUP(Y824,SISP_Deflatores_e_INMs!B$4:F$49,3,FALSE),1)</f>
        <v>1</v>
      </c>
      <c r="AI824" s="190">
        <f>IFERROR(VLOOKUP(Y824,SISP_Deflatores_e_INMs!B$4:G$49,5,FALSE),1)</f>
        <v>1</v>
      </c>
      <c r="AJ824" s="191" t="str">
        <f t="shared" si="222"/>
        <v/>
      </c>
      <c r="AK824" s="237" t="str">
        <f t="shared" si="211"/>
        <v/>
      </c>
      <c r="AL824" s="237" t="str">
        <f t="shared" si="223"/>
        <v/>
      </c>
      <c r="AM824" s="192" t="e">
        <f t="shared" si="212"/>
        <v>#VALUE!</v>
      </c>
      <c r="AN824" s="193" t="e">
        <f t="shared" si="213"/>
        <v>#VALUE!</v>
      </c>
      <c r="AO824" s="193" t="e">
        <f t="shared" si="214"/>
        <v>#VALUE!</v>
      </c>
      <c r="AP824" s="193"/>
      <c r="AQ824" s="204"/>
      <c r="AR824" s="204"/>
      <c r="AS824" s="204"/>
      <c r="AT824" s="205"/>
      <c r="AU824"/>
    </row>
    <row r="825" spans="2:47" ht="15" customHeight="1" x14ac:dyDescent="0.25">
      <c r="B825" s="206"/>
      <c r="C825" s="185"/>
      <c r="D825" s="164"/>
      <c r="E825" s="174"/>
      <c r="F825" s="164"/>
      <c r="G825" s="174"/>
      <c r="H825" s="164"/>
      <c r="I825" s="174"/>
      <c r="J825" s="184"/>
      <c r="K825" s="186"/>
      <c r="L825" s="187" t="str">
        <f t="shared" si="215"/>
        <v/>
      </c>
      <c r="M825" s="187" t="str">
        <f t="shared" si="216"/>
        <v/>
      </c>
      <c r="N825" s="187" t="str">
        <f t="shared" si="208"/>
        <v>D</v>
      </c>
      <c r="O825" s="187" t="str">
        <f t="shared" si="217"/>
        <v>D</v>
      </c>
      <c r="P825" s="187">
        <f t="shared" si="218"/>
        <v>1</v>
      </c>
      <c r="Q825" s="187">
        <f>IFERROR(VLOOKUP(E825,Tabela_Deflator:E$43,5,FALSE),1)</f>
        <v>1</v>
      </c>
      <c r="R825" s="188" t="str">
        <f t="shared" si="219"/>
        <v/>
      </c>
      <c r="S825" s="237" t="str">
        <f t="shared" si="209"/>
        <v/>
      </c>
      <c r="T825" s="237" t="str">
        <f t="shared" si="224"/>
        <v/>
      </c>
      <c r="U825" s="189"/>
      <c r="V825" s="167"/>
      <c r="W825" s="165"/>
      <c r="X825" s="164"/>
      <c r="Y825" s="164"/>
      <c r="Z825" s="164"/>
      <c r="AA825" s="174"/>
      <c r="AB825" s="164"/>
      <c r="AC825" s="174"/>
      <c r="AD825" s="184"/>
      <c r="AE825" s="190" t="str">
        <f t="shared" si="220"/>
        <v/>
      </c>
      <c r="AF825" s="190" t="str">
        <f t="shared" si="221"/>
        <v/>
      </c>
      <c r="AG825" s="190" t="str">
        <f t="shared" si="210"/>
        <v>D</v>
      </c>
      <c r="AH825" s="190">
        <f>IFERROR(VLOOKUP(Y825,SISP_Deflatores_e_INMs!B$4:F$49,3,FALSE),1)</f>
        <v>1</v>
      </c>
      <c r="AI825" s="190">
        <f>IFERROR(VLOOKUP(Y825,SISP_Deflatores_e_INMs!B$4:G$49,5,FALSE),1)</f>
        <v>1</v>
      </c>
      <c r="AJ825" s="191" t="str">
        <f t="shared" si="222"/>
        <v/>
      </c>
      <c r="AK825" s="237" t="str">
        <f t="shared" si="211"/>
        <v/>
      </c>
      <c r="AL825" s="237" t="str">
        <f t="shared" si="223"/>
        <v/>
      </c>
      <c r="AM825" s="192" t="e">
        <f t="shared" si="212"/>
        <v>#VALUE!</v>
      </c>
      <c r="AN825" s="193" t="e">
        <f t="shared" si="213"/>
        <v>#VALUE!</v>
      </c>
      <c r="AO825" s="193" t="e">
        <f t="shared" si="214"/>
        <v>#VALUE!</v>
      </c>
      <c r="AP825" s="193"/>
      <c r="AQ825" s="204"/>
      <c r="AR825" s="204"/>
      <c r="AS825" s="204"/>
      <c r="AT825" s="205"/>
      <c r="AU825"/>
    </row>
    <row r="826" spans="2:47" ht="15" customHeight="1" x14ac:dyDescent="0.25">
      <c r="B826" s="206"/>
      <c r="C826" s="185"/>
      <c r="D826" s="164"/>
      <c r="E826" s="174"/>
      <c r="F826" s="164"/>
      <c r="G826" s="174"/>
      <c r="H826" s="164"/>
      <c r="I826" s="174"/>
      <c r="J826" s="184"/>
      <c r="K826" s="186"/>
      <c r="L826" s="187" t="str">
        <f t="shared" si="215"/>
        <v/>
      </c>
      <c r="M826" s="187" t="str">
        <f t="shared" si="216"/>
        <v/>
      </c>
      <c r="N826" s="187" t="str">
        <f t="shared" si="208"/>
        <v>D</v>
      </c>
      <c r="O826" s="187" t="str">
        <f t="shared" si="217"/>
        <v>D</v>
      </c>
      <c r="P826" s="187">
        <f t="shared" si="218"/>
        <v>1</v>
      </c>
      <c r="Q826" s="187">
        <f>IFERROR(VLOOKUP(E826,Tabela_Deflator:E$43,5,FALSE),1)</f>
        <v>1</v>
      </c>
      <c r="R826" s="188" t="str">
        <f t="shared" si="219"/>
        <v/>
      </c>
      <c r="S826" s="237" t="str">
        <f t="shared" si="209"/>
        <v/>
      </c>
      <c r="T826" s="237" t="str">
        <f t="shared" si="224"/>
        <v/>
      </c>
      <c r="U826" s="189"/>
      <c r="V826" s="167"/>
      <c r="W826" s="165"/>
      <c r="X826" s="164"/>
      <c r="Y826" s="164"/>
      <c r="Z826" s="164"/>
      <c r="AA826" s="174"/>
      <c r="AB826" s="164"/>
      <c r="AC826" s="174"/>
      <c r="AD826" s="184"/>
      <c r="AE826" s="190" t="str">
        <f t="shared" si="220"/>
        <v/>
      </c>
      <c r="AF826" s="190" t="str">
        <f t="shared" si="221"/>
        <v/>
      </c>
      <c r="AG826" s="190" t="str">
        <f t="shared" si="210"/>
        <v>D</v>
      </c>
      <c r="AH826" s="190">
        <f>IFERROR(VLOOKUP(Y826,SISP_Deflatores_e_INMs!B$4:F$49,3,FALSE),1)</f>
        <v>1</v>
      </c>
      <c r="AI826" s="190">
        <f>IFERROR(VLOOKUP(Y826,SISP_Deflatores_e_INMs!B$4:G$49,5,FALSE),1)</f>
        <v>1</v>
      </c>
      <c r="AJ826" s="191" t="str">
        <f t="shared" si="222"/>
        <v/>
      </c>
      <c r="AK826" s="237" t="str">
        <f t="shared" si="211"/>
        <v/>
      </c>
      <c r="AL826" s="237" t="str">
        <f t="shared" si="223"/>
        <v/>
      </c>
      <c r="AM826" s="192" t="e">
        <f t="shared" si="212"/>
        <v>#VALUE!</v>
      </c>
      <c r="AN826" s="193" t="e">
        <f t="shared" si="213"/>
        <v>#VALUE!</v>
      </c>
      <c r="AO826" s="193" t="e">
        <f t="shared" si="214"/>
        <v>#VALUE!</v>
      </c>
      <c r="AP826" s="193"/>
      <c r="AQ826" s="204"/>
      <c r="AR826" s="204"/>
      <c r="AS826" s="204"/>
      <c r="AT826" s="205"/>
      <c r="AU826"/>
    </row>
    <row r="827" spans="2:47" ht="15" customHeight="1" x14ac:dyDescent="0.25">
      <c r="B827" s="206"/>
      <c r="C827" s="185"/>
      <c r="D827" s="164"/>
      <c r="E827" s="174"/>
      <c r="F827" s="164"/>
      <c r="G827" s="174"/>
      <c r="H827" s="164"/>
      <c r="I827" s="174"/>
      <c r="J827" s="184"/>
      <c r="K827" s="186"/>
      <c r="L827" s="187" t="str">
        <f t="shared" si="215"/>
        <v/>
      </c>
      <c r="M827" s="187" t="str">
        <f t="shared" si="216"/>
        <v/>
      </c>
      <c r="N827" s="187" t="str">
        <f t="shared" si="208"/>
        <v>D</v>
      </c>
      <c r="O827" s="187" t="str">
        <f t="shared" si="217"/>
        <v>D</v>
      </c>
      <c r="P827" s="187">
        <f t="shared" si="218"/>
        <v>1</v>
      </c>
      <c r="Q827" s="187">
        <f>IFERROR(VLOOKUP(E827,Tabela_Deflator:E$43,5,FALSE),1)</f>
        <v>1</v>
      </c>
      <c r="R827" s="188" t="str">
        <f t="shared" si="219"/>
        <v/>
      </c>
      <c r="S827" s="237" t="str">
        <f t="shared" si="209"/>
        <v/>
      </c>
      <c r="T827" s="237" t="str">
        <f t="shared" si="224"/>
        <v/>
      </c>
      <c r="U827" s="189"/>
      <c r="V827" s="167"/>
      <c r="W827" s="165"/>
      <c r="X827" s="164"/>
      <c r="Y827" s="164"/>
      <c r="Z827" s="164"/>
      <c r="AA827" s="174"/>
      <c r="AB827" s="164"/>
      <c r="AC827" s="174"/>
      <c r="AD827" s="184"/>
      <c r="AE827" s="190" t="str">
        <f t="shared" si="220"/>
        <v/>
      </c>
      <c r="AF827" s="190" t="str">
        <f t="shared" si="221"/>
        <v/>
      </c>
      <c r="AG827" s="190" t="str">
        <f t="shared" si="210"/>
        <v>D</v>
      </c>
      <c r="AH827" s="190">
        <f>IFERROR(VLOOKUP(Y827,SISP_Deflatores_e_INMs!B$4:F$49,3,FALSE),1)</f>
        <v>1</v>
      </c>
      <c r="AI827" s="190">
        <f>IFERROR(VLOOKUP(Y827,SISP_Deflatores_e_INMs!B$4:G$49,5,FALSE),1)</f>
        <v>1</v>
      </c>
      <c r="AJ827" s="191" t="str">
        <f t="shared" si="222"/>
        <v/>
      </c>
      <c r="AK827" s="237" t="str">
        <f t="shared" si="211"/>
        <v/>
      </c>
      <c r="AL827" s="237" t="str">
        <f t="shared" si="223"/>
        <v/>
      </c>
      <c r="AM827" s="192" t="e">
        <f t="shared" si="212"/>
        <v>#VALUE!</v>
      </c>
      <c r="AN827" s="193" t="e">
        <f t="shared" si="213"/>
        <v>#VALUE!</v>
      </c>
      <c r="AO827" s="193" t="e">
        <f t="shared" si="214"/>
        <v>#VALUE!</v>
      </c>
      <c r="AP827" s="193"/>
      <c r="AQ827" s="204"/>
      <c r="AR827" s="204"/>
      <c r="AS827" s="204"/>
      <c r="AT827" s="205"/>
      <c r="AU827"/>
    </row>
    <row r="828" spans="2:47" ht="15" customHeight="1" x14ac:dyDescent="0.25">
      <c r="B828" s="206"/>
      <c r="C828" s="185"/>
      <c r="D828" s="164"/>
      <c r="E828" s="174"/>
      <c r="F828" s="164"/>
      <c r="G828" s="174"/>
      <c r="H828" s="164"/>
      <c r="I828" s="174"/>
      <c r="J828" s="184"/>
      <c r="K828" s="186"/>
      <c r="L828" s="187" t="str">
        <f t="shared" si="215"/>
        <v/>
      </c>
      <c r="M828" s="187" t="str">
        <f t="shared" si="216"/>
        <v/>
      </c>
      <c r="N828" s="187" t="str">
        <f t="shared" si="208"/>
        <v>D</v>
      </c>
      <c r="O828" s="187" t="str">
        <f t="shared" si="217"/>
        <v>D</v>
      </c>
      <c r="P828" s="187">
        <f t="shared" si="218"/>
        <v>1</v>
      </c>
      <c r="Q828" s="187">
        <f>IFERROR(VLOOKUP(E828,Tabela_Deflator:E$43,5,FALSE),1)</f>
        <v>1</v>
      </c>
      <c r="R828" s="188" t="str">
        <f t="shared" si="219"/>
        <v/>
      </c>
      <c r="S828" s="237" t="str">
        <f t="shared" si="209"/>
        <v/>
      </c>
      <c r="T828" s="237" t="str">
        <f t="shared" si="224"/>
        <v/>
      </c>
      <c r="U828" s="189"/>
      <c r="V828" s="167"/>
      <c r="W828" s="165"/>
      <c r="X828" s="164"/>
      <c r="Y828" s="164"/>
      <c r="Z828" s="164"/>
      <c r="AA828" s="174"/>
      <c r="AB828" s="164"/>
      <c r="AC828" s="174"/>
      <c r="AD828" s="184"/>
      <c r="AE828" s="190" t="str">
        <f t="shared" si="220"/>
        <v/>
      </c>
      <c r="AF828" s="190" t="str">
        <f t="shared" si="221"/>
        <v/>
      </c>
      <c r="AG828" s="190" t="str">
        <f t="shared" si="210"/>
        <v>D</v>
      </c>
      <c r="AH828" s="190">
        <f>IFERROR(VLOOKUP(Y828,SISP_Deflatores_e_INMs!B$4:F$49,3,FALSE),1)</f>
        <v>1</v>
      </c>
      <c r="AI828" s="190">
        <f>IFERROR(VLOOKUP(Y828,SISP_Deflatores_e_INMs!B$4:G$49,5,FALSE),1)</f>
        <v>1</v>
      </c>
      <c r="AJ828" s="191" t="str">
        <f t="shared" si="222"/>
        <v/>
      </c>
      <c r="AK828" s="237" t="str">
        <f t="shared" si="211"/>
        <v/>
      </c>
      <c r="AL828" s="237" t="str">
        <f t="shared" si="223"/>
        <v/>
      </c>
      <c r="AM828" s="192" t="e">
        <f t="shared" si="212"/>
        <v>#VALUE!</v>
      </c>
      <c r="AN828" s="193" t="e">
        <f t="shared" si="213"/>
        <v>#VALUE!</v>
      </c>
      <c r="AO828" s="193" t="e">
        <f t="shared" si="214"/>
        <v>#VALUE!</v>
      </c>
      <c r="AP828" s="193"/>
      <c r="AQ828" s="204"/>
      <c r="AR828" s="204"/>
      <c r="AS828" s="204"/>
      <c r="AT828" s="205"/>
      <c r="AU828"/>
    </row>
    <row r="829" spans="2:47" ht="15" customHeight="1" x14ac:dyDescent="0.25">
      <c r="B829" s="206"/>
      <c r="C829" s="185"/>
      <c r="D829" s="164"/>
      <c r="E829" s="174"/>
      <c r="F829" s="164"/>
      <c r="G829" s="174"/>
      <c r="H829" s="164"/>
      <c r="I829" s="174"/>
      <c r="J829" s="184"/>
      <c r="K829" s="186"/>
      <c r="L829" s="187" t="str">
        <f t="shared" si="215"/>
        <v/>
      </c>
      <c r="M829" s="187" t="str">
        <f t="shared" si="216"/>
        <v/>
      </c>
      <c r="N829" s="187" t="str">
        <f t="shared" si="208"/>
        <v>D</v>
      </c>
      <c r="O829" s="187" t="str">
        <f t="shared" si="217"/>
        <v>D</v>
      </c>
      <c r="P829" s="187">
        <f t="shared" si="218"/>
        <v>1</v>
      </c>
      <c r="Q829" s="187">
        <f>IFERROR(VLOOKUP(E829,Tabela_Deflator:E$43,5,FALSE),1)</f>
        <v>1</v>
      </c>
      <c r="R829" s="188" t="str">
        <f t="shared" si="219"/>
        <v/>
      </c>
      <c r="S829" s="237" t="str">
        <f t="shared" si="209"/>
        <v/>
      </c>
      <c r="T829" s="237" t="str">
        <f t="shared" si="224"/>
        <v/>
      </c>
      <c r="U829" s="189"/>
      <c r="V829" s="167"/>
      <c r="W829" s="165"/>
      <c r="X829" s="164"/>
      <c r="Y829" s="164"/>
      <c r="Z829" s="164"/>
      <c r="AA829" s="174"/>
      <c r="AB829" s="164"/>
      <c r="AC829" s="174"/>
      <c r="AD829" s="184"/>
      <c r="AE829" s="190" t="str">
        <f t="shared" si="220"/>
        <v/>
      </c>
      <c r="AF829" s="190" t="str">
        <f t="shared" si="221"/>
        <v/>
      </c>
      <c r="AG829" s="190" t="str">
        <f t="shared" si="210"/>
        <v>D</v>
      </c>
      <c r="AH829" s="190">
        <f>IFERROR(VLOOKUP(Y829,SISP_Deflatores_e_INMs!B$4:F$49,3,FALSE),1)</f>
        <v>1</v>
      </c>
      <c r="AI829" s="190">
        <f>IFERROR(VLOOKUP(Y829,SISP_Deflatores_e_INMs!B$4:G$49,5,FALSE),1)</f>
        <v>1</v>
      </c>
      <c r="AJ829" s="191" t="str">
        <f t="shared" si="222"/>
        <v/>
      </c>
      <c r="AK829" s="237" t="str">
        <f t="shared" si="211"/>
        <v/>
      </c>
      <c r="AL829" s="237" t="str">
        <f t="shared" si="223"/>
        <v/>
      </c>
      <c r="AM829" s="192" t="e">
        <f t="shared" si="212"/>
        <v>#VALUE!</v>
      </c>
      <c r="AN829" s="193" t="e">
        <f t="shared" si="213"/>
        <v>#VALUE!</v>
      </c>
      <c r="AO829" s="193" t="e">
        <f t="shared" si="214"/>
        <v>#VALUE!</v>
      </c>
      <c r="AP829" s="193"/>
      <c r="AQ829" s="204"/>
      <c r="AR829" s="204"/>
      <c r="AS829" s="204"/>
      <c r="AT829" s="205"/>
      <c r="AU829"/>
    </row>
    <row r="830" spans="2:47" ht="15" customHeight="1" x14ac:dyDescent="0.25">
      <c r="B830" s="206"/>
      <c r="C830" s="185"/>
      <c r="D830" s="164"/>
      <c r="E830" s="174"/>
      <c r="F830" s="164"/>
      <c r="G830" s="174"/>
      <c r="H830" s="164"/>
      <c r="I830" s="174"/>
      <c r="J830" s="184"/>
      <c r="K830" s="186"/>
      <c r="L830" s="187" t="str">
        <f t="shared" si="215"/>
        <v/>
      </c>
      <c r="M830" s="187" t="str">
        <f t="shared" si="216"/>
        <v/>
      </c>
      <c r="N830" s="187" t="str">
        <f t="shared" si="208"/>
        <v>D</v>
      </c>
      <c r="O830" s="187" t="str">
        <f t="shared" si="217"/>
        <v>D</v>
      </c>
      <c r="P830" s="187">
        <f t="shared" si="218"/>
        <v>1</v>
      </c>
      <c r="Q830" s="187">
        <f>IFERROR(VLOOKUP(E830,Tabela_Deflator:E$43,5,FALSE),1)</f>
        <v>1</v>
      </c>
      <c r="R830" s="188" t="str">
        <f t="shared" si="219"/>
        <v/>
      </c>
      <c r="S830" s="237" t="str">
        <f t="shared" si="209"/>
        <v/>
      </c>
      <c r="T830" s="237" t="str">
        <f t="shared" si="224"/>
        <v/>
      </c>
      <c r="U830" s="189"/>
      <c r="V830" s="167"/>
      <c r="W830" s="165"/>
      <c r="X830" s="164"/>
      <c r="Y830" s="164"/>
      <c r="Z830" s="164"/>
      <c r="AA830" s="174"/>
      <c r="AB830" s="164"/>
      <c r="AC830" s="174"/>
      <c r="AD830" s="184"/>
      <c r="AE830" s="190" t="str">
        <f t="shared" si="220"/>
        <v/>
      </c>
      <c r="AF830" s="190" t="str">
        <f t="shared" si="221"/>
        <v/>
      </c>
      <c r="AG830" s="190" t="str">
        <f t="shared" si="210"/>
        <v>D</v>
      </c>
      <c r="AH830" s="190">
        <f>IFERROR(VLOOKUP(Y830,SISP_Deflatores_e_INMs!B$4:F$49,3,FALSE),1)</f>
        <v>1</v>
      </c>
      <c r="AI830" s="190">
        <f>IFERROR(VLOOKUP(Y830,SISP_Deflatores_e_INMs!B$4:G$49,5,FALSE),1)</f>
        <v>1</v>
      </c>
      <c r="AJ830" s="191" t="str">
        <f t="shared" si="222"/>
        <v/>
      </c>
      <c r="AK830" s="237" t="str">
        <f t="shared" si="211"/>
        <v/>
      </c>
      <c r="AL830" s="237" t="str">
        <f t="shared" si="223"/>
        <v/>
      </c>
      <c r="AM830" s="192" t="e">
        <f t="shared" si="212"/>
        <v>#VALUE!</v>
      </c>
      <c r="AN830" s="193" t="e">
        <f t="shared" si="213"/>
        <v>#VALUE!</v>
      </c>
      <c r="AO830" s="193" t="e">
        <f t="shared" si="214"/>
        <v>#VALUE!</v>
      </c>
      <c r="AP830" s="193"/>
      <c r="AQ830" s="204"/>
      <c r="AR830" s="204"/>
      <c r="AS830" s="204"/>
      <c r="AT830" s="205"/>
      <c r="AU830"/>
    </row>
    <row r="831" spans="2:47" ht="15" customHeight="1" x14ac:dyDescent="0.25">
      <c r="B831" s="206"/>
      <c r="C831" s="185"/>
      <c r="D831" s="164"/>
      <c r="E831" s="174"/>
      <c r="F831" s="164"/>
      <c r="G831" s="174"/>
      <c r="H831" s="164"/>
      <c r="I831" s="174"/>
      <c r="J831" s="184"/>
      <c r="K831" s="186"/>
      <c r="L831" s="187" t="str">
        <f t="shared" si="215"/>
        <v/>
      </c>
      <c r="M831" s="187" t="str">
        <f t="shared" si="216"/>
        <v/>
      </c>
      <c r="N831" s="187" t="str">
        <f t="shared" si="208"/>
        <v>D</v>
      </c>
      <c r="O831" s="187" t="str">
        <f t="shared" si="217"/>
        <v>D</v>
      </c>
      <c r="P831" s="187">
        <f t="shared" si="218"/>
        <v>1</v>
      </c>
      <c r="Q831" s="187">
        <f>IFERROR(VLOOKUP(E831,Tabela_Deflator:E$43,5,FALSE),1)</f>
        <v>1</v>
      </c>
      <c r="R831" s="188" t="str">
        <f t="shared" si="219"/>
        <v/>
      </c>
      <c r="S831" s="237" t="str">
        <f t="shared" si="209"/>
        <v/>
      </c>
      <c r="T831" s="237" t="str">
        <f t="shared" si="224"/>
        <v/>
      </c>
      <c r="U831" s="189"/>
      <c r="V831" s="167"/>
      <c r="W831" s="165"/>
      <c r="X831" s="164"/>
      <c r="Y831" s="164"/>
      <c r="Z831" s="164"/>
      <c r="AA831" s="174"/>
      <c r="AB831" s="164"/>
      <c r="AC831" s="174"/>
      <c r="AD831" s="184"/>
      <c r="AE831" s="190" t="str">
        <f t="shared" si="220"/>
        <v/>
      </c>
      <c r="AF831" s="190" t="str">
        <f t="shared" si="221"/>
        <v/>
      </c>
      <c r="AG831" s="190" t="str">
        <f t="shared" si="210"/>
        <v>D</v>
      </c>
      <c r="AH831" s="190">
        <f>IFERROR(VLOOKUP(Y831,SISP_Deflatores_e_INMs!B$4:F$49,3,FALSE),1)</f>
        <v>1</v>
      </c>
      <c r="AI831" s="190">
        <f>IFERROR(VLOOKUP(Y831,SISP_Deflatores_e_INMs!B$4:G$49,5,FALSE),1)</f>
        <v>1</v>
      </c>
      <c r="AJ831" s="191" t="str">
        <f t="shared" si="222"/>
        <v/>
      </c>
      <c r="AK831" s="237" t="str">
        <f t="shared" si="211"/>
        <v/>
      </c>
      <c r="AL831" s="237" t="str">
        <f t="shared" si="223"/>
        <v/>
      </c>
      <c r="AM831" s="192" t="e">
        <f t="shared" si="212"/>
        <v>#VALUE!</v>
      </c>
      <c r="AN831" s="193" t="e">
        <f t="shared" si="213"/>
        <v>#VALUE!</v>
      </c>
      <c r="AO831" s="193" t="e">
        <f t="shared" si="214"/>
        <v>#VALUE!</v>
      </c>
      <c r="AP831" s="193"/>
      <c r="AQ831" s="204"/>
      <c r="AR831" s="204"/>
      <c r="AS831" s="204"/>
      <c r="AT831" s="205"/>
      <c r="AU831"/>
    </row>
    <row r="832" spans="2:47" ht="15" customHeight="1" x14ac:dyDescent="0.25">
      <c r="B832" s="206"/>
      <c r="C832" s="185"/>
      <c r="D832" s="164"/>
      <c r="E832" s="174"/>
      <c r="F832" s="164"/>
      <c r="G832" s="174"/>
      <c r="H832" s="164"/>
      <c r="I832" s="174"/>
      <c r="J832" s="184"/>
      <c r="K832" s="186"/>
      <c r="L832" s="187" t="str">
        <f t="shared" si="215"/>
        <v/>
      </c>
      <c r="M832" s="187" t="str">
        <f t="shared" si="216"/>
        <v/>
      </c>
      <c r="N832" s="187" t="str">
        <f t="shared" si="208"/>
        <v>D</v>
      </c>
      <c r="O832" s="187" t="str">
        <f t="shared" si="217"/>
        <v>D</v>
      </c>
      <c r="P832" s="187">
        <f t="shared" si="218"/>
        <v>1</v>
      </c>
      <c r="Q832" s="187">
        <f>IFERROR(VLOOKUP(E832,Tabela_Deflator:E$43,5,FALSE),1)</f>
        <v>1</v>
      </c>
      <c r="R832" s="188" t="str">
        <f t="shared" si="219"/>
        <v/>
      </c>
      <c r="S832" s="237" t="str">
        <f t="shared" si="209"/>
        <v/>
      </c>
      <c r="T832" s="237" t="str">
        <f t="shared" si="224"/>
        <v/>
      </c>
      <c r="U832" s="189"/>
      <c r="V832" s="167"/>
      <c r="W832" s="165"/>
      <c r="X832" s="164"/>
      <c r="Y832" s="164"/>
      <c r="Z832" s="164"/>
      <c r="AA832" s="174"/>
      <c r="AB832" s="164"/>
      <c r="AC832" s="174"/>
      <c r="AD832" s="184"/>
      <c r="AE832" s="190" t="str">
        <f t="shared" si="220"/>
        <v/>
      </c>
      <c r="AF832" s="190" t="str">
        <f t="shared" si="221"/>
        <v/>
      </c>
      <c r="AG832" s="190" t="str">
        <f t="shared" si="210"/>
        <v>D</v>
      </c>
      <c r="AH832" s="190">
        <f>IFERROR(VLOOKUP(Y832,SISP_Deflatores_e_INMs!B$4:F$49,3,FALSE),1)</f>
        <v>1</v>
      </c>
      <c r="AI832" s="190">
        <f>IFERROR(VLOOKUP(Y832,SISP_Deflatores_e_INMs!B$4:G$49,5,FALSE),1)</f>
        <v>1</v>
      </c>
      <c r="AJ832" s="191" t="str">
        <f t="shared" si="222"/>
        <v/>
      </c>
      <c r="AK832" s="237" t="str">
        <f t="shared" si="211"/>
        <v/>
      </c>
      <c r="AL832" s="237" t="str">
        <f t="shared" si="223"/>
        <v/>
      </c>
      <c r="AM832" s="192" t="e">
        <f t="shared" si="212"/>
        <v>#VALUE!</v>
      </c>
      <c r="AN832" s="193" t="e">
        <f t="shared" si="213"/>
        <v>#VALUE!</v>
      </c>
      <c r="AO832" s="193" t="e">
        <f t="shared" si="214"/>
        <v>#VALUE!</v>
      </c>
      <c r="AP832" s="193"/>
      <c r="AQ832" s="204"/>
      <c r="AR832" s="204"/>
      <c r="AS832" s="204"/>
      <c r="AT832" s="205"/>
      <c r="AU832"/>
    </row>
    <row r="833" spans="2:47" ht="15" customHeight="1" x14ac:dyDescent="0.25">
      <c r="B833" s="206"/>
      <c r="C833" s="185"/>
      <c r="D833" s="164"/>
      <c r="E833" s="174"/>
      <c r="F833" s="164"/>
      <c r="G833" s="174"/>
      <c r="H833" s="164"/>
      <c r="I833" s="174"/>
      <c r="J833" s="184"/>
      <c r="K833" s="186"/>
      <c r="L833" s="187" t="str">
        <f t="shared" si="215"/>
        <v/>
      </c>
      <c r="M833" s="187" t="str">
        <f t="shared" si="216"/>
        <v/>
      </c>
      <c r="N833" s="187" t="str">
        <f t="shared" si="208"/>
        <v>D</v>
      </c>
      <c r="O833" s="187" t="str">
        <f t="shared" si="217"/>
        <v>D</v>
      </c>
      <c r="P833" s="187">
        <f t="shared" si="218"/>
        <v>1</v>
      </c>
      <c r="Q833" s="187">
        <f>IFERROR(VLOOKUP(E833,Tabela_Deflator:E$43,5,FALSE),1)</f>
        <v>1</v>
      </c>
      <c r="R833" s="188" t="str">
        <f t="shared" si="219"/>
        <v/>
      </c>
      <c r="S833" s="237" t="str">
        <f t="shared" si="209"/>
        <v/>
      </c>
      <c r="T833" s="237" t="str">
        <f t="shared" si="224"/>
        <v/>
      </c>
      <c r="U833" s="189"/>
      <c r="V833" s="167"/>
      <c r="W833" s="165"/>
      <c r="X833" s="164"/>
      <c r="Y833" s="164"/>
      <c r="Z833" s="164"/>
      <c r="AA833" s="174"/>
      <c r="AB833" s="164"/>
      <c r="AC833" s="174"/>
      <c r="AD833" s="184"/>
      <c r="AE833" s="190" t="str">
        <f t="shared" si="220"/>
        <v/>
      </c>
      <c r="AF833" s="190" t="str">
        <f t="shared" si="221"/>
        <v/>
      </c>
      <c r="AG833" s="190" t="str">
        <f t="shared" si="210"/>
        <v>D</v>
      </c>
      <c r="AH833" s="190">
        <f>IFERROR(VLOOKUP(Y833,SISP_Deflatores_e_INMs!B$4:F$49,3,FALSE),1)</f>
        <v>1</v>
      </c>
      <c r="AI833" s="190">
        <f>IFERROR(VLOOKUP(Y833,SISP_Deflatores_e_INMs!B$4:G$49,5,FALSE),1)</f>
        <v>1</v>
      </c>
      <c r="AJ833" s="191" t="str">
        <f t="shared" si="222"/>
        <v/>
      </c>
      <c r="AK833" s="237" t="str">
        <f t="shared" si="211"/>
        <v/>
      </c>
      <c r="AL833" s="237" t="str">
        <f t="shared" si="223"/>
        <v/>
      </c>
      <c r="AM833" s="192" t="e">
        <f t="shared" si="212"/>
        <v>#VALUE!</v>
      </c>
      <c r="AN833" s="193" t="e">
        <f t="shared" si="213"/>
        <v>#VALUE!</v>
      </c>
      <c r="AO833" s="193" t="e">
        <f t="shared" si="214"/>
        <v>#VALUE!</v>
      </c>
      <c r="AP833" s="193"/>
      <c r="AQ833" s="204"/>
      <c r="AR833" s="204"/>
      <c r="AS833" s="204"/>
      <c r="AT833" s="205"/>
      <c r="AU833"/>
    </row>
    <row r="834" spans="2:47" ht="15" customHeight="1" x14ac:dyDescent="0.25">
      <c r="B834" s="206"/>
      <c r="C834" s="185"/>
      <c r="D834" s="164"/>
      <c r="E834" s="174"/>
      <c r="F834" s="164"/>
      <c r="G834" s="174"/>
      <c r="H834" s="164"/>
      <c r="I834" s="174"/>
      <c r="J834" s="184"/>
      <c r="K834" s="186"/>
      <c r="L834" s="187" t="str">
        <f t="shared" si="215"/>
        <v/>
      </c>
      <c r="M834" s="187" t="str">
        <f t="shared" si="216"/>
        <v/>
      </c>
      <c r="N834" s="187" t="str">
        <f t="shared" si="208"/>
        <v>D</v>
      </c>
      <c r="O834" s="187" t="str">
        <f t="shared" si="217"/>
        <v>D</v>
      </c>
      <c r="P834" s="187">
        <f t="shared" si="218"/>
        <v>1</v>
      </c>
      <c r="Q834" s="187">
        <f>IFERROR(VLOOKUP(E834,Tabela_Deflator:E$43,5,FALSE),1)</f>
        <v>1</v>
      </c>
      <c r="R834" s="188" t="str">
        <f t="shared" si="219"/>
        <v/>
      </c>
      <c r="S834" s="237" t="str">
        <f t="shared" si="209"/>
        <v/>
      </c>
      <c r="T834" s="237" t="str">
        <f t="shared" si="224"/>
        <v/>
      </c>
      <c r="U834" s="189"/>
      <c r="V834" s="167"/>
      <c r="W834" s="165"/>
      <c r="X834" s="164"/>
      <c r="Y834" s="164"/>
      <c r="Z834" s="164"/>
      <c r="AA834" s="174"/>
      <c r="AB834" s="164"/>
      <c r="AC834" s="174"/>
      <c r="AD834" s="184"/>
      <c r="AE834" s="190" t="str">
        <f t="shared" si="220"/>
        <v/>
      </c>
      <c r="AF834" s="190" t="str">
        <f t="shared" si="221"/>
        <v/>
      </c>
      <c r="AG834" s="190" t="str">
        <f t="shared" si="210"/>
        <v>D</v>
      </c>
      <c r="AH834" s="190">
        <f>IFERROR(VLOOKUP(Y834,SISP_Deflatores_e_INMs!B$4:F$49,3,FALSE),1)</f>
        <v>1</v>
      </c>
      <c r="AI834" s="190">
        <f>IFERROR(VLOOKUP(Y834,SISP_Deflatores_e_INMs!B$4:G$49,5,FALSE),1)</f>
        <v>1</v>
      </c>
      <c r="AJ834" s="191" t="str">
        <f t="shared" si="222"/>
        <v/>
      </c>
      <c r="AK834" s="237" t="str">
        <f t="shared" si="211"/>
        <v/>
      </c>
      <c r="AL834" s="237" t="str">
        <f t="shared" si="223"/>
        <v/>
      </c>
      <c r="AM834" s="192" t="e">
        <f t="shared" si="212"/>
        <v>#VALUE!</v>
      </c>
      <c r="AN834" s="193" t="e">
        <f t="shared" si="213"/>
        <v>#VALUE!</v>
      </c>
      <c r="AO834" s="193" t="e">
        <f t="shared" si="214"/>
        <v>#VALUE!</v>
      </c>
      <c r="AP834" s="193"/>
      <c r="AQ834" s="204"/>
      <c r="AR834" s="204"/>
      <c r="AS834" s="204"/>
      <c r="AT834" s="205"/>
      <c r="AU834"/>
    </row>
    <row r="835" spans="2:47" ht="15" customHeight="1" x14ac:dyDescent="0.25">
      <c r="B835" s="206"/>
      <c r="C835" s="185"/>
      <c r="D835" s="164"/>
      <c r="E835" s="174"/>
      <c r="F835" s="164"/>
      <c r="G835" s="174"/>
      <c r="H835" s="164"/>
      <c r="I835" s="174"/>
      <c r="J835" s="184"/>
      <c r="K835" s="186"/>
      <c r="L835" s="187" t="str">
        <f t="shared" si="215"/>
        <v/>
      </c>
      <c r="M835" s="187" t="str">
        <f t="shared" si="216"/>
        <v/>
      </c>
      <c r="N835" s="187" t="str">
        <f t="shared" si="208"/>
        <v>D</v>
      </c>
      <c r="O835" s="187" t="str">
        <f t="shared" si="217"/>
        <v>D</v>
      </c>
      <c r="P835" s="187">
        <f t="shared" si="218"/>
        <v>1</v>
      </c>
      <c r="Q835" s="187">
        <f>IFERROR(VLOOKUP(E835,Tabela_Deflator:E$43,5,FALSE),1)</f>
        <v>1</v>
      </c>
      <c r="R835" s="188" t="str">
        <f t="shared" si="219"/>
        <v/>
      </c>
      <c r="S835" s="237" t="str">
        <f t="shared" si="209"/>
        <v/>
      </c>
      <c r="T835" s="237" t="str">
        <f t="shared" si="224"/>
        <v/>
      </c>
      <c r="U835" s="189"/>
      <c r="V835" s="167"/>
      <c r="W835" s="165"/>
      <c r="X835" s="164"/>
      <c r="Y835" s="164"/>
      <c r="Z835" s="164"/>
      <c r="AA835" s="174"/>
      <c r="AB835" s="164"/>
      <c r="AC835" s="174"/>
      <c r="AD835" s="184"/>
      <c r="AE835" s="190" t="str">
        <f t="shared" si="220"/>
        <v/>
      </c>
      <c r="AF835" s="190" t="str">
        <f t="shared" si="221"/>
        <v/>
      </c>
      <c r="AG835" s="190" t="str">
        <f t="shared" si="210"/>
        <v>D</v>
      </c>
      <c r="AH835" s="190">
        <f>IFERROR(VLOOKUP(Y835,SISP_Deflatores_e_INMs!B$4:F$49,3,FALSE),1)</f>
        <v>1</v>
      </c>
      <c r="AI835" s="190">
        <f>IFERROR(VLOOKUP(Y835,SISP_Deflatores_e_INMs!B$4:G$49,5,FALSE),1)</f>
        <v>1</v>
      </c>
      <c r="AJ835" s="191" t="str">
        <f t="shared" si="222"/>
        <v/>
      </c>
      <c r="AK835" s="237" t="str">
        <f t="shared" si="211"/>
        <v/>
      </c>
      <c r="AL835" s="237" t="str">
        <f t="shared" si="223"/>
        <v/>
      </c>
      <c r="AM835" s="192" t="e">
        <f t="shared" si="212"/>
        <v>#VALUE!</v>
      </c>
      <c r="AN835" s="193" t="e">
        <f t="shared" si="213"/>
        <v>#VALUE!</v>
      </c>
      <c r="AO835" s="193" t="e">
        <f t="shared" si="214"/>
        <v>#VALUE!</v>
      </c>
      <c r="AP835" s="193"/>
      <c r="AQ835" s="204"/>
      <c r="AR835" s="204"/>
      <c r="AS835" s="204"/>
      <c r="AT835" s="205"/>
      <c r="AU835"/>
    </row>
    <row r="836" spans="2:47" ht="15" customHeight="1" x14ac:dyDescent="0.25">
      <c r="B836" s="206"/>
      <c r="C836" s="185"/>
      <c r="D836" s="164"/>
      <c r="E836" s="174"/>
      <c r="F836" s="164"/>
      <c r="G836" s="174"/>
      <c r="H836" s="164"/>
      <c r="I836" s="174"/>
      <c r="J836" s="184"/>
      <c r="K836" s="186"/>
      <c r="L836" s="187" t="str">
        <f t="shared" si="215"/>
        <v/>
      </c>
      <c r="M836" s="187" t="str">
        <f t="shared" si="216"/>
        <v/>
      </c>
      <c r="N836" s="187" t="str">
        <f t="shared" ref="N836:N899" si="225">IF(Tipo_de_contagem="Contagem Detalhada","D",IF(Tipo_de_contagem="Contagem Estimada","E","S"))</f>
        <v>D</v>
      </c>
      <c r="O836" s="187" t="str">
        <f t="shared" si="217"/>
        <v>D</v>
      </c>
      <c r="P836" s="187">
        <f t="shared" si="218"/>
        <v>1</v>
      </c>
      <c r="Q836" s="187">
        <f>IFERROR(VLOOKUP(E836,Tabela_Deflator:E$43,5,FALSE),1)</f>
        <v>1</v>
      </c>
      <c r="R836" s="188" t="str">
        <f t="shared" si="219"/>
        <v/>
      </c>
      <c r="S836" s="237" t="str">
        <f t="shared" ref="S836:S899" si="226">IF(D836="N/A","",IF(D836="","",IFERROR(IF(D836="INM",P836*J836,VLOOKUP(O836,Tabela_Pontuação,2,FALSE)),0)))</f>
        <v/>
      </c>
      <c r="T836" s="237" t="str">
        <f t="shared" si="224"/>
        <v/>
      </c>
      <c r="U836" s="189"/>
      <c r="V836" s="167"/>
      <c r="W836" s="165"/>
      <c r="X836" s="164"/>
      <c r="Y836" s="164"/>
      <c r="Z836" s="164"/>
      <c r="AA836" s="174"/>
      <c r="AB836" s="164"/>
      <c r="AC836" s="174"/>
      <c r="AD836" s="184"/>
      <c r="AE836" s="190" t="str">
        <f t="shared" si="220"/>
        <v/>
      </c>
      <c r="AF836" s="190" t="str">
        <f t="shared" si="221"/>
        <v/>
      </c>
      <c r="AG836" s="190" t="str">
        <f t="shared" ref="AG836:AG899" si="227">IF(N836="S",X836,CONCATENATE(X836,AE836,N836))</f>
        <v>D</v>
      </c>
      <c r="AH836" s="190">
        <f>IFERROR(VLOOKUP(Y836,SISP_Deflatores_e_INMs!B$4:F$49,3,FALSE),1)</f>
        <v>1</v>
      </c>
      <c r="AI836" s="190">
        <f>IFERROR(VLOOKUP(Y836,SISP_Deflatores_e_INMs!B$4:G$49,5,FALSE),1)</f>
        <v>1</v>
      </c>
      <c r="AJ836" s="191" t="str">
        <f t="shared" si="222"/>
        <v/>
      </c>
      <c r="AK836" s="237" t="str">
        <f t="shared" ref="AK836:AK899" si="228">IFERROR(IF(X836="INM",AH836*AD836,VLOOKUP(AG836,Tabela_Pontuação,2,FALSE)),"")</f>
        <v/>
      </c>
      <c r="AL836" s="237" t="str">
        <f t="shared" si="223"/>
        <v/>
      </c>
      <c r="AM836" s="192" t="e">
        <f t="shared" ref="AM836:AM899" si="229">IF(S836&lt;=0,0,AK836-S836)</f>
        <v>#VALUE!</v>
      </c>
      <c r="AN836" s="193" t="e">
        <f t="shared" ref="AN836:AN899" si="230">AM836/S836</f>
        <v>#VALUE!</v>
      </c>
      <c r="AO836" s="193" t="e">
        <f t="shared" ref="AO836:AO899" si="231">IF(T836&lt;=0,0,AL836-T836)</f>
        <v>#VALUE!</v>
      </c>
      <c r="AP836" s="193"/>
      <c r="AQ836" s="204"/>
      <c r="AR836" s="204"/>
      <c r="AS836" s="204"/>
      <c r="AT836" s="205"/>
      <c r="AU836"/>
    </row>
    <row r="837" spans="2:47" ht="15" customHeight="1" x14ac:dyDescent="0.25">
      <c r="B837" s="206"/>
      <c r="C837" s="185"/>
      <c r="D837" s="164"/>
      <c r="E837" s="174"/>
      <c r="F837" s="164"/>
      <c r="G837" s="174"/>
      <c r="H837" s="164"/>
      <c r="I837" s="174"/>
      <c r="J837" s="184"/>
      <c r="K837" s="186"/>
      <c r="L837" s="187" t="str">
        <f t="shared" ref="L837:L900" si="232">IF(OR(ISBLANK(F837),ISBLANK(H837)),IF(OR(D837="ALI",D837="AIE"),"L",IF(ISBLANK(D837),"","A")),IF(D837="EE",IF(H837&gt;=3,IF(F837&gt;=5,"H","A"),IF(H837&gt;=2,IF(F837&gt;=16,"H",IF(F837&lt;=4,"L","A")),IF(F837&lt;=15,"L","A"))),IF(OR(D837="SE",D837="CE"),IF(H837&gt;=4,IF(F837&gt;=6,"H","A"),IF(H837&gt;=2,IF(F837&gt;=20,"H",IF(F837&lt;=5,"L","A")),IF(F837&lt;=19,"L","A"))),IF(OR(D837="ALI",D837="AIE"),IF(H837&gt;=6,IF(F837&gt;=20,"H","A"),IF(H837&gt;=2,IF(F837&gt;=51,"H",IF(F837&lt;=19,"L","A")),IF(F837&lt;=50,"L","A")))))))</f>
        <v/>
      </c>
      <c r="M837" s="187" t="str">
        <f t="shared" ref="M837:M900" si="233">CONCATENATE(D837,L837)</f>
        <v/>
      </c>
      <c r="N837" s="187" t="str">
        <f t="shared" si="225"/>
        <v>D</v>
      </c>
      <c r="O837" s="187" t="str">
        <f t="shared" ref="O837:O900" si="234">IF(N837="S",D837,CONCATENATE(D837,L837,N837))</f>
        <v>D</v>
      </c>
      <c r="P837" s="187">
        <f t="shared" ref="P837:P900" si="235">IFERROR(VLOOKUP(E837,Tabela_Deflator,3,FALSE),1)</f>
        <v>1</v>
      </c>
      <c r="Q837" s="187">
        <f>IFERROR(VLOOKUP(E837,Tabela_Deflator:E$43,5,FALSE),1)</f>
        <v>1</v>
      </c>
      <c r="R837" s="188" t="str">
        <f t="shared" ref="R837:R900" si="236">IF(OR(D837="INM",D837="N/A"),"",IF(L837="L","Baixa",IF(L837="A","Média",IF(L837="","","Alta"))))</f>
        <v/>
      </c>
      <c r="S837" s="237" t="str">
        <f t="shared" si="226"/>
        <v/>
      </c>
      <c r="T837" s="237" t="str">
        <f t="shared" si="224"/>
        <v/>
      </c>
      <c r="U837" s="189"/>
      <c r="V837" s="167"/>
      <c r="W837" s="165"/>
      <c r="X837" s="164"/>
      <c r="Y837" s="164"/>
      <c r="Z837" s="164"/>
      <c r="AA837" s="174"/>
      <c r="AB837" s="164"/>
      <c r="AC837" s="174"/>
      <c r="AD837" s="184"/>
      <c r="AE837" s="190" t="str">
        <f t="shared" ref="AE837:AE900" si="237">IF(OR(ISBLANK(Z837),ISBLANK(AB837)),IF(OR(X837="ALI",X837="AIE"),"L",IF(ISBLANK(X837),"","A")),IF(X837="EE",IF(AB837&gt;=3,IF(Z837&gt;=5,"H","A"),IF(AB837&gt;=2,IF(Z837&gt;=16,"H",IF(Z837&lt;=4,"L","A")),IF(Z837&lt;=15,"L","A"))),IF(OR(X837="SE",X837="CE"),IF(AB837&gt;=4,IF(Z837&gt;=6,"H","A"),IF(AB837&gt;=2,IF(Z837&gt;=20,"H",IF(Z837&lt;=5,"L","A")),IF(Z837&lt;=19,"L","A"))),IF(OR(X837="ALI",X837="AIE"),IF(AB837&gt;=6,IF(Z837&gt;=20,"H","A"),IF(AB837&gt;=2,IF(Z837&gt;=51,"H",IF(Z837&lt;=19,"L","A")),IF(Z837&lt;=50,"L","A")))))))</f>
        <v/>
      </c>
      <c r="AF837" s="190" t="str">
        <f t="shared" ref="AF837:AF900" si="238">CONCATENATE(X837,AE837)</f>
        <v/>
      </c>
      <c r="AG837" s="190" t="str">
        <f t="shared" si="227"/>
        <v>D</v>
      </c>
      <c r="AH837" s="190">
        <f>IFERROR(VLOOKUP(Y837,SISP_Deflatores_e_INMs!B$4:F$49,3,FALSE),1)</f>
        <v>1</v>
      </c>
      <c r="AI837" s="190">
        <f>IFERROR(VLOOKUP(Y837,SISP_Deflatores_e_INMs!B$4:G$49,5,FALSE),1)</f>
        <v>1</v>
      </c>
      <c r="AJ837" s="191" t="str">
        <f t="shared" ref="AJ837:AJ900" si="239">IF(OR(X837="INM",X837="N/A"),"",IF(AE837="L","Baixa",IF(AE837="A","Média",IF(AE837="","","Alta"))))</f>
        <v/>
      </c>
      <c r="AK837" s="237" t="str">
        <f t="shared" si="228"/>
        <v/>
      </c>
      <c r="AL837" s="237" t="str">
        <f t="shared" ref="AL837:AL900" si="240">IFERROR(IF(OR(ISBLANK(V837),V837="NOK"),"",IF(X837="INM",(1*AH837)*AD837,AK837*AH837)),"")</f>
        <v/>
      </c>
      <c r="AM837" s="192" t="e">
        <f t="shared" si="229"/>
        <v>#VALUE!</v>
      </c>
      <c r="AN837" s="193" t="e">
        <f t="shared" si="230"/>
        <v>#VALUE!</v>
      </c>
      <c r="AO837" s="193" t="e">
        <f t="shared" si="231"/>
        <v>#VALUE!</v>
      </c>
      <c r="AP837" s="193"/>
      <c r="AQ837" s="204"/>
      <c r="AR837" s="204"/>
      <c r="AS837" s="204"/>
      <c r="AT837" s="205"/>
      <c r="AU837"/>
    </row>
    <row r="838" spans="2:47" ht="15" customHeight="1" x14ac:dyDescent="0.25">
      <c r="B838" s="206"/>
      <c r="C838" s="185"/>
      <c r="D838" s="164"/>
      <c r="E838" s="174"/>
      <c r="F838" s="164"/>
      <c r="G838" s="174"/>
      <c r="H838" s="164"/>
      <c r="I838" s="174"/>
      <c r="J838" s="184"/>
      <c r="K838" s="186"/>
      <c r="L838" s="187" t="str">
        <f t="shared" si="232"/>
        <v/>
      </c>
      <c r="M838" s="187" t="str">
        <f t="shared" si="233"/>
        <v/>
      </c>
      <c r="N838" s="187" t="str">
        <f t="shared" si="225"/>
        <v>D</v>
      </c>
      <c r="O838" s="187" t="str">
        <f t="shared" si="234"/>
        <v>D</v>
      </c>
      <c r="P838" s="187">
        <f t="shared" si="235"/>
        <v>1</v>
      </c>
      <c r="Q838" s="187">
        <f>IFERROR(VLOOKUP(E838,Tabela_Deflator:E$43,5,FALSE),1)</f>
        <v>1</v>
      </c>
      <c r="R838" s="188" t="str">
        <f t="shared" si="236"/>
        <v/>
      </c>
      <c r="S838" s="237" t="str">
        <f t="shared" si="226"/>
        <v/>
      </c>
      <c r="T838" s="237" t="str">
        <f t="shared" ref="T838:T901" si="241" xml:space="preserve"> IF(D838="N/A","",IF(D838="","",IF(D838="INM",(1*P838)*J838,S838*P838)))</f>
        <v/>
      </c>
      <c r="U838" s="189"/>
      <c r="V838" s="167"/>
      <c r="W838" s="165"/>
      <c r="X838" s="164"/>
      <c r="Y838" s="164"/>
      <c r="Z838" s="164"/>
      <c r="AA838" s="174"/>
      <c r="AB838" s="164"/>
      <c r="AC838" s="174"/>
      <c r="AD838" s="184"/>
      <c r="AE838" s="190" t="str">
        <f t="shared" si="237"/>
        <v/>
      </c>
      <c r="AF838" s="190" t="str">
        <f t="shared" si="238"/>
        <v/>
      </c>
      <c r="AG838" s="190" t="str">
        <f t="shared" si="227"/>
        <v>D</v>
      </c>
      <c r="AH838" s="190">
        <f>IFERROR(VLOOKUP(Y838,SISP_Deflatores_e_INMs!B$4:F$49,3,FALSE),1)</f>
        <v>1</v>
      </c>
      <c r="AI838" s="190">
        <f>IFERROR(VLOOKUP(Y838,SISP_Deflatores_e_INMs!B$4:G$49,5,FALSE),1)</f>
        <v>1</v>
      </c>
      <c r="AJ838" s="191" t="str">
        <f t="shared" si="239"/>
        <v/>
      </c>
      <c r="AK838" s="237" t="str">
        <f t="shared" si="228"/>
        <v/>
      </c>
      <c r="AL838" s="237" t="str">
        <f t="shared" si="240"/>
        <v/>
      </c>
      <c r="AM838" s="192" t="e">
        <f t="shared" si="229"/>
        <v>#VALUE!</v>
      </c>
      <c r="AN838" s="193" t="e">
        <f t="shared" si="230"/>
        <v>#VALUE!</v>
      </c>
      <c r="AO838" s="193" t="e">
        <f t="shared" si="231"/>
        <v>#VALUE!</v>
      </c>
      <c r="AP838" s="193"/>
      <c r="AQ838" s="204"/>
      <c r="AR838" s="204"/>
      <c r="AS838" s="204"/>
      <c r="AT838" s="205"/>
      <c r="AU838"/>
    </row>
    <row r="839" spans="2:47" ht="15" customHeight="1" x14ac:dyDescent="0.25">
      <c r="B839" s="206"/>
      <c r="C839" s="185"/>
      <c r="D839" s="164"/>
      <c r="E839" s="174"/>
      <c r="F839" s="164"/>
      <c r="G839" s="174"/>
      <c r="H839" s="164"/>
      <c r="I839" s="174"/>
      <c r="J839" s="184"/>
      <c r="K839" s="186"/>
      <c r="L839" s="187" t="str">
        <f t="shared" si="232"/>
        <v/>
      </c>
      <c r="M839" s="187" t="str">
        <f t="shared" si="233"/>
        <v/>
      </c>
      <c r="N839" s="187" t="str">
        <f t="shared" si="225"/>
        <v>D</v>
      </c>
      <c r="O839" s="187" t="str">
        <f t="shared" si="234"/>
        <v>D</v>
      </c>
      <c r="P839" s="187">
        <f t="shared" si="235"/>
        <v>1</v>
      </c>
      <c r="Q839" s="187">
        <f>IFERROR(VLOOKUP(E839,Tabela_Deflator:E$43,5,FALSE),1)</f>
        <v>1</v>
      </c>
      <c r="R839" s="188" t="str">
        <f t="shared" si="236"/>
        <v/>
      </c>
      <c r="S839" s="237" t="str">
        <f t="shared" si="226"/>
        <v/>
      </c>
      <c r="T839" s="237" t="str">
        <f t="shared" si="241"/>
        <v/>
      </c>
      <c r="U839" s="189"/>
      <c r="V839" s="167"/>
      <c r="W839" s="165"/>
      <c r="X839" s="164"/>
      <c r="Y839" s="164"/>
      <c r="Z839" s="164"/>
      <c r="AA839" s="174"/>
      <c r="AB839" s="164"/>
      <c r="AC839" s="174"/>
      <c r="AD839" s="184"/>
      <c r="AE839" s="190" t="str">
        <f t="shared" si="237"/>
        <v/>
      </c>
      <c r="AF839" s="190" t="str">
        <f t="shared" si="238"/>
        <v/>
      </c>
      <c r="AG839" s="190" t="str">
        <f t="shared" si="227"/>
        <v>D</v>
      </c>
      <c r="AH839" s="190">
        <f>IFERROR(VLOOKUP(Y839,SISP_Deflatores_e_INMs!B$4:F$49,3,FALSE),1)</f>
        <v>1</v>
      </c>
      <c r="AI839" s="190">
        <f>IFERROR(VLOOKUP(Y839,SISP_Deflatores_e_INMs!B$4:G$49,5,FALSE),1)</f>
        <v>1</v>
      </c>
      <c r="AJ839" s="191" t="str">
        <f t="shared" si="239"/>
        <v/>
      </c>
      <c r="AK839" s="237" t="str">
        <f t="shared" si="228"/>
        <v/>
      </c>
      <c r="AL839" s="237" t="str">
        <f t="shared" si="240"/>
        <v/>
      </c>
      <c r="AM839" s="192" t="e">
        <f t="shared" si="229"/>
        <v>#VALUE!</v>
      </c>
      <c r="AN839" s="193" t="e">
        <f t="shared" si="230"/>
        <v>#VALUE!</v>
      </c>
      <c r="AO839" s="193" t="e">
        <f t="shared" si="231"/>
        <v>#VALUE!</v>
      </c>
      <c r="AP839" s="193"/>
      <c r="AQ839" s="204"/>
      <c r="AR839" s="204"/>
      <c r="AS839" s="204"/>
      <c r="AT839" s="205"/>
      <c r="AU839"/>
    </row>
    <row r="840" spans="2:47" ht="15" customHeight="1" x14ac:dyDescent="0.25">
      <c r="B840" s="206"/>
      <c r="C840" s="185"/>
      <c r="D840" s="164"/>
      <c r="E840" s="174"/>
      <c r="F840" s="164"/>
      <c r="G840" s="174"/>
      <c r="H840" s="164"/>
      <c r="I840" s="174"/>
      <c r="J840" s="184"/>
      <c r="K840" s="186"/>
      <c r="L840" s="187" t="str">
        <f t="shared" si="232"/>
        <v/>
      </c>
      <c r="M840" s="187" t="str">
        <f t="shared" si="233"/>
        <v/>
      </c>
      <c r="N840" s="187" t="str">
        <f t="shared" si="225"/>
        <v>D</v>
      </c>
      <c r="O840" s="187" t="str">
        <f t="shared" si="234"/>
        <v>D</v>
      </c>
      <c r="P840" s="187">
        <f t="shared" si="235"/>
        <v>1</v>
      </c>
      <c r="Q840" s="187">
        <f>IFERROR(VLOOKUP(E840,Tabela_Deflator:E$43,5,FALSE),1)</f>
        <v>1</v>
      </c>
      <c r="R840" s="188" t="str">
        <f t="shared" si="236"/>
        <v/>
      </c>
      <c r="S840" s="237" t="str">
        <f t="shared" si="226"/>
        <v/>
      </c>
      <c r="T840" s="237" t="str">
        <f t="shared" si="241"/>
        <v/>
      </c>
      <c r="U840" s="189"/>
      <c r="V840" s="167"/>
      <c r="W840" s="165"/>
      <c r="X840" s="164"/>
      <c r="Y840" s="164"/>
      <c r="Z840" s="164"/>
      <c r="AA840" s="174"/>
      <c r="AB840" s="164"/>
      <c r="AC840" s="174"/>
      <c r="AD840" s="184"/>
      <c r="AE840" s="190" t="str">
        <f t="shared" si="237"/>
        <v/>
      </c>
      <c r="AF840" s="190" t="str">
        <f t="shared" si="238"/>
        <v/>
      </c>
      <c r="AG840" s="190" t="str">
        <f t="shared" si="227"/>
        <v>D</v>
      </c>
      <c r="AH840" s="190">
        <f>IFERROR(VLOOKUP(Y840,SISP_Deflatores_e_INMs!B$4:F$49,3,FALSE),1)</f>
        <v>1</v>
      </c>
      <c r="AI840" s="190">
        <f>IFERROR(VLOOKUP(Y840,SISP_Deflatores_e_INMs!B$4:G$49,5,FALSE),1)</f>
        <v>1</v>
      </c>
      <c r="AJ840" s="191" t="str">
        <f t="shared" si="239"/>
        <v/>
      </c>
      <c r="AK840" s="237" t="str">
        <f t="shared" si="228"/>
        <v/>
      </c>
      <c r="AL840" s="237" t="str">
        <f t="shared" si="240"/>
        <v/>
      </c>
      <c r="AM840" s="192" t="e">
        <f t="shared" si="229"/>
        <v>#VALUE!</v>
      </c>
      <c r="AN840" s="193" t="e">
        <f t="shared" si="230"/>
        <v>#VALUE!</v>
      </c>
      <c r="AO840" s="193" t="e">
        <f t="shared" si="231"/>
        <v>#VALUE!</v>
      </c>
      <c r="AP840" s="193"/>
      <c r="AQ840" s="204"/>
      <c r="AR840" s="204"/>
      <c r="AS840" s="204"/>
      <c r="AT840" s="205"/>
      <c r="AU840"/>
    </row>
    <row r="841" spans="2:47" ht="15" customHeight="1" x14ac:dyDescent="0.25">
      <c r="B841" s="206"/>
      <c r="C841" s="185"/>
      <c r="D841" s="164"/>
      <c r="E841" s="174"/>
      <c r="F841" s="164"/>
      <c r="G841" s="174"/>
      <c r="H841" s="164"/>
      <c r="I841" s="174"/>
      <c r="J841" s="184"/>
      <c r="K841" s="186"/>
      <c r="L841" s="187" t="str">
        <f t="shared" si="232"/>
        <v/>
      </c>
      <c r="M841" s="187" t="str">
        <f t="shared" si="233"/>
        <v/>
      </c>
      <c r="N841" s="187" t="str">
        <f t="shared" si="225"/>
        <v>D</v>
      </c>
      <c r="O841" s="187" t="str">
        <f t="shared" si="234"/>
        <v>D</v>
      </c>
      <c r="P841" s="187">
        <f t="shared" si="235"/>
        <v>1</v>
      </c>
      <c r="Q841" s="187">
        <f>IFERROR(VLOOKUP(E841,Tabela_Deflator:E$43,5,FALSE),1)</f>
        <v>1</v>
      </c>
      <c r="R841" s="188" t="str">
        <f t="shared" si="236"/>
        <v/>
      </c>
      <c r="S841" s="237" t="str">
        <f t="shared" si="226"/>
        <v/>
      </c>
      <c r="T841" s="237" t="str">
        <f t="shared" si="241"/>
        <v/>
      </c>
      <c r="U841" s="189"/>
      <c r="V841" s="167"/>
      <c r="W841" s="165"/>
      <c r="X841" s="164"/>
      <c r="Y841" s="164"/>
      <c r="Z841" s="164"/>
      <c r="AA841" s="174"/>
      <c r="AB841" s="164"/>
      <c r="AC841" s="174"/>
      <c r="AD841" s="184"/>
      <c r="AE841" s="190" t="str">
        <f t="shared" si="237"/>
        <v/>
      </c>
      <c r="AF841" s="190" t="str">
        <f t="shared" si="238"/>
        <v/>
      </c>
      <c r="AG841" s="190" t="str">
        <f t="shared" si="227"/>
        <v>D</v>
      </c>
      <c r="AH841" s="190">
        <f>IFERROR(VLOOKUP(Y841,SISP_Deflatores_e_INMs!B$4:F$49,3,FALSE),1)</f>
        <v>1</v>
      </c>
      <c r="AI841" s="190">
        <f>IFERROR(VLOOKUP(Y841,SISP_Deflatores_e_INMs!B$4:G$49,5,FALSE),1)</f>
        <v>1</v>
      </c>
      <c r="AJ841" s="191" t="str">
        <f t="shared" si="239"/>
        <v/>
      </c>
      <c r="AK841" s="237" t="str">
        <f t="shared" si="228"/>
        <v/>
      </c>
      <c r="AL841" s="237" t="str">
        <f t="shared" si="240"/>
        <v/>
      </c>
      <c r="AM841" s="192" t="e">
        <f t="shared" si="229"/>
        <v>#VALUE!</v>
      </c>
      <c r="AN841" s="193" t="e">
        <f t="shared" si="230"/>
        <v>#VALUE!</v>
      </c>
      <c r="AO841" s="193" t="e">
        <f t="shared" si="231"/>
        <v>#VALUE!</v>
      </c>
      <c r="AP841" s="193"/>
      <c r="AQ841" s="204"/>
      <c r="AR841" s="204"/>
      <c r="AS841" s="204"/>
      <c r="AT841" s="205"/>
      <c r="AU841"/>
    </row>
    <row r="842" spans="2:47" ht="15" customHeight="1" x14ac:dyDescent="0.25">
      <c r="B842" s="206"/>
      <c r="C842" s="185"/>
      <c r="D842" s="164"/>
      <c r="E842" s="174"/>
      <c r="F842" s="164"/>
      <c r="G842" s="174"/>
      <c r="H842" s="164"/>
      <c r="I842" s="174"/>
      <c r="J842" s="184"/>
      <c r="K842" s="186"/>
      <c r="L842" s="187" t="str">
        <f t="shared" si="232"/>
        <v/>
      </c>
      <c r="M842" s="187" t="str">
        <f t="shared" si="233"/>
        <v/>
      </c>
      <c r="N842" s="187" t="str">
        <f t="shared" si="225"/>
        <v>D</v>
      </c>
      <c r="O842" s="187" t="str">
        <f t="shared" si="234"/>
        <v>D</v>
      </c>
      <c r="P842" s="187">
        <f t="shared" si="235"/>
        <v>1</v>
      </c>
      <c r="Q842" s="187">
        <f>IFERROR(VLOOKUP(E842,Tabela_Deflator:E$43,5,FALSE),1)</f>
        <v>1</v>
      </c>
      <c r="R842" s="188" t="str">
        <f t="shared" si="236"/>
        <v/>
      </c>
      <c r="S842" s="237" t="str">
        <f t="shared" si="226"/>
        <v/>
      </c>
      <c r="T842" s="237" t="str">
        <f t="shared" si="241"/>
        <v/>
      </c>
      <c r="U842" s="189"/>
      <c r="V842" s="167"/>
      <c r="W842" s="165"/>
      <c r="X842" s="164"/>
      <c r="Y842" s="164"/>
      <c r="Z842" s="164"/>
      <c r="AA842" s="174"/>
      <c r="AB842" s="164"/>
      <c r="AC842" s="174"/>
      <c r="AD842" s="184"/>
      <c r="AE842" s="190" t="str">
        <f t="shared" si="237"/>
        <v/>
      </c>
      <c r="AF842" s="190" t="str">
        <f t="shared" si="238"/>
        <v/>
      </c>
      <c r="AG842" s="190" t="str">
        <f t="shared" si="227"/>
        <v>D</v>
      </c>
      <c r="AH842" s="190">
        <f>IFERROR(VLOOKUP(Y842,SISP_Deflatores_e_INMs!B$4:F$49,3,FALSE),1)</f>
        <v>1</v>
      </c>
      <c r="AI842" s="190">
        <f>IFERROR(VLOOKUP(Y842,SISP_Deflatores_e_INMs!B$4:G$49,5,FALSE),1)</f>
        <v>1</v>
      </c>
      <c r="AJ842" s="191" t="str">
        <f t="shared" si="239"/>
        <v/>
      </c>
      <c r="AK842" s="237" t="str">
        <f t="shared" si="228"/>
        <v/>
      </c>
      <c r="AL842" s="237" t="str">
        <f t="shared" si="240"/>
        <v/>
      </c>
      <c r="AM842" s="192" t="e">
        <f t="shared" si="229"/>
        <v>#VALUE!</v>
      </c>
      <c r="AN842" s="193" t="e">
        <f t="shared" si="230"/>
        <v>#VALUE!</v>
      </c>
      <c r="AO842" s="193" t="e">
        <f t="shared" si="231"/>
        <v>#VALUE!</v>
      </c>
      <c r="AP842" s="193"/>
      <c r="AQ842" s="204"/>
      <c r="AR842" s="204"/>
      <c r="AS842" s="204"/>
      <c r="AT842" s="205"/>
      <c r="AU842"/>
    </row>
    <row r="843" spans="2:47" ht="15" customHeight="1" x14ac:dyDescent="0.25">
      <c r="B843" s="206"/>
      <c r="C843" s="185"/>
      <c r="D843" s="164"/>
      <c r="E843" s="174"/>
      <c r="F843" s="164"/>
      <c r="G843" s="174"/>
      <c r="H843" s="164"/>
      <c r="I843" s="174"/>
      <c r="J843" s="184"/>
      <c r="K843" s="186"/>
      <c r="L843" s="187" t="str">
        <f t="shared" si="232"/>
        <v/>
      </c>
      <c r="M843" s="187" t="str">
        <f t="shared" si="233"/>
        <v/>
      </c>
      <c r="N843" s="187" t="str">
        <f t="shared" si="225"/>
        <v>D</v>
      </c>
      <c r="O843" s="187" t="str">
        <f t="shared" si="234"/>
        <v>D</v>
      </c>
      <c r="P843" s="187">
        <f t="shared" si="235"/>
        <v>1</v>
      </c>
      <c r="Q843" s="187">
        <f>IFERROR(VLOOKUP(E843,Tabela_Deflator:E$43,5,FALSE),1)</f>
        <v>1</v>
      </c>
      <c r="R843" s="188" t="str">
        <f t="shared" si="236"/>
        <v/>
      </c>
      <c r="S843" s="237" t="str">
        <f t="shared" si="226"/>
        <v/>
      </c>
      <c r="T843" s="237" t="str">
        <f t="shared" si="241"/>
        <v/>
      </c>
      <c r="U843" s="189"/>
      <c r="V843" s="167"/>
      <c r="W843" s="165"/>
      <c r="X843" s="164"/>
      <c r="Y843" s="164"/>
      <c r="Z843" s="164"/>
      <c r="AA843" s="174"/>
      <c r="AB843" s="164"/>
      <c r="AC843" s="174"/>
      <c r="AD843" s="184"/>
      <c r="AE843" s="190" t="str">
        <f t="shared" si="237"/>
        <v/>
      </c>
      <c r="AF843" s="190" t="str">
        <f t="shared" si="238"/>
        <v/>
      </c>
      <c r="AG843" s="190" t="str">
        <f t="shared" si="227"/>
        <v>D</v>
      </c>
      <c r="AH843" s="190">
        <f>IFERROR(VLOOKUP(Y843,SISP_Deflatores_e_INMs!B$4:F$49,3,FALSE),1)</f>
        <v>1</v>
      </c>
      <c r="AI843" s="190">
        <f>IFERROR(VLOOKUP(Y843,SISP_Deflatores_e_INMs!B$4:G$49,5,FALSE),1)</f>
        <v>1</v>
      </c>
      <c r="AJ843" s="191" t="str">
        <f t="shared" si="239"/>
        <v/>
      </c>
      <c r="AK843" s="237" t="str">
        <f t="shared" si="228"/>
        <v/>
      </c>
      <c r="AL843" s="237" t="str">
        <f t="shared" si="240"/>
        <v/>
      </c>
      <c r="AM843" s="192" t="e">
        <f t="shared" si="229"/>
        <v>#VALUE!</v>
      </c>
      <c r="AN843" s="193" t="e">
        <f t="shared" si="230"/>
        <v>#VALUE!</v>
      </c>
      <c r="AO843" s="193" t="e">
        <f t="shared" si="231"/>
        <v>#VALUE!</v>
      </c>
      <c r="AP843" s="193"/>
      <c r="AQ843" s="204"/>
      <c r="AR843" s="204"/>
      <c r="AS843" s="204"/>
      <c r="AT843" s="205"/>
      <c r="AU843"/>
    </row>
    <row r="844" spans="2:47" ht="15" customHeight="1" x14ac:dyDescent="0.25">
      <c r="B844" s="206"/>
      <c r="C844" s="185"/>
      <c r="D844" s="164"/>
      <c r="E844" s="174"/>
      <c r="F844" s="164"/>
      <c r="G844" s="174"/>
      <c r="H844" s="164"/>
      <c r="I844" s="174"/>
      <c r="J844" s="184"/>
      <c r="K844" s="186"/>
      <c r="L844" s="187" t="str">
        <f t="shared" si="232"/>
        <v/>
      </c>
      <c r="M844" s="187" t="str">
        <f t="shared" si="233"/>
        <v/>
      </c>
      <c r="N844" s="187" t="str">
        <f t="shared" si="225"/>
        <v>D</v>
      </c>
      <c r="O844" s="187" t="str">
        <f t="shared" si="234"/>
        <v>D</v>
      </c>
      <c r="P844" s="187">
        <f t="shared" si="235"/>
        <v>1</v>
      </c>
      <c r="Q844" s="187">
        <f>IFERROR(VLOOKUP(E844,Tabela_Deflator:E$43,5,FALSE),1)</f>
        <v>1</v>
      </c>
      <c r="R844" s="188" t="str">
        <f t="shared" si="236"/>
        <v/>
      </c>
      <c r="S844" s="237" t="str">
        <f t="shared" si="226"/>
        <v/>
      </c>
      <c r="T844" s="237" t="str">
        <f t="shared" si="241"/>
        <v/>
      </c>
      <c r="U844" s="189"/>
      <c r="V844" s="167"/>
      <c r="W844" s="165"/>
      <c r="X844" s="164"/>
      <c r="Y844" s="164"/>
      <c r="Z844" s="164"/>
      <c r="AA844" s="174"/>
      <c r="AB844" s="164"/>
      <c r="AC844" s="174"/>
      <c r="AD844" s="184"/>
      <c r="AE844" s="190" t="str">
        <f t="shared" si="237"/>
        <v/>
      </c>
      <c r="AF844" s="190" t="str">
        <f t="shared" si="238"/>
        <v/>
      </c>
      <c r="AG844" s="190" t="str">
        <f t="shared" si="227"/>
        <v>D</v>
      </c>
      <c r="AH844" s="190">
        <f>IFERROR(VLOOKUP(Y844,SISP_Deflatores_e_INMs!B$4:F$49,3,FALSE),1)</f>
        <v>1</v>
      </c>
      <c r="AI844" s="190">
        <f>IFERROR(VLOOKUP(Y844,SISP_Deflatores_e_INMs!B$4:G$49,5,FALSE),1)</f>
        <v>1</v>
      </c>
      <c r="AJ844" s="191" t="str">
        <f t="shared" si="239"/>
        <v/>
      </c>
      <c r="AK844" s="237" t="str">
        <f t="shared" si="228"/>
        <v/>
      </c>
      <c r="AL844" s="237" t="str">
        <f t="shared" si="240"/>
        <v/>
      </c>
      <c r="AM844" s="192" t="e">
        <f t="shared" si="229"/>
        <v>#VALUE!</v>
      </c>
      <c r="AN844" s="193" t="e">
        <f t="shared" si="230"/>
        <v>#VALUE!</v>
      </c>
      <c r="AO844" s="193" t="e">
        <f t="shared" si="231"/>
        <v>#VALUE!</v>
      </c>
      <c r="AP844" s="193"/>
      <c r="AQ844" s="204"/>
      <c r="AR844" s="204"/>
      <c r="AS844" s="204"/>
      <c r="AT844" s="205"/>
      <c r="AU844"/>
    </row>
    <row r="845" spans="2:47" ht="15" customHeight="1" x14ac:dyDescent="0.25">
      <c r="B845" s="206"/>
      <c r="C845" s="185"/>
      <c r="D845" s="164"/>
      <c r="E845" s="174"/>
      <c r="F845" s="164"/>
      <c r="G845" s="174"/>
      <c r="H845" s="164"/>
      <c r="I845" s="174"/>
      <c r="J845" s="184"/>
      <c r="K845" s="186"/>
      <c r="L845" s="187" t="str">
        <f t="shared" si="232"/>
        <v/>
      </c>
      <c r="M845" s="187" t="str">
        <f t="shared" si="233"/>
        <v/>
      </c>
      <c r="N845" s="187" t="str">
        <f t="shared" si="225"/>
        <v>D</v>
      </c>
      <c r="O845" s="187" t="str">
        <f t="shared" si="234"/>
        <v>D</v>
      </c>
      <c r="P845" s="187">
        <f t="shared" si="235"/>
        <v>1</v>
      </c>
      <c r="Q845" s="187">
        <f>IFERROR(VLOOKUP(E845,Tabela_Deflator:E$43,5,FALSE),1)</f>
        <v>1</v>
      </c>
      <c r="R845" s="188" t="str">
        <f t="shared" si="236"/>
        <v/>
      </c>
      <c r="S845" s="237" t="str">
        <f t="shared" si="226"/>
        <v/>
      </c>
      <c r="T845" s="237" t="str">
        <f t="shared" si="241"/>
        <v/>
      </c>
      <c r="U845" s="189"/>
      <c r="V845" s="167"/>
      <c r="W845" s="165"/>
      <c r="X845" s="164"/>
      <c r="Y845" s="164"/>
      <c r="Z845" s="164"/>
      <c r="AA845" s="174"/>
      <c r="AB845" s="164"/>
      <c r="AC845" s="174"/>
      <c r="AD845" s="184"/>
      <c r="AE845" s="190" t="str">
        <f t="shared" si="237"/>
        <v/>
      </c>
      <c r="AF845" s="190" t="str">
        <f t="shared" si="238"/>
        <v/>
      </c>
      <c r="AG845" s="190" t="str">
        <f t="shared" si="227"/>
        <v>D</v>
      </c>
      <c r="AH845" s="190">
        <f>IFERROR(VLOOKUP(Y845,SISP_Deflatores_e_INMs!B$4:F$49,3,FALSE),1)</f>
        <v>1</v>
      </c>
      <c r="AI845" s="190">
        <f>IFERROR(VLOOKUP(Y845,SISP_Deflatores_e_INMs!B$4:G$49,5,FALSE),1)</f>
        <v>1</v>
      </c>
      <c r="AJ845" s="191" t="str">
        <f t="shared" si="239"/>
        <v/>
      </c>
      <c r="AK845" s="237" t="str">
        <f t="shared" si="228"/>
        <v/>
      </c>
      <c r="AL845" s="237" t="str">
        <f t="shared" si="240"/>
        <v/>
      </c>
      <c r="AM845" s="192" t="e">
        <f t="shared" si="229"/>
        <v>#VALUE!</v>
      </c>
      <c r="AN845" s="193" t="e">
        <f t="shared" si="230"/>
        <v>#VALUE!</v>
      </c>
      <c r="AO845" s="193" t="e">
        <f t="shared" si="231"/>
        <v>#VALUE!</v>
      </c>
      <c r="AP845" s="193"/>
      <c r="AQ845" s="204"/>
      <c r="AR845" s="204"/>
      <c r="AS845" s="204"/>
      <c r="AT845" s="205"/>
      <c r="AU845"/>
    </row>
    <row r="846" spans="2:47" ht="15" customHeight="1" x14ac:dyDescent="0.25">
      <c r="B846" s="206"/>
      <c r="C846" s="185"/>
      <c r="D846" s="164"/>
      <c r="E846" s="174"/>
      <c r="F846" s="164"/>
      <c r="G846" s="174"/>
      <c r="H846" s="164"/>
      <c r="I846" s="174"/>
      <c r="J846" s="184"/>
      <c r="K846" s="186"/>
      <c r="L846" s="187" t="str">
        <f t="shared" si="232"/>
        <v/>
      </c>
      <c r="M846" s="187" t="str">
        <f t="shared" si="233"/>
        <v/>
      </c>
      <c r="N846" s="187" t="str">
        <f t="shared" si="225"/>
        <v>D</v>
      </c>
      <c r="O846" s="187" t="str">
        <f t="shared" si="234"/>
        <v>D</v>
      </c>
      <c r="P846" s="187">
        <f t="shared" si="235"/>
        <v>1</v>
      </c>
      <c r="Q846" s="187">
        <f>IFERROR(VLOOKUP(E846,Tabela_Deflator:E$43,5,FALSE),1)</f>
        <v>1</v>
      </c>
      <c r="R846" s="188" t="str">
        <f t="shared" si="236"/>
        <v/>
      </c>
      <c r="S846" s="237" t="str">
        <f t="shared" si="226"/>
        <v/>
      </c>
      <c r="T846" s="237" t="str">
        <f t="shared" si="241"/>
        <v/>
      </c>
      <c r="U846" s="189"/>
      <c r="V846" s="167"/>
      <c r="W846" s="165"/>
      <c r="X846" s="164"/>
      <c r="Y846" s="164"/>
      <c r="Z846" s="164"/>
      <c r="AA846" s="174"/>
      <c r="AB846" s="164"/>
      <c r="AC846" s="174"/>
      <c r="AD846" s="184"/>
      <c r="AE846" s="190" t="str">
        <f t="shared" si="237"/>
        <v/>
      </c>
      <c r="AF846" s="190" t="str">
        <f t="shared" si="238"/>
        <v/>
      </c>
      <c r="AG846" s="190" t="str">
        <f t="shared" si="227"/>
        <v>D</v>
      </c>
      <c r="AH846" s="190">
        <f>IFERROR(VLOOKUP(Y846,SISP_Deflatores_e_INMs!B$4:F$49,3,FALSE),1)</f>
        <v>1</v>
      </c>
      <c r="AI846" s="190">
        <f>IFERROR(VLOOKUP(Y846,SISP_Deflatores_e_INMs!B$4:G$49,5,FALSE),1)</f>
        <v>1</v>
      </c>
      <c r="AJ846" s="191" t="str">
        <f t="shared" si="239"/>
        <v/>
      </c>
      <c r="AK846" s="237" t="str">
        <f t="shared" si="228"/>
        <v/>
      </c>
      <c r="AL846" s="237" t="str">
        <f t="shared" si="240"/>
        <v/>
      </c>
      <c r="AM846" s="192" t="e">
        <f t="shared" si="229"/>
        <v>#VALUE!</v>
      </c>
      <c r="AN846" s="193" t="e">
        <f t="shared" si="230"/>
        <v>#VALUE!</v>
      </c>
      <c r="AO846" s="193" t="e">
        <f t="shared" si="231"/>
        <v>#VALUE!</v>
      </c>
      <c r="AP846" s="193"/>
      <c r="AQ846" s="204"/>
      <c r="AR846" s="204"/>
      <c r="AS846" s="204"/>
      <c r="AT846" s="205"/>
      <c r="AU846"/>
    </row>
    <row r="847" spans="2:47" ht="15" customHeight="1" x14ac:dyDescent="0.25">
      <c r="B847" s="206"/>
      <c r="C847" s="185"/>
      <c r="D847" s="164"/>
      <c r="E847" s="174"/>
      <c r="F847" s="164"/>
      <c r="G847" s="174"/>
      <c r="H847" s="164"/>
      <c r="I847" s="174"/>
      <c r="J847" s="184"/>
      <c r="K847" s="186"/>
      <c r="L847" s="187" t="str">
        <f t="shared" si="232"/>
        <v/>
      </c>
      <c r="M847" s="187" t="str">
        <f t="shared" si="233"/>
        <v/>
      </c>
      <c r="N847" s="187" t="str">
        <f t="shared" si="225"/>
        <v>D</v>
      </c>
      <c r="O847" s="187" t="str">
        <f t="shared" si="234"/>
        <v>D</v>
      </c>
      <c r="P847" s="187">
        <f t="shared" si="235"/>
        <v>1</v>
      </c>
      <c r="Q847" s="187">
        <f>IFERROR(VLOOKUP(E847,Tabela_Deflator:E$43,5,FALSE),1)</f>
        <v>1</v>
      </c>
      <c r="R847" s="188" t="str">
        <f t="shared" si="236"/>
        <v/>
      </c>
      <c r="S847" s="237" t="str">
        <f t="shared" si="226"/>
        <v/>
      </c>
      <c r="T847" s="237" t="str">
        <f t="shared" si="241"/>
        <v/>
      </c>
      <c r="U847" s="189"/>
      <c r="V847" s="167"/>
      <c r="W847" s="165"/>
      <c r="X847" s="164"/>
      <c r="Y847" s="164"/>
      <c r="Z847" s="164"/>
      <c r="AA847" s="174"/>
      <c r="AB847" s="164"/>
      <c r="AC847" s="174"/>
      <c r="AD847" s="184"/>
      <c r="AE847" s="190" t="str">
        <f t="shared" si="237"/>
        <v/>
      </c>
      <c r="AF847" s="190" t="str">
        <f t="shared" si="238"/>
        <v/>
      </c>
      <c r="AG847" s="190" t="str">
        <f t="shared" si="227"/>
        <v>D</v>
      </c>
      <c r="AH847" s="190">
        <f>IFERROR(VLOOKUP(Y847,SISP_Deflatores_e_INMs!B$4:F$49,3,FALSE),1)</f>
        <v>1</v>
      </c>
      <c r="AI847" s="190">
        <f>IFERROR(VLOOKUP(Y847,SISP_Deflatores_e_INMs!B$4:G$49,5,FALSE),1)</f>
        <v>1</v>
      </c>
      <c r="AJ847" s="191" t="str">
        <f t="shared" si="239"/>
        <v/>
      </c>
      <c r="AK847" s="237" t="str">
        <f t="shared" si="228"/>
        <v/>
      </c>
      <c r="AL847" s="237" t="str">
        <f t="shared" si="240"/>
        <v/>
      </c>
      <c r="AM847" s="192" t="e">
        <f t="shared" si="229"/>
        <v>#VALUE!</v>
      </c>
      <c r="AN847" s="193" t="e">
        <f t="shared" si="230"/>
        <v>#VALUE!</v>
      </c>
      <c r="AO847" s="193" t="e">
        <f t="shared" si="231"/>
        <v>#VALUE!</v>
      </c>
      <c r="AP847" s="193"/>
      <c r="AQ847" s="204"/>
      <c r="AR847" s="204"/>
      <c r="AS847" s="204"/>
      <c r="AT847" s="205"/>
      <c r="AU847"/>
    </row>
    <row r="848" spans="2:47" ht="15" customHeight="1" x14ac:dyDescent="0.25">
      <c r="B848" s="206"/>
      <c r="C848" s="185"/>
      <c r="D848" s="164"/>
      <c r="E848" s="174"/>
      <c r="F848" s="164"/>
      <c r="G848" s="174"/>
      <c r="H848" s="164"/>
      <c r="I848" s="174"/>
      <c r="J848" s="184"/>
      <c r="K848" s="186"/>
      <c r="L848" s="187" t="str">
        <f t="shared" si="232"/>
        <v/>
      </c>
      <c r="M848" s="187" t="str">
        <f t="shared" si="233"/>
        <v/>
      </c>
      <c r="N848" s="187" t="str">
        <f t="shared" si="225"/>
        <v>D</v>
      </c>
      <c r="O848" s="187" t="str">
        <f t="shared" si="234"/>
        <v>D</v>
      </c>
      <c r="P848" s="187">
        <f t="shared" si="235"/>
        <v>1</v>
      </c>
      <c r="Q848" s="187">
        <f>IFERROR(VLOOKUP(E848,Tabela_Deflator:E$43,5,FALSE),1)</f>
        <v>1</v>
      </c>
      <c r="R848" s="188" t="str">
        <f t="shared" si="236"/>
        <v/>
      </c>
      <c r="S848" s="237" t="str">
        <f t="shared" si="226"/>
        <v/>
      </c>
      <c r="T848" s="237" t="str">
        <f t="shared" si="241"/>
        <v/>
      </c>
      <c r="U848" s="189"/>
      <c r="V848" s="167"/>
      <c r="W848" s="165"/>
      <c r="X848" s="164"/>
      <c r="Y848" s="164"/>
      <c r="Z848" s="164"/>
      <c r="AA848" s="174"/>
      <c r="AB848" s="164"/>
      <c r="AC848" s="174"/>
      <c r="AD848" s="184"/>
      <c r="AE848" s="190" t="str">
        <f t="shared" si="237"/>
        <v/>
      </c>
      <c r="AF848" s="190" t="str">
        <f t="shared" si="238"/>
        <v/>
      </c>
      <c r="AG848" s="190" t="str">
        <f t="shared" si="227"/>
        <v>D</v>
      </c>
      <c r="AH848" s="190">
        <f>IFERROR(VLOOKUP(Y848,SISP_Deflatores_e_INMs!B$4:F$49,3,FALSE),1)</f>
        <v>1</v>
      </c>
      <c r="AI848" s="190">
        <f>IFERROR(VLOOKUP(Y848,SISP_Deflatores_e_INMs!B$4:G$49,5,FALSE),1)</f>
        <v>1</v>
      </c>
      <c r="AJ848" s="191" t="str">
        <f t="shared" si="239"/>
        <v/>
      </c>
      <c r="AK848" s="237" t="str">
        <f t="shared" si="228"/>
        <v/>
      </c>
      <c r="AL848" s="237" t="str">
        <f t="shared" si="240"/>
        <v/>
      </c>
      <c r="AM848" s="192" t="e">
        <f t="shared" si="229"/>
        <v>#VALUE!</v>
      </c>
      <c r="AN848" s="193" t="e">
        <f t="shared" si="230"/>
        <v>#VALUE!</v>
      </c>
      <c r="AO848" s="193" t="e">
        <f t="shared" si="231"/>
        <v>#VALUE!</v>
      </c>
      <c r="AP848" s="193"/>
      <c r="AQ848" s="204"/>
      <c r="AR848" s="204"/>
      <c r="AS848" s="204"/>
      <c r="AT848" s="205"/>
      <c r="AU848"/>
    </row>
    <row r="849" spans="2:47" ht="15" customHeight="1" x14ac:dyDescent="0.25">
      <c r="B849" s="206"/>
      <c r="C849" s="185"/>
      <c r="D849" s="164"/>
      <c r="E849" s="174"/>
      <c r="F849" s="164"/>
      <c r="G849" s="174"/>
      <c r="H849" s="164"/>
      <c r="I849" s="174"/>
      <c r="J849" s="184"/>
      <c r="K849" s="186"/>
      <c r="L849" s="187" t="str">
        <f t="shared" si="232"/>
        <v/>
      </c>
      <c r="M849" s="187" t="str">
        <f t="shared" si="233"/>
        <v/>
      </c>
      <c r="N849" s="187" t="str">
        <f t="shared" si="225"/>
        <v>D</v>
      </c>
      <c r="O849" s="187" t="str">
        <f t="shared" si="234"/>
        <v>D</v>
      </c>
      <c r="P849" s="187">
        <f t="shared" si="235"/>
        <v>1</v>
      </c>
      <c r="Q849" s="187">
        <f>IFERROR(VLOOKUP(E849,Tabela_Deflator:E$43,5,FALSE),1)</f>
        <v>1</v>
      </c>
      <c r="R849" s="188" t="str">
        <f t="shared" si="236"/>
        <v/>
      </c>
      <c r="S849" s="237" t="str">
        <f t="shared" si="226"/>
        <v/>
      </c>
      <c r="T849" s="237" t="str">
        <f t="shared" si="241"/>
        <v/>
      </c>
      <c r="U849" s="189"/>
      <c r="V849" s="167"/>
      <c r="W849" s="165"/>
      <c r="X849" s="164"/>
      <c r="Y849" s="164"/>
      <c r="Z849" s="164"/>
      <c r="AA849" s="174"/>
      <c r="AB849" s="164"/>
      <c r="AC849" s="174"/>
      <c r="AD849" s="184"/>
      <c r="AE849" s="190" t="str">
        <f t="shared" si="237"/>
        <v/>
      </c>
      <c r="AF849" s="190" t="str">
        <f t="shared" si="238"/>
        <v/>
      </c>
      <c r="AG849" s="190" t="str">
        <f t="shared" si="227"/>
        <v>D</v>
      </c>
      <c r="AH849" s="190">
        <f>IFERROR(VLOOKUP(Y849,SISP_Deflatores_e_INMs!B$4:F$49,3,FALSE),1)</f>
        <v>1</v>
      </c>
      <c r="AI849" s="190">
        <f>IFERROR(VLOOKUP(Y849,SISP_Deflatores_e_INMs!B$4:G$49,5,FALSE),1)</f>
        <v>1</v>
      </c>
      <c r="AJ849" s="191" t="str">
        <f t="shared" si="239"/>
        <v/>
      </c>
      <c r="AK849" s="237" t="str">
        <f t="shared" si="228"/>
        <v/>
      </c>
      <c r="AL849" s="237" t="str">
        <f t="shared" si="240"/>
        <v/>
      </c>
      <c r="AM849" s="192" t="e">
        <f t="shared" si="229"/>
        <v>#VALUE!</v>
      </c>
      <c r="AN849" s="193" t="e">
        <f t="shared" si="230"/>
        <v>#VALUE!</v>
      </c>
      <c r="AO849" s="193" t="e">
        <f t="shared" si="231"/>
        <v>#VALUE!</v>
      </c>
      <c r="AP849" s="193"/>
      <c r="AQ849" s="204"/>
      <c r="AR849" s="204"/>
      <c r="AS849" s="204"/>
      <c r="AT849" s="205"/>
      <c r="AU849"/>
    </row>
    <row r="850" spans="2:47" ht="15" customHeight="1" x14ac:dyDescent="0.25">
      <c r="B850" s="206"/>
      <c r="C850" s="185"/>
      <c r="D850" s="164"/>
      <c r="E850" s="174"/>
      <c r="F850" s="164"/>
      <c r="G850" s="174"/>
      <c r="H850" s="164"/>
      <c r="I850" s="174"/>
      <c r="J850" s="184"/>
      <c r="K850" s="186"/>
      <c r="L850" s="187" t="str">
        <f t="shared" si="232"/>
        <v/>
      </c>
      <c r="M850" s="187" t="str">
        <f t="shared" si="233"/>
        <v/>
      </c>
      <c r="N850" s="187" t="str">
        <f t="shared" si="225"/>
        <v>D</v>
      </c>
      <c r="O850" s="187" t="str">
        <f t="shared" si="234"/>
        <v>D</v>
      </c>
      <c r="P850" s="187">
        <f t="shared" si="235"/>
        <v>1</v>
      </c>
      <c r="Q850" s="187">
        <f>IFERROR(VLOOKUP(E850,Tabela_Deflator:E$43,5,FALSE),1)</f>
        <v>1</v>
      </c>
      <c r="R850" s="188" t="str">
        <f t="shared" si="236"/>
        <v/>
      </c>
      <c r="S850" s="237" t="str">
        <f t="shared" si="226"/>
        <v/>
      </c>
      <c r="T850" s="237" t="str">
        <f t="shared" si="241"/>
        <v/>
      </c>
      <c r="U850" s="189"/>
      <c r="V850" s="167"/>
      <c r="W850" s="165"/>
      <c r="X850" s="164"/>
      <c r="Y850" s="164"/>
      <c r="Z850" s="164"/>
      <c r="AA850" s="174"/>
      <c r="AB850" s="164"/>
      <c r="AC850" s="174"/>
      <c r="AD850" s="184"/>
      <c r="AE850" s="190" t="str">
        <f t="shared" si="237"/>
        <v/>
      </c>
      <c r="AF850" s="190" t="str">
        <f t="shared" si="238"/>
        <v/>
      </c>
      <c r="AG850" s="190" t="str">
        <f t="shared" si="227"/>
        <v>D</v>
      </c>
      <c r="AH850" s="190">
        <f>IFERROR(VLOOKUP(Y850,SISP_Deflatores_e_INMs!B$4:F$49,3,FALSE),1)</f>
        <v>1</v>
      </c>
      <c r="AI850" s="190">
        <f>IFERROR(VLOOKUP(Y850,SISP_Deflatores_e_INMs!B$4:G$49,5,FALSE),1)</f>
        <v>1</v>
      </c>
      <c r="AJ850" s="191" t="str">
        <f t="shared" si="239"/>
        <v/>
      </c>
      <c r="AK850" s="237" t="str">
        <f t="shared" si="228"/>
        <v/>
      </c>
      <c r="AL850" s="237" t="str">
        <f t="shared" si="240"/>
        <v/>
      </c>
      <c r="AM850" s="192" t="e">
        <f t="shared" si="229"/>
        <v>#VALUE!</v>
      </c>
      <c r="AN850" s="193" t="e">
        <f t="shared" si="230"/>
        <v>#VALUE!</v>
      </c>
      <c r="AO850" s="193" t="e">
        <f t="shared" si="231"/>
        <v>#VALUE!</v>
      </c>
      <c r="AP850" s="193"/>
      <c r="AQ850" s="204"/>
      <c r="AR850" s="204"/>
      <c r="AS850" s="204"/>
      <c r="AT850" s="205"/>
      <c r="AU850"/>
    </row>
    <row r="851" spans="2:47" ht="15" customHeight="1" x14ac:dyDescent="0.25">
      <c r="B851" s="206"/>
      <c r="C851" s="185"/>
      <c r="D851" s="164"/>
      <c r="E851" s="174"/>
      <c r="F851" s="164"/>
      <c r="G851" s="174"/>
      <c r="H851" s="164"/>
      <c r="I851" s="174"/>
      <c r="J851" s="184"/>
      <c r="K851" s="186"/>
      <c r="L851" s="187" t="str">
        <f t="shared" si="232"/>
        <v/>
      </c>
      <c r="M851" s="187" t="str">
        <f t="shared" si="233"/>
        <v/>
      </c>
      <c r="N851" s="187" t="str">
        <f t="shared" si="225"/>
        <v>D</v>
      </c>
      <c r="O851" s="187" t="str">
        <f t="shared" si="234"/>
        <v>D</v>
      </c>
      <c r="P851" s="187">
        <f t="shared" si="235"/>
        <v>1</v>
      </c>
      <c r="Q851" s="187">
        <f>IFERROR(VLOOKUP(E851,Tabela_Deflator:E$43,5,FALSE),1)</f>
        <v>1</v>
      </c>
      <c r="R851" s="188" t="str">
        <f t="shared" si="236"/>
        <v/>
      </c>
      <c r="S851" s="237" t="str">
        <f t="shared" si="226"/>
        <v/>
      </c>
      <c r="T851" s="237" t="str">
        <f t="shared" si="241"/>
        <v/>
      </c>
      <c r="U851" s="189"/>
      <c r="V851" s="167"/>
      <c r="W851" s="165"/>
      <c r="X851" s="164"/>
      <c r="Y851" s="164"/>
      <c r="Z851" s="164"/>
      <c r="AA851" s="174"/>
      <c r="AB851" s="164"/>
      <c r="AC851" s="174"/>
      <c r="AD851" s="184"/>
      <c r="AE851" s="190" t="str">
        <f t="shared" si="237"/>
        <v/>
      </c>
      <c r="AF851" s="190" t="str">
        <f t="shared" si="238"/>
        <v/>
      </c>
      <c r="AG851" s="190" t="str">
        <f t="shared" si="227"/>
        <v>D</v>
      </c>
      <c r="AH851" s="190">
        <f>IFERROR(VLOOKUP(Y851,SISP_Deflatores_e_INMs!B$4:F$49,3,FALSE),1)</f>
        <v>1</v>
      </c>
      <c r="AI851" s="190">
        <f>IFERROR(VLOOKUP(Y851,SISP_Deflatores_e_INMs!B$4:G$49,5,FALSE),1)</f>
        <v>1</v>
      </c>
      <c r="AJ851" s="191" t="str">
        <f t="shared" si="239"/>
        <v/>
      </c>
      <c r="AK851" s="237" t="str">
        <f t="shared" si="228"/>
        <v/>
      </c>
      <c r="AL851" s="237" t="str">
        <f t="shared" si="240"/>
        <v/>
      </c>
      <c r="AM851" s="192" t="e">
        <f t="shared" si="229"/>
        <v>#VALUE!</v>
      </c>
      <c r="AN851" s="193" t="e">
        <f t="shared" si="230"/>
        <v>#VALUE!</v>
      </c>
      <c r="AO851" s="193" t="e">
        <f t="shared" si="231"/>
        <v>#VALUE!</v>
      </c>
      <c r="AP851" s="193"/>
      <c r="AQ851" s="204"/>
      <c r="AR851" s="204"/>
      <c r="AS851" s="204"/>
      <c r="AT851" s="205"/>
      <c r="AU851"/>
    </row>
    <row r="852" spans="2:47" ht="15" customHeight="1" x14ac:dyDescent="0.25">
      <c r="B852" s="206"/>
      <c r="C852" s="185"/>
      <c r="D852" s="164"/>
      <c r="E852" s="174"/>
      <c r="F852" s="164"/>
      <c r="G852" s="174"/>
      <c r="H852" s="164"/>
      <c r="I852" s="174"/>
      <c r="J852" s="184"/>
      <c r="K852" s="186"/>
      <c r="L852" s="187" t="str">
        <f t="shared" si="232"/>
        <v/>
      </c>
      <c r="M852" s="187" t="str">
        <f t="shared" si="233"/>
        <v/>
      </c>
      <c r="N852" s="187" t="str">
        <f t="shared" si="225"/>
        <v>D</v>
      </c>
      <c r="O852" s="187" t="str">
        <f t="shared" si="234"/>
        <v>D</v>
      </c>
      <c r="P852" s="187">
        <f t="shared" si="235"/>
        <v>1</v>
      </c>
      <c r="Q852" s="187">
        <f>IFERROR(VLOOKUP(E852,Tabela_Deflator:E$43,5,FALSE),1)</f>
        <v>1</v>
      </c>
      <c r="R852" s="188" t="str">
        <f t="shared" si="236"/>
        <v/>
      </c>
      <c r="S852" s="237" t="str">
        <f t="shared" si="226"/>
        <v/>
      </c>
      <c r="T852" s="237" t="str">
        <f t="shared" si="241"/>
        <v/>
      </c>
      <c r="U852" s="189"/>
      <c r="V852" s="167"/>
      <c r="W852" s="165"/>
      <c r="X852" s="164"/>
      <c r="Y852" s="164"/>
      <c r="Z852" s="164"/>
      <c r="AA852" s="174"/>
      <c r="AB852" s="164"/>
      <c r="AC852" s="174"/>
      <c r="AD852" s="184"/>
      <c r="AE852" s="190" t="str">
        <f t="shared" si="237"/>
        <v/>
      </c>
      <c r="AF852" s="190" t="str">
        <f t="shared" si="238"/>
        <v/>
      </c>
      <c r="AG852" s="190" t="str">
        <f t="shared" si="227"/>
        <v>D</v>
      </c>
      <c r="AH852" s="190">
        <f>IFERROR(VLOOKUP(Y852,SISP_Deflatores_e_INMs!B$4:F$49,3,FALSE),1)</f>
        <v>1</v>
      </c>
      <c r="AI852" s="190">
        <f>IFERROR(VLOOKUP(Y852,SISP_Deflatores_e_INMs!B$4:G$49,5,FALSE),1)</f>
        <v>1</v>
      </c>
      <c r="AJ852" s="191" t="str">
        <f t="shared" si="239"/>
        <v/>
      </c>
      <c r="AK852" s="237" t="str">
        <f t="shared" si="228"/>
        <v/>
      </c>
      <c r="AL852" s="237" t="str">
        <f t="shared" si="240"/>
        <v/>
      </c>
      <c r="AM852" s="192" t="e">
        <f t="shared" si="229"/>
        <v>#VALUE!</v>
      </c>
      <c r="AN852" s="193" t="e">
        <f t="shared" si="230"/>
        <v>#VALUE!</v>
      </c>
      <c r="AO852" s="193" t="e">
        <f t="shared" si="231"/>
        <v>#VALUE!</v>
      </c>
      <c r="AP852" s="193"/>
      <c r="AQ852" s="204"/>
      <c r="AR852" s="204"/>
      <c r="AS852" s="204"/>
      <c r="AT852" s="205"/>
      <c r="AU852"/>
    </row>
    <row r="853" spans="2:47" ht="15" customHeight="1" x14ac:dyDescent="0.25">
      <c r="B853" s="206"/>
      <c r="C853" s="185"/>
      <c r="D853" s="164"/>
      <c r="E853" s="174"/>
      <c r="F853" s="164"/>
      <c r="G853" s="174"/>
      <c r="H853" s="164"/>
      <c r="I853" s="174"/>
      <c r="J853" s="184"/>
      <c r="K853" s="186"/>
      <c r="L853" s="187" t="str">
        <f t="shared" si="232"/>
        <v/>
      </c>
      <c r="M853" s="187" t="str">
        <f t="shared" si="233"/>
        <v/>
      </c>
      <c r="N853" s="187" t="str">
        <f t="shared" si="225"/>
        <v>D</v>
      </c>
      <c r="O853" s="187" t="str">
        <f t="shared" si="234"/>
        <v>D</v>
      </c>
      <c r="P853" s="187">
        <f t="shared" si="235"/>
        <v>1</v>
      </c>
      <c r="Q853" s="187">
        <f>IFERROR(VLOOKUP(E853,Tabela_Deflator:E$43,5,FALSE),1)</f>
        <v>1</v>
      </c>
      <c r="R853" s="188" t="str">
        <f t="shared" si="236"/>
        <v/>
      </c>
      <c r="S853" s="237" t="str">
        <f t="shared" si="226"/>
        <v/>
      </c>
      <c r="T853" s="237" t="str">
        <f t="shared" si="241"/>
        <v/>
      </c>
      <c r="U853" s="189"/>
      <c r="V853" s="167"/>
      <c r="W853" s="165"/>
      <c r="X853" s="164"/>
      <c r="Y853" s="164"/>
      <c r="Z853" s="164"/>
      <c r="AA853" s="174"/>
      <c r="AB853" s="164"/>
      <c r="AC853" s="174"/>
      <c r="AD853" s="184"/>
      <c r="AE853" s="190" t="str">
        <f t="shared" si="237"/>
        <v/>
      </c>
      <c r="AF853" s="190" t="str">
        <f t="shared" si="238"/>
        <v/>
      </c>
      <c r="AG853" s="190" t="str">
        <f t="shared" si="227"/>
        <v>D</v>
      </c>
      <c r="AH853" s="190">
        <f>IFERROR(VLOOKUP(Y853,SISP_Deflatores_e_INMs!B$4:F$49,3,FALSE),1)</f>
        <v>1</v>
      </c>
      <c r="AI853" s="190">
        <f>IFERROR(VLOOKUP(Y853,SISP_Deflatores_e_INMs!B$4:G$49,5,FALSE),1)</f>
        <v>1</v>
      </c>
      <c r="AJ853" s="191" t="str">
        <f t="shared" si="239"/>
        <v/>
      </c>
      <c r="AK853" s="237" t="str">
        <f t="shared" si="228"/>
        <v/>
      </c>
      <c r="AL853" s="237" t="str">
        <f t="shared" si="240"/>
        <v/>
      </c>
      <c r="AM853" s="192" t="e">
        <f t="shared" si="229"/>
        <v>#VALUE!</v>
      </c>
      <c r="AN853" s="193" t="e">
        <f t="shared" si="230"/>
        <v>#VALUE!</v>
      </c>
      <c r="AO853" s="193" t="e">
        <f t="shared" si="231"/>
        <v>#VALUE!</v>
      </c>
      <c r="AP853" s="193"/>
      <c r="AQ853" s="204"/>
      <c r="AR853" s="204"/>
      <c r="AS853" s="204"/>
      <c r="AT853" s="205"/>
      <c r="AU853"/>
    </row>
    <row r="854" spans="2:47" ht="15" customHeight="1" x14ac:dyDescent="0.25">
      <c r="B854" s="206"/>
      <c r="C854" s="185"/>
      <c r="D854" s="164"/>
      <c r="E854" s="174"/>
      <c r="F854" s="164"/>
      <c r="G854" s="174"/>
      <c r="H854" s="164"/>
      <c r="I854" s="174"/>
      <c r="J854" s="184"/>
      <c r="K854" s="186"/>
      <c r="L854" s="187" t="str">
        <f t="shared" si="232"/>
        <v/>
      </c>
      <c r="M854" s="187" t="str">
        <f t="shared" si="233"/>
        <v/>
      </c>
      <c r="N854" s="187" t="str">
        <f t="shared" si="225"/>
        <v>D</v>
      </c>
      <c r="O854" s="187" t="str">
        <f t="shared" si="234"/>
        <v>D</v>
      </c>
      <c r="P854" s="187">
        <f t="shared" si="235"/>
        <v>1</v>
      </c>
      <c r="Q854" s="187">
        <f>IFERROR(VLOOKUP(E854,Tabela_Deflator:E$43,5,FALSE),1)</f>
        <v>1</v>
      </c>
      <c r="R854" s="188" t="str">
        <f t="shared" si="236"/>
        <v/>
      </c>
      <c r="S854" s="237" t="str">
        <f t="shared" si="226"/>
        <v/>
      </c>
      <c r="T854" s="237" t="str">
        <f t="shared" si="241"/>
        <v/>
      </c>
      <c r="U854" s="189"/>
      <c r="V854" s="167"/>
      <c r="W854" s="165"/>
      <c r="X854" s="164"/>
      <c r="Y854" s="164"/>
      <c r="Z854" s="164"/>
      <c r="AA854" s="174"/>
      <c r="AB854" s="164"/>
      <c r="AC854" s="174"/>
      <c r="AD854" s="184"/>
      <c r="AE854" s="190" t="str">
        <f t="shared" si="237"/>
        <v/>
      </c>
      <c r="AF854" s="190" t="str">
        <f t="shared" si="238"/>
        <v/>
      </c>
      <c r="AG854" s="190" t="str">
        <f t="shared" si="227"/>
        <v>D</v>
      </c>
      <c r="AH854" s="190">
        <f>IFERROR(VLOOKUP(Y854,SISP_Deflatores_e_INMs!B$4:F$49,3,FALSE),1)</f>
        <v>1</v>
      </c>
      <c r="AI854" s="190">
        <f>IFERROR(VLOOKUP(Y854,SISP_Deflatores_e_INMs!B$4:G$49,5,FALSE),1)</f>
        <v>1</v>
      </c>
      <c r="AJ854" s="191" t="str">
        <f t="shared" si="239"/>
        <v/>
      </c>
      <c r="AK854" s="237" t="str">
        <f t="shared" si="228"/>
        <v/>
      </c>
      <c r="AL854" s="237" t="str">
        <f t="shared" si="240"/>
        <v/>
      </c>
      <c r="AM854" s="192" t="e">
        <f t="shared" si="229"/>
        <v>#VALUE!</v>
      </c>
      <c r="AN854" s="193" t="e">
        <f t="shared" si="230"/>
        <v>#VALUE!</v>
      </c>
      <c r="AO854" s="193" t="e">
        <f t="shared" si="231"/>
        <v>#VALUE!</v>
      </c>
      <c r="AP854" s="193"/>
      <c r="AQ854" s="204"/>
      <c r="AR854" s="204"/>
      <c r="AS854" s="204"/>
      <c r="AT854" s="205"/>
      <c r="AU854"/>
    </row>
    <row r="855" spans="2:47" ht="15" customHeight="1" x14ac:dyDescent="0.25">
      <c r="B855" s="206"/>
      <c r="C855" s="185"/>
      <c r="D855" s="164"/>
      <c r="E855" s="174"/>
      <c r="F855" s="164"/>
      <c r="G855" s="174"/>
      <c r="H855" s="164"/>
      <c r="I855" s="174"/>
      <c r="J855" s="184"/>
      <c r="K855" s="186"/>
      <c r="L855" s="187" t="str">
        <f t="shared" si="232"/>
        <v/>
      </c>
      <c r="M855" s="187" t="str">
        <f t="shared" si="233"/>
        <v/>
      </c>
      <c r="N855" s="187" t="str">
        <f t="shared" si="225"/>
        <v>D</v>
      </c>
      <c r="O855" s="187" t="str">
        <f t="shared" si="234"/>
        <v>D</v>
      </c>
      <c r="P855" s="187">
        <f t="shared" si="235"/>
        <v>1</v>
      </c>
      <c r="Q855" s="187">
        <f>IFERROR(VLOOKUP(E855,Tabela_Deflator:E$43,5,FALSE),1)</f>
        <v>1</v>
      </c>
      <c r="R855" s="188" t="str">
        <f t="shared" si="236"/>
        <v/>
      </c>
      <c r="S855" s="237" t="str">
        <f t="shared" si="226"/>
        <v/>
      </c>
      <c r="T855" s="237" t="str">
        <f t="shared" si="241"/>
        <v/>
      </c>
      <c r="U855" s="189"/>
      <c r="V855" s="167"/>
      <c r="W855" s="165"/>
      <c r="X855" s="164"/>
      <c r="Y855" s="164"/>
      <c r="Z855" s="164"/>
      <c r="AA855" s="174"/>
      <c r="AB855" s="164"/>
      <c r="AC855" s="174"/>
      <c r="AD855" s="184"/>
      <c r="AE855" s="190" t="str">
        <f t="shared" si="237"/>
        <v/>
      </c>
      <c r="AF855" s="190" t="str">
        <f t="shared" si="238"/>
        <v/>
      </c>
      <c r="AG855" s="190" t="str">
        <f t="shared" si="227"/>
        <v>D</v>
      </c>
      <c r="AH855" s="190">
        <f>IFERROR(VLOOKUP(Y855,SISP_Deflatores_e_INMs!B$4:F$49,3,FALSE),1)</f>
        <v>1</v>
      </c>
      <c r="AI855" s="190">
        <f>IFERROR(VLOOKUP(Y855,SISP_Deflatores_e_INMs!B$4:G$49,5,FALSE),1)</f>
        <v>1</v>
      </c>
      <c r="AJ855" s="191" t="str">
        <f t="shared" si="239"/>
        <v/>
      </c>
      <c r="AK855" s="237" t="str">
        <f t="shared" si="228"/>
        <v/>
      </c>
      <c r="AL855" s="237" t="str">
        <f t="shared" si="240"/>
        <v/>
      </c>
      <c r="AM855" s="192" t="e">
        <f t="shared" si="229"/>
        <v>#VALUE!</v>
      </c>
      <c r="AN855" s="193" t="e">
        <f t="shared" si="230"/>
        <v>#VALUE!</v>
      </c>
      <c r="AO855" s="193" t="e">
        <f t="shared" si="231"/>
        <v>#VALUE!</v>
      </c>
      <c r="AP855" s="193"/>
      <c r="AQ855" s="204"/>
      <c r="AR855" s="204"/>
      <c r="AS855" s="204"/>
      <c r="AT855" s="205"/>
      <c r="AU855"/>
    </row>
    <row r="856" spans="2:47" ht="15" customHeight="1" x14ac:dyDescent="0.25">
      <c r="B856" s="206"/>
      <c r="C856" s="185"/>
      <c r="D856" s="164"/>
      <c r="E856" s="174"/>
      <c r="F856" s="164"/>
      <c r="G856" s="174"/>
      <c r="H856" s="164"/>
      <c r="I856" s="174"/>
      <c r="J856" s="184"/>
      <c r="K856" s="186"/>
      <c r="L856" s="187" t="str">
        <f t="shared" si="232"/>
        <v/>
      </c>
      <c r="M856" s="187" t="str">
        <f t="shared" si="233"/>
        <v/>
      </c>
      <c r="N856" s="187" t="str">
        <f t="shared" si="225"/>
        <v>D</v>
      </c>
      <c r="O856" s="187" t="str">
        <f t="shared" si="234"/>
        <v>D</v>
      </c>
      <c r="P856" s="187">
        <f t="shared" si="235"/>
        <v>1</v>
      </c>
      <c r="Q856" s="187">
        <f>IFERROR(VLOOKUP(E856,Tabela_Deflator:E$43,5,FALSE),1)</f>
        <v>1</v>
      </c>
      <c r="R856" s="188" t="str">
        <f t="shared" si="236"/>
        <v/>
      </c>
      <c r="S856" s="237" t="str">
        <f t="shared" si="226"/>
        <v/>
      </c>
      <c r="T856" s="237" t="str">
        <f t="shared" si="241"/>
        <v/>
      </c>
      <c r="U856" s="189"/>
      <c r="V856" s="167"/>
      <c r="W856" s="165"/>
      <c r="X856" s="164"/>
      <c r="Y856" s="164"/>
      <c r="Z856" s="164"/>
      <c r="AA856" s="174"/>
      <c r="AB856" s="164"/>
      <c r="AC856" s="174"/>
      <c r="AD856" s="184"/>
      <c r="AE856" s="190" t="str">
        <f t="shared" si="237"/>
        <v/>
      </c>
      <c r="AF856" s="190" t="str">
        <f t="shared" si="238"/>
        <v/>
      </c>
      <c r="AG856" s="190" t="str">
        <f t="shared" si="227"/>
        <v>D</v>
      </c>
      <c r="AH856" s="190">
        <f>IFERROR(VLOOKUP(Y856,SISP_Deflatores_e_INMs!B$4:F$49,3,FALSE),1)</f>
        <v>1</v>
      </c>
      <c r="AI856" s="190">
        <f>IFERROR(VLOOKUP(Y856,SISP_Deflatores_e_INMs!B$4:G$49,5,FALSE),1)</f>
        <v>1</v>
      </c>
      <c r="AJ856" s="191" t="str">
        <f t="shared" si="239"/>
        <v/>
      </c>
      <c r="AK856" s="237" t="str">
        <f t="shared" si="228"/>
        <v/>
      </c>
      <c r="AL856" s="237" t="str">
        <f t="shared" si="240"/>
        <v/>
      </c>
      <c r="AM856" s="192" t="e">
        <f t="shared" si="229"/>
        <v>#VALUE!</v>
      </c>
      <c r="AN856" s="193" t="e">
        <f t="shared" si="230"/>
        <v>#VALUE!</v>
      </c>
      <c r="AO856" s="193" t="e">
        <f t="shared" si="231"/>
        <v>#VALUE!</v>
      </c>
      <c r="AP856" s="193"/>
      <c r="AQ856" s="204"/>
      <c r="AR856" s="204"/>
      <c r="AS856" s="204"/>
      <c r="AT856" s="205"/>
      <c r="AU856"/>
    </row>
    <row r="857" spans="2:47" ht="15" customHeight="1" x14ac:dyDescent="0.25">
      <c r="B857" s="206"/>
      <c r="C857" s="185"/>
      <c r="D857" s="164"/>
      <c r="E857" s="174"/>
      <c r="F857" s="164"/>
      <c r="G857" s="174"/>
      <c r="H857" s="164"/>
      <c r="I857" s="174"/>
      <c r="J857" s="184"/>
      <c r="K857" s="186"/>
      <c r="L857" s="187" t="str">
        <f t="shared" si="232"/>
        <v/>
      </c>
      <c r="M857" s="187" t="str">
        <f t="shared" si="233"/>
        <v/>
      </c>
      <c r="N857" s="187" t="str">
        <f t="shared" si="225"/>
        <v>D</v>
      </c>
      <c r="O857" s="187" t="str">
        <f t="shared" si="234"/>
        <v>D</v>
      </c>
      <c r="P857" s="187">
        <f t="shared" si="235"/>
        <v>1</v>
      </c>
      <c r="Q857" s="187">
        <f>IFERROR(VLOOKUP(E857,Tabela_Deflator:E$43,5,FALSE),1)</f>
        <v>1</v>
      </c>
      <c r="R857" s="188" t="str">
        <f t="shared" si="236"/>
        <v/>
      </c>
      <c r="S857" s="237" t="str">
        <f t="shared" si="226"/>
        <v/>
      </c>
      <c r="T857" s="237" t="str">
        <f t="shared" si="241"/>
        <v/>
      </c>
      <c r="U857" s="189"/>
      <c r="V857" s="167"/>
      <c r="W857" s="165"/>
      <c r="X857" s="164"/>
      <c r="Y857" s="164"/>
      <c r="Z857" s="164"/>
      <c r="AA857" s="174"/>
      <c r="AB857" s="164"/>
      <c r="AC857" s="174"/>
      <c r="AD857" s="184"/>
      <c r="AE857" s="190" t="str">
        <f t="shared" si="237"/>
        <v/>
      </c>
      <c r="AF857" s="190" t="str">
        <f t="shared" si="238"/>
        <v/>
      </c>
      <c r="AG857" s="190" t="str">
        <f t="shared" si="227"/>
        <v>D</v>
      </c>
      <c r="AH857" s="190">
        <f>IFERROR(VLOOKUP(Y857,SISP_Deflatores_e_INMs!B$4:F$49,3,FALSE),1)</f>
        <v>1</v>
      </c>
      <c r="AI857" s="190">
        <f>IFERROR(VLOOKUP(Y857,SISP_Deflatores_e_INMs!B$4:G$49,5,FALSE),1)</f>
        <v>1</v>
      </c>
      <c r="AJ857" s="191" t="str">
        <f t="shared" si="239"/>
        <v/>
      </c>
      <c r="AK857" s="237" t="str">
        <f t="shared" si="228"/>
        <v/>
      </c>
      <c r="AL857" s="237" t="str">
        <f t="shared" si="240"/>
        <v/>
      </c>
      <c r="AM857" s="192" t="e">
        <f t="shared" si="229"/>
        <v>#VALUE!</v>
      </c>
      <c r="AN857" s="193" t="e">
        <f t="shared" si="230"/>
        <v>#VALUE!</v>
      </c>
      <c r="AO857" s="193" t="e">
        <f t="shared" si="231"/>
        <v>#VALUE!</v>
      </c>
      <c r="AP857" s="193"/>
      <c r="AQ857" s="204"/>
      <c r="AR857" s="204"/>
      <c r="AS857" s="204"/>
      <c r="AT857" s="205"/>
      <c r="AU857"/>
    </row>
    <row r="858" spans="2:47" ht="15" customHeight="1" x14ac:dyDescent="0.25">
      <c r="B858" s="206"/>
      <c r="C858" s="185"/>
      <c r="D858" s="164"/>
      <c r="E858" s="174"/>
      <c r="F858" s="164"/>
      <c r="G858" s="174"/>
      <c r="H858" s="164"/>
      <c r="I858" s="174"/>
      <c r="J858" s="184"/>
      <c r="K858" s="186"/>
      <c r="L858" s="187" t="str">
        <f t="shared" si="232"/>
        <v/>
      </c>
      <c r="M858" s="187" t="str">
        <f t="shared" si="233"/>
        <v/>
      </c>
      <c r="N858" s="187" t="str">
        <f t="shared" si="225"/>
        <v>D</v>
      </c>
      <c r="O858" s="187" t="str">
        <f t="shared" si="234"/>
        <v>D</v>
      </c>
      <c r="P858" s="187">
        <f t="shared" si="235"/>
        <v>1</v>
      </c>
      <c r="Q858" s="187">
        <f>IFERROR(VLOOKUP(E858,Tabela_Deflator:E$43,5,FALSE),1)</f>
        <v>1</v>
      </c>
      <c r="R858" s="188" t="str">
        <f t="shared" si="236"/>
        <v/>
      </c>
      <c r="S858" s="237" t="str">
        <f t="shared" si="226"/>
        <v/>
      </c>
      <c r="T858" s="237" t="str">
        <f t="shared" si="241"/>
        <v/>
      </c>
      <c r="U858" s="189"/>
      <c r="V858" s="167"/>
      <c r="W858" s="165"/>
      <c r="X858" s="164"/>
      <c r="Y858" s="164"/>
      <c r="Z858" s="164"/>
      <c r="AA858" s="174"/>
      <c r="AB858" s="164"/>
      <c r="AC858" s="174"/>
      <c r="AD858" s="184"/>
      <c r="AE858" s="190" t="str">
        <f t="shared" si="237"/>
        <v/>
      </c>
      <c r="AF858" s="190" t="str">
        <f t="shared" si="238"/>
        <v/>
      </c>
      <c r="AG858" s="190" t="str">
        <f t="shared" si="227"/>
        <v>D</v>
      </c>
      <c r="AH858" s="190">
        <f>IFERROR(VLOOKUP(Y858,SISP_Deflatores_e_INMs!B$4:F$49,3,FALSE),1)</f>
        <v>1</v>
      </c>
      <c r="AI858" s="190">
        <f>IFERROR(VLOOKUP(Y858,SISP_Deflatores_e_INMs!B$4:G$49,5,FALSE),1)</f>
        <v>1</v>
      </c>
      <c r="AJ858" s="191" t="str">
        <f t="shared" si="239"/>
        <v/>
      </c>
      <c r="AK858" s="237" t="str">
        <f t="shared" si="228"/>
        <v/>
      </c>
      <c r="AL858" s="237" t="str">
        <f t="shared" si="240"/>
        <v/>
      </c>
      <c r="AM858" s="192" t="e">
        <f t="shared" si="229"/>
        <v>#VALUE!</v>
      </c>
      <c r="AN858" s="193" t="e">
        <f t="shared" si="230"/>
        <v>#VALUE!</v>
      </c>
      <c r="AO858" s="193" t="e">
        <f t="shared" si="231"/>
        <v>#VALUE!</v>
      </c>
      <c r="AP858" s="193"/>
      <c r="AQ858" s="204"/>
      <c r="AR858" s="204"/>
      <c r="AS858" s="204"/>
      <c r="AT858" s="205"/>
      <c r="AU858"/>
    </row>
    <row r="859" spans="2:47" ht="15" customHeight="1" x14ac:dyDescent="0.25">
      <c r="B859" s="206"/>
      <c r="C859" s="185"/>
      <c r="D859" s="164"/>
      <c r="E859" s="174"/>
      <c r="F859" s="164"/>
      <c r="G859" s="174"/>
      <c r="H859" s="164"/>
      <c r="I859" s="174"/>
      <c r="J859" s="184"/>
      <c r="K859" s="186"/>
      <c r="L859" s="187" t="str">
        <f t="shared" si="232"/>
        <v/>
      </c>
      <c r="M859" s="187" t="str">
        <f t="shared" si="233"/>
        <v/>
      </c>
      <c r="N859" s="187" t="str">
        <f t="shared" si="225"/>
        <v>D</v>
      </c>
      <c r="O859" s="187" t="str">
        <f t="shared" si="234"/>
        <v>D</v>
      </c>
      <c r="P859" s="187">
        <f t="shared" si="235"/>
        <v>1</v>
      </c>
      <c r="Q859" s="187">
        <f>IFERROR(VLOOKUP(E859,Tabela_Deflator:E$43,5,FALSE),1)</f>
        <v>1</v>
      </c>
      <c r="R859" s="188" t="str">
        <f t="shared" si="236"/>
        <v/>
      </c>
      <c r="S859" s="237" t="str">
        <f t="shared" si="226"/>
        <v/>
      </c>
      <c r="T859" s="237" t="str">
        <f t="shared" si="241"/>
        <v/>
      </c>
      <c r="U859" s="189"/>
      <c r="V859" s="167"/>
      <c r="W859" s="165"/>
      <c r="X859" s="164"/>
      <c r="Y859" s="164"/>
      <c r="Z859" s="164"/>
      <c r="AA859" s="174"/>
      <c r="AB859" s="164"/>
      <c r="AC859" s="174"/>
      <c r="AD859" s="184"/>
      <c r="AE859" s="190" t="str">
        <f t="shared" si="237"/>
        <v/>
      </c>
      <c r="AF859" s="190" t="str">
        <f t="shared" si="238"/>
        <v/>
      </c>
      <c r="AG859" s="190" t="str">
        <f t="shared" si="227"/>
        <v>D</v>
      </c>
      <c r="AH859" s="190">
        <f>IFERROR(VLOOKUP(Y859,SISP_Deflatores_e_INMs!B$4:F$49,3,FALSE),1)</f>
        <v>1</v>
      </c>
      <c r="AI859" s="190">
        <f>IFERROR(VLOOKUP(Y859,SISP_Deflatores_e_INMs!B$4:G$49,5,FALSE),1)</f>
        <v>1</v>
      </c>
      <c r="AJ859" s="191" t="str">
        <f t="shared" si="239"/>
        <v/>
      </c>
      <c r="AK859" s="237" t="str">
        <f t="shared" si="228"/>
        <v/>
      </c>
      <c r="AL859" s="237" t="str">
        <f t="shared" si="240"/>
        <v/>
      </c>
      <c r="AM859" s="192" t="e">
        <f t="shared" si="229"/>
        <v>#VALUE!</v>
      </c>
      <c r="AN859" s="193" t="e">
        <f t="shared" si="230"/>
        <v>#VALUE!</v>
      </c>
      <c r="AO859" s="193" t="e">
        <f t="shared" si="231"/>
        <v>#VALUE!</v>
      </c>
      <c r="AP859" s="193"/>
      <c r="AQ859" s="204"/>
      <c r="AR859" s="204"/>
      <c r="AS859" s="204"/>
      <c r="AT859" s="205"/>
      <c r="AU859"/>
    </row>
    <row r="860" spans="2:47" ht="15" customHeight="1" x14ac:dyDescent="0.25">
      <c r="B860" s="206"/>
      <c r="C860" s="185"/>
      <c r="D860" s="164"/>
      <c r="E860" s="174"/>
      <c r="F860" s="164"/>
      <c r="G860" s="174"/>
      <c r="H860" s="164"/>
      <c r="I860" s="174"/>
      <c r="J860" s="184"/>
      <c r="K860" s="186"/>
      <c r="L860" s="187" t="str">
        <f t="shared" si="232"/>
        <v/>
      </c>
      <c r="M860" s="187" t="str">
        <f t="shared" si="233"/>
        <v/>
      </c>
      <c r="N860" s="187" t="str">
        <f t="shared" si="225"/>
        <v>D</v>
      </c>
      <c r="O860" s="187" t="str">
        <f t="shared" si="234"/>
        <v>D</v>
      </c>
      <c r="P860" s="187">
        <f t="shared" si="235"/>
        <v>1</v>
      </c>
      <c r="Q860" s="187">
        <f>IFERROR(VLOOKUP(E860,Tabela_Deflator:E$43,5,FALSE),1)</f>
        <v>1</v>
      </c>
      <c r="R860" s="188" t="str">
        <f t="shared" si="236"/>
        <v/>
      </c>
      <c r="S860" s="237" t="str">
        <f t="shared" si="226"/>
        <v/>
      </c>
      <c r="T860" s="237" t="str">
        <f t="shared" si="241"/>
        <v/>
      </c>
      <c r="U860" s="189"/>
      <c r="V860" s="167"/>
      <c r="W860" s="165"/>
      <c r="X860" s="164"/>
      <c r="Y860" s="164"/>
      <c r="Z860" s="164"/>
      <c r="AA860" s="174"/>
      <c r="AB860" s="164"/>
      <c r="AC860" s="174"/>
      <c r="AD860" s="184"/>
      <c r="AE860" s="190" t="str">
        <f t="shared" si="237"/>
        <v/>
      </c>
      <c r="AF860" s="190" t="str">
        <f t="shared" si="238"/>
        <v/>
      </c>
      <c r="AG860" s="190" t="str">
        <f t="shared" si="227"/>
        <v>D</v>
      </c>
      <c r="AH860" s="190">
        <f>IFERROR(VLOOKUP(Y860,SISP_Deflatores_e_INMs!B$4:F$49,3,FALSE),1)</f>
        <v>1</v>
      </c>
      <c r="AI860" s="190">
        <f>IFERROR(VLOOKUP(Y860,SISP_Deflatores_e_INMs!B$4:G$49,5,FALSE),1)</f>
        <v>1</v>
      </c>
      <c r="AJ860" s="191" t="str">
        <f t="shared" si="239"/>
        <v/>
      </c>
      <c r="AK860" s="237" t="str">
        <f t="shared" si="228"/>
        <v/>
      </c>
      <c r="AL860" s="237" t="str">
        <f t="shared" si="240"/>
        <v/>
      </c>
      <c r="AM860" s="192" t="e">
        <f t="shared" si="229"/>
        <v>#VALUE!</v>
      </c>
      <c r="AN860" s="193" t="e">
        <f t="shared" si="230"/>
        <v>#VALUE!</v>
      </c>
      <c r="AO860" s="193" t="e">
        <f t="shared" si="231"/>
        <v>#VALUE!</v>
      </c>
      <c r="AP860" s="193"/>
      <c r="AQ860" s="204"/>
      <c r="AR860" s="204"/>
      <c r="AS860" s="204"/>
      <c r="AT860" s="205"/>
      <c r="AU860"/>
    </row>
    <row r="861" spans="2:47" ht="15" customHeight="1" x14ac:dyDescent="0.25">
      <c r="B861" s="206"/>
      <c r="C861" s="185"/>
      <c r="D861" s="164"/>
      <c r="E861" s="174"/>
      <c r="F861" s="164"/>
      <c r="G861" s="174"/>
      <c r="H861" s="164"/>
      <c r="I861" s="174"/>
      <c r="J861" s="184"/>
      <c r="K861" s="186"/>
      <c r="L861" s="187" t="str">
        <f t="shared" si="232"/>
        <v/>
      </c>
      <c r="M861" s="187" t="str">
        <f t="shared" si="233"/>
        <v/>
      </c>
      <c r="N861" s="187" t="str">
        <f t="shared" si="225"/>
        <v>D</v>
      </c>
      <c r="O861" s="187" t="str">
        <f t="shared" si="234"/>
        <v>D</v>
      </c>
      <c r="P861" s="187">
        <f t="shared" si="235"/>
        <v>1</v>
      </c>
      <c r="Q861" s="187">
        <f>IFERROR(VLOOKUP(E861,Tabela_Deflator:E$43,5,FALSE),1)</f>
        <v>1</v>
      </c>
      <c r="R861" s="188" t="str">
        <f t="shared" si="236"/>
        <v/>
      </c>
      <c r="S861" s="237" t="str">
        <f t="shared" si="226"/>
        <v/>
      </c>
      <c r="T861" s="237" t="str">
        <f t="shared" si="241"/>
        <v/>
      </c>
      <c r="U861" s="189"/>
      <c r="V861" s="167"/>
      <c r="W861" s="165"/>
      <c r="X861" s="164"/>
      <c r="Y861" s="164"/>
      <c r="Z861" s="164"/>
      <c r="AA861" s="174"/>
      <c r="AB861" s="164"/>
      <c r="AC861" s="174"/>
      <c r="AD861" s="184"/>
      <c r="AE861" s="190" t="str">
        <f t="shared" si="237"/>
        <v/>
      </c>
      <c r="AF861" s="190" t="str">
        <f t="shared" si="238"/>
        <v/>
      </c>
      <c r="AG861" s="190" t="str">
        <f t="shared" si="227"/>
        <v>D</v>
      </c>
      <c r="AH861" s="190">
        <f>IFERROR(VLOOKUP(Y861,SISP_Deflatores_e_INMs!B$4:F$49,3,FALSE),1)</f>
        <v>1</v>
      </c>
      <c r="AI861" s="190">
        <f>IFERROR(VLOOKUP(Y861,SISP_Deflatores_e_INMs!B$4:G$49,5,FALSE),1)</f>
        <v>1</v>
      </c>
      <c r="AJ861" s="191" t="str">
        <f t="shared" si="239"/>
        <v/>
      </c>
      <c r="AK861" s="237" t="str">
        <f t="shared" si="228"/>
        <v/>
      </c>
      <c r="AL861" s="237" t="str">
        <f t="shared" si="240"/>
        <v/>
      </c>
      <c r="AM861" s="192" t="e">
        <f t="shared" si="229"/>
        <v>#VALUE!</v>
      </c>
      <c r="AN861" s="193" t="e">
        <f t="shared" si="230"/>
        <v>#VALUE!</v>
      </c>
      <c r="AO861" s="193" t="e">
        <f t="shared" si="231"/>
        <v>#VALUE!</v>
      </c>
      <c r="AP861" s="193"/>
      <c r="AQ861" s="204"/>
      <c r="AR861" s="204"/>
      <c r="AS861" s="204"/>
      <c r="AT861" s="205"/>
      <c r="AU861"/>
    </row>
    <row r="862" spans="2:47" ht="15" customHeight="1" x14ac:dyDescent="0.25">
      <c r="B862" s="206"/>
      <c r="C862" s="185"/>
      <c r="D862" s="164"/>
      <c r="E862" s="174"/>
      <c r="F862" s="164"/>
      <c r="G862" s="174"/>
      <c r="H862" s="164"/>
      <c r="I862" s="174"/>
      <c r="J862" s="184"/>
      <c r="K862" s="186"/>
      <c r="L862" s="187" t="str">
        <f t="shared" si="232"/>
        <v/>
      </c>
      <c r="M862" s="187" t="str">
        <f t="shared" si="233"/>
        <v/>
      </c>
      <c r="N862" s="187" t="str">
        <f t="shared" si="225"/>
        <v>D</v>
      </c>
      <c r="O862" s="187" t="str">
        <f t="shared" si="234"/>
        <v>D</v>
      </c>
      <c r="P862" s="187">
        <f t="shared" si="235"/>
        <v>1</v>
      </c>
      <c r="Q862" s="187">
        <f>IFERROR(VLOOKUP(E862,Tabela_Deflator:E$43,5,FALSE),1)</f>
        <v>1</v>
      </c>
      <c r="R862" s="188" t="str">
        <f t="shared" si="236"/>
        <v/>
      </c>
      <c r="S862" s="237" t="str">
        <f t="shared" si="226"/>
        <v/>
      </c>
      <c r="T862" s="237" t="str">
        <f t="shared" si="241"/>
        <v/>
      </c>
      <c r="U862" s="189"/>
      <c r="V862" s="167"/>
      <c r="W862" s="165"/>
      <c r="X862" s="164"/>
      <c r="Y862" s="164"/>
      <c r="Z862" s="164"/>
      <c r="AA862" s="174"/>
      <c r="AB862" s="164"/>
      <c r="AC862" s="174"/>
      <c r="AD862" s="184"/>
      <c r="AE862" s="190" t="str">
        <f t="shared" si="237"/>
        <v/>
      </c>
      <c r="AF862" s="190" t="str">
        <f t="shared" si="238"/>
        <v/>
      </c>
      <c r="AG862" s="190" t="str">
        <f t="shared" si="227"/>
        <v>D</v>
      </c>
      <c r="AH862" s="190">
        <f>IFERROR(VLOOKUP(Y862,SISP_Deflatores_e_INMs!B$4:F$49,3,FALSE),1)</f>
        <v>1</v>
      </c>
      <c r="AI862" s="190">
        <f>IFERROR(VLOOKUP(Y862,SISP_Deflatores_e_INMs!B$4:G$49,5,FALSE),1)</f>
        <v>1</v>
      </c>
      <c r="AJ862" s="191" t="str">
        <f t="shared" si="239"/>
        <v/>
      </c>
      <c r="AK862" s="237" t="str">
        <f t="shared" si="228"/>
        <v/>
      </c>
      <c r="AL862" s="237" t="str">
        <f t="shared" si="240"/>
        <v/>
      </c>
      <c r="AM862" s="192" t="e">
        <f t="shared" si="229"/>
        <v>#VALUE!</v>
      </c>
      <c r="AN862" s="193" t="e">
        <f t="shared" si="230"/>
        <v>#VALUE!</v>
      </c>
      <c r="AO862" s="193" t="e">
        <f t="shared" si="231"/>
        <v>#VALUE!</v>
      </c>
      <c r="AP862" s="193"/>
      <c r="AQ862" s="204"/>
      <c r="AR862" s="204"/>
      <c r="AS862" s="204"/>
      <c r="AT862" s="205"/>
      <c r="AU862"/>
    </row>
    <row r="863" spans="2:47" ht="15" customHeight="1" x14ac:dyDescent="0.25">
      <c r="B863" s="206"/>
      <c r="C863" s="185"/>
      <c r="D863" s="164"/>
      <c r="E863" s="174"/>
      <c r="F863" s="164"/>
      <c r="G863" s="174"/>
      <c r="H863" s="164"/>
      <c r="I863" s="174"/>
      <c r="J863" s="184"/>
      <c r="K863" s="186"/>
      <c r="L863" s="187" t="str">
        <f t="shared" si="232"/>
        <v/>
      </c>
      <c r="M863" s="187" t="str">
        <f t="shared" si="233"/>
        <v/>
      </c>
      <c r="N863" s="187" t="str">
        <f t="shared" si="225"/>
        <v>D</v>
      </c>
      <c r="O863" s="187" t="str">
        <f t="shared" si="234"/>
        <v>D</v>
      </c>
      <c r="P863" s="187">
        <f t="shared" si="235"/>
        <v>1</v>
      </c>
      <c r="Q863" s="187">
        <f>IFERROR(VLOOKUP(E863,Tabela_Deflator:E$43,5,FALSE),1)</f>
        <v>1</v>
      </c>
      <c r="R863" s="188" t="str">
        <f t="shared" si="236"/>
        <v/>
      </c>
      <c r="S863" s="237" t="str">
        <f t="shared" si="226"/>
        <v/>
      </c>
      <c r="T863" s="237" t="str">
        <f t="shared" si="241"/>
        <v/>
      </c>
      <c r="U863" s="189"/>
      <c r="V863" s="167"/>
      <c r="W863" s="165"/>
      <c r="X863" s="164"/>
      <c r="Y863" s="164"/>
      <c r="Z863" s="164"/>
      <c r="AA863" s="174"/>
      <c r="AB863" s="164"/>
      <c r="AC863" s="174"/>
      <c r="AD863" s="184"/>
      <c r="AE863" s="190" t="str">
        <f t="shared" si="237"/>
        <v/>
      </c>
      <c r="AF863" s="190" t="str">
        <f t="shared" si="238"/>
        <v/>
      </c>
      <c r="AG863" s="190" t="str">
        <f t="shared" si="227"/>
        <v>D</v>
      </c>
      <c r="AH863" s="190">
        <f>IFERROR(VLOOKUP(Y863,SISP_Deflatores_e_INMs!B$4:F$49,3,FALSE),1)</f>
        <v>1</v>
      </c>
      <c r="AI863" s="190">
        <f>IFERROR(VLOOKUP(Y863,SISP_Deflatores_e_INMs!B$4:G$49,5,FALSE),1)</f>
        <v>1</v>
      </c>
      <c r="AJ863" s="191" t="str">
        <f t="shared" si="239"/>
        <v/>
      </c>
      <c r="AK863" s="237" t="str">
        <f t="shared" si="228"/>
        <v/>
      </c>
      <c r="AL863" s="237" t="str">
        <f t="shared" si="240"/>
        <v/>
      </c>
      <c r="AM863" s="192" t="e">
        <f t="shared" si="229"/>
        <v>#VALUE!</v>
      </c>
      <c r="AN863" s="193" t="e">
        <f t="shared" si="230"/>
        <v>#VALUE!</v>
      </c>
      <c r="AO863" s="193" t="e">
        <f t="shared" si="231"/>
        <v>#VALUE!</v>
      </c>
      <c r="AP863" s="193"/>
      <c r="AQ863" s="204"/>
      <c r="AR863" s="204"/>
      <c r="AS863" s="204"/>
      <c r="AT863" s="205"/>
      <c r="AU863"/>
    </row>
    <row r="864" spans="2:47" ht="15" customHeight="1" x14ac:dyDescent="0.25">
      <c r="B864" s="206"/>
      <c r="C864" s="185"/>
      <c r="D864" s="164"/>
      <c r="E864" s="174"/>
      <c r="F864" s="164"/>
      <c r="G864" s="174"/>
      <c r="H864" s="164"/>
      <c r="I864" s="174"/>
      <c r="J864" s="184"/>
      <c r="K864" s="186"/>
      <c r="L864" s="187" t="str">
        <f t="shared" si="232"/>
        <v/>
      </c>
      <c r="M864" s="187" t="str">
        <f t="shared" si="233"/>
        <v/>
      </c>
      <c r="N864" s="187" t="str">
        <f t="shared" si="225"/>
        <v>D</v>
      </c>
      <c r="O864" s="187" t="str">
        <f t="shared" si="234"/>
        <v>D</v>
      </c>
      <c r="P864" s="187">
        <f t="shared" si="235"/>
        <v>1</v>
      </c>
      <c r="Q864" s="187">
        <f>IFERROR(VLOOKUP(E864,Tabela_Deflator:E$43,5,FALSE),1)</f>
        <v>1</v>
      </c>
      <c r="R864" s="188" t="str">
        <f t="shared" si="236"/>
        <v/>
      </c>
      <c r="S864" s="237" t="str">
        <f t="shared" si="226"/>
        <v/>
      </c>
      <c r="T864" s="237" t="str">
        <f t="shared" si="241"/>
        <v/>
      </c>
      <c r="U864" s="189"/>
      <c r="V864" s="167"/>
      <c r="W864" s="165"/>
      <c r="X864" s="164"/>
      <c r="Y864" s="164"/>
      <c r="Z864" s="164"/>
      <c r="AA864" s="174"/>
      <c r="AB864" s="164"/>
      <c r="AC864" s="174"/>
      <c r="AD864" s="184"/>
      <c r="AE864" s="190" t="str">
        <f t="shared" si="237"/>
        <v/>
      </c>
      <c r="AF864" s="190" t="str">
        <f t="shared" si="238"/>
        <v/>
      </c>
      <c r="AG864" s="190" t="str">
        <f t="shared" si="227"/>
        <v>D</v>
      </c>
      <c r="AH864" s="190">
        <f>IFERROR(VLOOKUP(Y864,SISP_Deflatores_e_INMs!B$4:F$49,3,FALSE),1)</f>
        <v>1</v>
      </c>
      <c r="AI864" s="190">
        <f>IFERROR(VLOOKUP(Y864,SISP_Deflatores_e_INMs!B$4:G$49,5,FALSE),1)</f>
        <v>1</v>
      </c>
      <c r="AJ864" s="191" t="str">
        <f t="shared" si="239"/>
        <v/>
      </c>
      <c r="AK864" s="237" t="str">
        <f t="shared" si="228"/>
        <v/>
      </c>
      <c r="AL864" s="237" t="str">
        <f t="shared" si="240"/>
        <v/>
      </c>
      <c r="AM864" s="192" t="e">
        <f t="shared" si="229"/>
        <v>#VALUE!</v>
      </c>
      <c r="AN864" s="193" t="e">
        <f t="shared" si="230"/>
        <v>#VALUE!</v>
      </c>
      <c r="AO864" s="193" t="e">
        <f t="shared" si="231"/>
        <v>#VALUE!</v>
      </c>
      <c r="AP864" s="193"/>
      <c r="AQ864" s="204"/>
      <c r="AR864" s="204"/>
      <c r="AS864" s="204"/>
      <c r="AT864" s="205"/>
      <c r="AU864"/>
    </row>
    <row r="865" spans="2:47" ht="15" customHeight="1" x14ac:dyDescent="0.25">
      <c r="B865" s="206"/>
      <c r="C865" s="185"/>
      <c r="D865" s="164"/>
      <c r="E865" s="174"/>
      <c r="F865" s="164"/>
      <c r="G865" s="174"/>
      <c r="H865" s="164"/>
      <c r="I865" s="174"/>
      <c r="J865" s="184"/>
      <c r="K865" s="186"/>
      <c r="L865" s="187" t="str">
        <f t="shared" si="232"/>
        <v/>
      </c>
      <c r="M865" s="187" t="str">
        <f t="shared" si="233"/>
        <v/>
      </c>
      <c r="N865" s="187" t="str">
        <f t="shared" si="225"/>
        <v>D</v>
      </c>
      <c r="O865" s="187" t="str">
        <f t="shared" si="234"/>
        <v>D</v>
      </c>
      <c r="P865" s="187">
        <f t="shared" si="235"/>
        <v>1</v>
      </c>
      <c r="Q865" s="187">
        <f>IFERROR(VLOOKUP(E865,Tabela_Deflator:E$43,5,FALSE),1)</f>
        <v>1</v>
      </c>
      <c r="R865" s="188" t="str">
        <f t="shared" si="236"/>
        <v/>
      </c>
      <c r="S865" s="237" t="str">
        <f t="shared" si="226"/>
        <v/>
      </c>
      <c r="T865" s="237" t="str">
        <f t="shared" si="241"/>
        <v/>
      </c>
      <c r="U865" s="189"/>
      <c r="V865" s="167"/>
      <c r="W865" s="165"/>
      <c r="X865" s="164"/>
      <c r="Y865" s="164"/>
      <c r="Z865" s="164"/>
      <c r="AA865" s="174"/>
      <c r="AB865" s="164"/>
      <c r="AC865" s="174"/>
      <c r="AD865" s="184"/>
      <c r="AE865" s="190" t="str">
        <f t="shared" si="237"/>
        <v/>
      </c>
      <c r="AF865" s="190" t="str">
        <f t="shared" si="238"/>
        <v/>
      </c>
      <c r="AG865" s="190" t="str">
        <f t="shared" si="227"/>
        <v>D</v>
      </c>
      <c r="AH865" s="190">
        <f>IFERROR(VLOOKUP(Y865,SISP_Deflatores_e_INMs!B$4:F$49,3,FALSE),1)</f>
        <v>1</v>
      </c>
      <c r="AI865" s="190">
        <f>IFERROR(VLOOKUP(Y865,SISP_Deflatores_e_INMs!B$4:G$49,5,FALSE),1)</f>
        <v>1</v>
      </c>
      <c r="AJ865" s="191" t="str">
        <f t="shared" si="239"/>
        <v/>
      </c>
      <c r="AK865" s="237" t="str">
        <f t="shared" si="228"/>
        <v/>
      </c>
      <c r="AL865" s="237" t="str">
        <f t="shared" si="240"/>
        <v/>
      </c>
      <c r="AM865" s="192" t="e">
        <f t="shared" si="229"/>
        <v>#VALUE!</v>
      </c>
      <c r="AN865" s="193" t="e">
        <f t="shared" si="230"/>
        <v>#VALUE!</v>
      </c>
      <c r="AO865" s="193" t="e">
        <f t="shared" si="231"/>
        <v>#VALUE!</v>
      </c>
      <c r="AP865" s="193"/>
      <c r="AQ865" s="204"/>
      <c r="AR865" s="204"/>
      <c r="AS865" s="204"/>
      <c r="AT865" s="205"/>
      <c r="AU865"/>
    </row>
    <row r="866" spans="2:47" ht="15" customHeight="1" x14ac:dyDescent="0.25">
      <c r="B866" s="206"/>
      <c r="C866" s="185"/>
      <c r="D866" s="164"/>
      <c r="E866" s="174"/>
      <c r="F866" s="164"/>
      <c r="G866" s="174"/>
      <c r="H866" s="164"/>
      <c r="I866" s="174"/>
      <c r="J866" s="184"/>
      <c r="K866" s="186"/>
      <c r="L866" s="187" t="str">
        <f t="shared" si="232"/>
        <v/>
      </c>
      <c r="M866" s="187" t="str">
        <f t="shared" si="233"/>
        <v/>
      </c>
      <c r="N866" s="187" t="str">
        <f t="shared" si="225"/>
        <v>D</v>
      </c>
      <c r="O866" s="187" t="str">
        <f t="shared" si="234"/>
        <v>D</v>
      </c>
      <c r="P866" s="187">
        <f t="shared" si="235"/>
        <v>1</v>
      </c>
      <c r="Q866" s="187">
        <f>IFERROR(VLOOKUP(E866,Tabela_Deflator:E$43,5,FALSE),1)</f>
        <v>1</v>
      </c>
      <c r="R866" s="188" t="str">
        <f t="shared" si="236"/>
        <v/>
      </c>
      <c r="S866" s="237" t="str">
        <f t="shared" si="226"/>
        <v/>
      </c>
      <c r="T866" s="237" t="str">
        <f t="shared" si="241"/>
        <v/>
      </c>
      <c r="U866" s="189"/>
      <c r="V866" s="167"/>
      <c r="W866" s="165"/>
      <c r="X866" s="164"/>
      <c r="Y866" s="164"/>
      <c r="Z866" s="164"/>
      <c r="AA866" s="174"/>
      <c r="AB866" s="164"/>
      <c r="AC866" s="174"/>
      <c r="AD866" s="184"/>
      <c r="AE866" s="190" t="str">
        <f t="shared" si="237"/>
        <v/>
      </c>
      <c r="AF866" s="190" t="str">
        <f t="shared" si="238"/>
        <v/>
      </c>
      <c r="AG866" s="190" t="str">
        <f t="shared" si="227"/>
        <v>D</v>
      </c>
      <c r="AH866" s="190">
        <f>IFERROR(VLOOKUP(Y866,SISP_Deflatores_e_INMs!B$4:F$49,3,FALSE),1)</f>
        <v>1</v>
      </c>
      <c r="AI866" s="190">
        <f>IFERROR(VLOOKUP(Y866,SISP_Deflatores_e_INMs!B$4:G$49,5,FALSE),1)</f>
        <v>1</v>
      </c>
      <c r="AJ866" s="191" t="str">
        <f t="shared" si="239"/>
        <v/>
      </c>
      <c r="AK866" s="237" t="str">
        <f t="shared" si="228"/>
        <v/>
      </c>
      <c r="AL866" s="237" t="str">
        <f t="shared" si="240"/>
        <v/>
      </c>
      <c r="AM866" s="192" t="e">
        <f t="shared" si="229"/>
        <v>#VALUE!</v>
      </c>
      <c r="AN866" s="193" t="e">
        <f t="shared" si="230"/>
        <v>#VALUE!</v>
      </c>
      <c r="AO866" s="193" t="e">
        <f t="shared" si="231"/>
        <v>#VALUE!</v>
      </c>
      <c r="AP866" s="193"/>
      <c r="AQ866" s="204"/>
      <c r="AR866" s="204"/>
      <c r="AS866" s="204"/>
      <c r="AT866" s="205"/>
      <c r="AU866"/>
    </row>
    <row r="867" spans="2:47" ht="15" customHeight="1" x14ac:dyDescent="0.25">
      <c r="B867" s="206"/>
      <c r="C867" s="185"/>
      <c r="D867" s="164"/>
      <c r="E867" s="174"/>
      <c r="F867" s="164"/>
      <c r="G867" s="174"/>
      <c r="H867" s="164"/>
      <c r="I867" s="174"/>
      <c r="J867" s="184"/>
      <c r="K867" s="186"/>
      <c r="L867" s="187" t="str">
        <f t="shared" si="232"/>
        <v/>
      </c>
      <c r="M867" s="187" t="str">
        <f t="shared" si="233"/>
        <v/>
      </c>
      <c r="N867" s="187" t="str">
        <f t="shared" si="225"/>
        <v>D</v>
      </c>
      <c r="O867" s="187" t="str">
        <f t="shared" si="234"/>
        <v>D</v>
      </c>
      <c r="P867" s="187">
        <f t="shared" si="235"/>
        <v>1</v>
      </c>
      <c r="Q867" s="187">
        <f>IFERROR(VLOOKUP(E867,Tabela_Deflator:E$43,5,FALSE),1)</f>
        <v>1</v>
      </c>
      <c r="R867" s="188" t="str">
        <f t="shared" si="236"/>
        <v/>
      </c>
      <c r="S867" s="237" t="str">
        <f t="shared" si="226"/>
        <v/>
      </c>
      <c r="T867" s="237" t="str">
        <f t="shared" si="241"/>
        <v/>
      </c>
      <c r="U867" s="189"/>
      <c r="V867" s="167"/>
      <c r="W867" s="165"/>
      <c r="X867" s="164"/>
      <c r="Y867" s="164"/>
      <c r="Z867" s="164"/>
      <c r="AA867" s="174"/>
      <c r="AB867" s="164"/>
      <c r="AC867" s="174"/>
      <c r="AD867" s="184"/>
      <c r="AE867" s="190" t="str">
        <f t="shared" si="237"/>
        <v/>
      </c>
      <c r="AF867" s="190" t="str">
        <f t="shared" si="238"/>
        <v/>
      </c>
      <c r="AG867" s="190" t="str">
        <f t="shared" si="227"/>
        <v>D</v>
      </c>
      <c r="AH867" s="190">
        <f>IFERROR(VLOOKUP(Y867,SISP_Deflatores_e_INMs!B$4:F$49,3,FALSE),1)</f>
        <v>1</v>
      </c>
      <c r="AI867" s="190">
        <f>IFERROR(VLOOKUP(Y867,SISP_Deflatores_e_INMs!B$4:G$49,5,FALSE),1)</f>
        <v>1</v>
      </c>
      <c r="AJ867" s="191" t="str">
        <f t="shared" si="239"/>
        <v/>
      </c>
      <c r="AK867" s="237" t="str">
        <f t="shared" si="228"/>
        <v/>
      </c>
      <c r="AL867" s="237" t="str">
        <f t="shared" si="240"/>
        <v/>
      </c>
      <c r="AM867" s="192" t="e">
        <f t="shared" si="229"/>
        <v>#VALUE!</v>
      </c>
      <c r="AN867" s="193" t="e">
        <f t="shared" si="230"/>
        <v>#VALUE!</v>
      </c>
      <c r="AO867" s="193" t="e">
        <f t="shared" si="231"/>
        <v>#VALUE!</v>
      </c>
      <c r="AP867" s="193"/>
      <c r="AQ867" s="204"/>
      <c r="AR867" s="204"/>
      <c r="AS867" s="204"/>
      <c r="AT867" s="205"/>
      <c r="AU867"/>
    </row>
    <row r="868" spans="2:47" ht="15" customHeight="1" x14ac:dyDescent="0.25">
      <c r="B868" s="206"/>
      <c r="C868" s="185"/>
      <c r="D868" s="164"/>
      <c r="E868" s="174"/>
      <c r="F868" s="164"/>
      <c r="G868" s="174"/>
      <c r="H868" s="164"/>
      <c r="I868" s="174"/>
      <c r="J868" s="184"/>
      <c r="K868" s="186"/>
      <c r="L868" s="187" t="str">
        <f t="shared" si="232"/>
        <v/>
      </c>
      <c r="M868" s="187" t="str">
        <f t="shared" si="233"/>
        <v/>
      </c>
      <c r="N868" s="187" t="str">
        <f t="shared" si="225"/>
        <v>D</v>
      </c>
      <c r="O868" s="187" t="str">
        <f t="shared" si="234"/>
        <v>D</v>
      </c>
      <c r="P868" s="187">
        <f t="shared" si="235"/>
        <v>1</v>
      </c>
      <c r="Q868" s="187">
        <f>IFERROR(VLOOKUP(E868,Tabela_Deflator:E$43,5,FALSE),1)</f>
        <v>1</v>
      </c>
      <c r="R868" s="188" t="str">
        <f t="shared" si="236"/>
        <v/>
      </c>
      <c r="S868" s="237" t="str">
        <f t="shared" si="226"/>
        <v/>
      </c>
      <c r="T868" s="237" t="str">
        <f t="shared" si="241"/>
        <v/>
      </c>
      <c r="U868" s="189"/>
      <c r="V868" s="167"/>
      <c r="W868" s="165"/>
      <c r="X868" s="164"/>
      <c r="Y868" s="164"/>
      <c r="Z868" s="164"/>
      <c r="AA868" s="174"/>
      <c r="AB868" s="164"/>
      <c r="AC868" s="174"/>
      <c r="AD868" s="184"/>
      <c r="AE868" s="190" t="str">
        <f t="shared" si="237"/>
        <v/>
      </c>
      <c r="AF868" s="190" t="str">
        <f t="shared" si="238"/>
        <v/>
      </c>
      <c r="AG868" s="190" t="str">
        <f t="shared" si="227"/>
        <v>D</v>
      </c>
      <c r="AH868" s="190">
        <f>IFERROR(VLOOKUP(Y868,SISP_Deflatores_e_INMs!B$4:F$49,3,FALSE),1)</f>
        <v>1</v>
      </c>
      <c r="AI868" s="190">
        <f>IFERROR(VLOOKUP(Y868,SISP_Deflatores_e_INMs!B$4:G$49,5,FALSE),1)</f>
        <v>1</v>
      </c>
      <c r="AJ868" s="191" t="str">
        <f t="shared" si="239"/>
        <v/>
      </c>
      <c r="AK868" s="237" t="str">
        <f t="shared" si="228"/>
        <v/>
      </c>
      <c r="AL868" s="237" t="str">
        <f t="shared" si="240"/>
        <v/>
      </c>
      <c r="AM868" s="192" t="e">
        <f t="shared" si="229"/>
        <v>#VALUE!</v>
      </c>
      <c r="AN868" s="193" t="e">
        <f t="shared" si="230"/>
        <v>#VALUE!</v>
      </c>
      <c r="AO868" s="193" t="e">
        <f t="shared" si="231"/>
        <v>#VALUE!</v>
      </c>
      <c r="AP868" s="193"/>
      <c r="AQ868" s="204"/>
      <c r="AR868" s="204"/>
      <c r="AS868" s="204"/>
      <c r="AT868" s="205"/>
      <c r="AU868"/>
    </row>
    <row r="869" spans="2:47" ht="15" customHeight="1" x14ac:dyDescent="0.25">
      <c r="B869" s="206"/>
      <c r="C869" s="185"/>
      <c r="D869" s="164"/>
      <c r="E869" s="174"/>
      <c r="F869" s="164"/>
      <c r="G869" s="174"/>
      <c r="H869" s="164"/>
      <c r="I869" s="174"/>
      <c r="J869" s="184"/>
      <c r="K869" s="186"/>
      <c r="L869" s="187" t="str">
        <f t="shared" si="232"/>
        <v/>
      </c>
      <c r="M869" s="187" t="str">
        <f t="shared" si="233"/>
        <v/>
      </c>
      <c r="N869" s="187" t="str">
        <f t="shared" si="225"/>
        <v>D</v>
      </c>
      <c r="O869" s="187" t="str">
        <f t="shared" si="234"/>
        <v>D</v>
      </c>
      <c r="P869" s="187">
        <f t="shared" si="235"/>
        <v>1</v>
      </c>
      <c r="Q869" s="187">
        <f>IFERROR(VLOOKUP(E869,Tabela_Deflator:E$43,5,FALSE),1)</f>
        <v>1</v>
      </c>
      <c r="R869" s="188" t="str">
        <f t="shared" si="236"/>
        <v/>
      </c>
      <c r="S869" s="237" t="str">
        <f t="shared" si="226"/>
        <v/>
      </c>
      <c r="T869" s="237" t="str">
        <f t="shared" si="241"/>
        <v/>
      </c>
      <c r="U869" s="189"/>
      <c r="V869" s="167"/>
      <c r="W869" s="165"/>
      <c r="X869" s="164"/>
      <c r="Y869" s="164"/>
      <c r="Z869" s="164"/>
      <c r="AA869" s="174"/>
      <c r="AB869" s="164"/>
      <c r="AC869" s="174"/>
      <c r="AD869" s="184"/>
      <c r="AE869" s="190" t="str">
        <f t="shared" si="237"/>
        <v/>
      </c>
      <c r="AF869" s="190" t="str">
        <f t="shared" si="238"/>
        <v/>
      </c>
      <c r="AG869" s="190" t="str">
        <f t="shared" si="227"/>
        <v>D</v>
      </c>
      <c r="AH869" s="190">
        <f>IFERROR(VLOOKUP(Y869,SISP_Deflatores_e_INMs!B$4:F$49,3,FALSE),1)</f>
        <v>1</v>
      </c>
      <c r="AI869" s="190">
        <f>IFERROR(VLOOKUP(Y869,SISP_Deflatores_e_INMs!B$4:G$49,5,FALSE),1)</f>
        <v>1</v>
      </c>
      <c r="AJ869" s="191" t="str">
        <f t="shared" si="239"/>
        <v/>
      </c>
      <c r="AK869" s="237" t="str">
        <f t="shared" si="228"/>
        <v/>
      </c>
      <c r="AL869" s="237" t="str">
        <f t="shared" si="240"/>
        <v/>
      </c>
      <c r="AM869" s="192" t="e">
        <f t="shared" si="229"/>
        <v>#VALUE!</v>
      </c>
      <c r="AN869" s="193" t="e">
        <f t="shared" si="230"/>
        <v>#VALUE!</v>
      </c>
      <c r="AO869" s="193" t="e">
        <f t="shared" si="231"/>
        <v>#VALUE!</v>
      </c>
      <c r="AP869" s="193"/>
      <c r="AQ869" s="204"/>
      <c r="AR869" s="204"/>
      <c r="AS869" s="204"/>
      <c r="AT869" s="205"/>
      <c r="AU869"/>
    </row>
    <row r="870" spans="2:47" ht="15" customHeight="1" x14ac:dyDescent="0.25">
      <c r="B870" s="206"/>
      <c r="C870" s="185"/>
      <c r="D870" s="164"/>
      <c r="E870" s="174"/>
      <c r="F870" s="164"/>
      <c r="G870" s="174"/>
      <c r="H870" s="164"/>
      <c r="I870" s="174"/>
      <c r="J870" s="184"/>
      <c r="K870" s="186"/>
      <c r="L870" s="187" t="str">
        <f t="shared" si="232"/>
        <v/>
      </c>
      <c r="M870" s="187" t="str">
        <f t="shared" si="233"/>
        <v/>
      </c>
      <c r="N870" s="187" t="str">
        <f t="shared" si="225"/>
        <v>D</v>
      </c>
      <c r="O870" s="187" t="str">
        <f t="shared" si="234"/>
        <v>D</v>
      </c>
      <c r="P870" s="187">
        <f t="shared" si="235"/>
        <v>1</v>
      </c>
      <c r="Q870" s="187">
        <f>IFERROR(VLOOKUP(E870,Tabela_Deflator:E$43,5,FALSE),1)</f>
        <v>1</v>
      </c>
      <c r="R870" s="188" t="str">
        <f t="shared" si="236"/>
        <v/>
      </c>
      <c r="S870" s="237" t="str">
        <f t="shared" si="226"/>
        <v/>
      </c>
      <c r="T870" s="237" t="str">
        <f t="shared" si="241"/>
        <v/>
      </c>
      <c r="U870" s="189"/>
      <c r="V870" s="167"/>
      <c r="W870" s="165"/>
      <c r="X870" s="164"/>
      <c r="Y870" s="164"/>
      <c r="Z870" s="164"/>
      <c r="AA870" s="174"/>
      <c r="AB870" s="164"/>
      <c r="AC870" s="174"/>
      <c r="AD870" s="184"/>
      <c r="AE870" s="190" t="str">
        <f t="shared" si="237"/>
        <v/>
      </c>
      <c r="AF870" s="190" t="str">
        <f t="shared" si="238"/>
        <v/>
      </c>
      <c r="AG870" s="190" t="str">
        <f t="shared" si="227"/>
        <v>D</v>
      </c>
      <c r="AH870" s="190">
        <f>IFERROR(VLOOKUP(Y870,SISP_Deflatores_e_INMs!B$4:F$49,3,FALSE),1)</f>
        <v>1</v>
      </c>
      <c r="AI870" s="190">
        <f>IFERROR(VLOOKUP(Y870,SISP_Deflatores_e_INMs!B$4:G$49,5,FALSE),1)</f>
        <v>1</v>
      </c>
      <c r="AJ870" s="191" t="str">
        <f t="shared" si="239"/>
        <v/>
      </c>
      <c r="AK870" s="237" t="str">
        <f t="shared" si="228"/>
        <v/>
      </c>
      <c r="AL870" s="237" t="str">
        <f t="shared" si="240"/>
        <v/>
      </c>
      <c r="AM870" s="192" t="e">
        <f t="shared" si="229"/>
        <v>#VALUE!</v>
      </c>
      <c r="AN870" s="193" t="e">
        <f t="shared" si="230"/>
        <v>#VALUE!</v>
      </c>
      <c r="AO870" s="193" t="e">
        <f t="shared" si="231"/>
        <v>#VALUE!</v>
      </c>
      <c r="AP870" s="193"/>
      <c r="AQ870" s="204"/>
      <c r="AR870" s="204"/>
      <c r="AS870" s="204"/>
      <c r="AT870" s="205"/>
      <c r="AU870"/>
    </row>
    <row r="871" spans="2:47" ht="15" customHeight="1" x14ac:dyDescent="0.25">
      <c r="B871" s="206"/>
      <c r="C871" s="185"/>
      <c r="D871" s="164"/>
      <c r="E871" s="174"/>
      <c r="F871" s="164"/>
      <c r="G871" s="174"/>
      <c r="H871" s="164"/>
      <c r="I871" s="174"/>
      <c r="J871" s="184"/>
      <c r="K871" s="186"/>
      <c r="L871" s="187" t="str">
        <f t="shared" si="232"/>
        <v/>
      </c>
      <c r="M871" s="187" t="str">
        <f t="shared" si="233"/>
        <v/>
      </c>
      <c r="N871" s="187" t="str">
        <f t="shared" si="225"/>
        <v>D</v>
      </c>
      <c r="O871" s="187" t="str">
        <f t="shared" si="234"/>
        <v>D</v>
      </c>
      <c r="P871" s="187">
        <f t="shared" si="235"/>
        <v>1</v>
      </c>
      <c r="Q871" s="187">
        <f>IFERROR(VLOOKUP(E871,Tabela_Deflator:E$43,5,FALSE),1)</f>
        <v>1</v>
      </c>
      <c r="R871" s="188" t="str">
        <f t="shared" si="236"/>
        <v/>
      </c>
      <c r="S871" s="237" t="str">
        <f t="shared" si="226"/>
        <v/>
      </c>
      <c r="T871" s="237" t="str">
        <f t="shared" si="241"/>
        <v/>
      </c>
      <c r="U871" s="189"/>
      <c r="V871" s="167"/>
      <c r="W871" s="165"/>
      <c r="X871" s="164"/>
      <c r="Y871" s="164"/>
      <c r="Z871" s="164"/>
      <c r="AA871" s="174"/>
      <c r="AB871" s="164"/>
      <c r="AC871" s="174"/>
      <c r="AD871" s="184"/>
      <c r="AE871" s="190" t="str">
        <f t="shared" si="237"/>
        <v/>
      </c>
      <c r="AF871" s="190" t="str">
        <f t="shared" si="238"/>
        <v/>
      </c>
      <c r="AG871" s="190" t="str">
        <f t="shared" si="227"/>
        <v>D</v>
      </c>
      <c r="AH871" s="190">
        <f>IFERROR(VLOOKUP(Y871,SISP_Deflatores_e_INMs!B$4:F$49,3,FALSE),1)</f>
        <v>1</v>
      </c>
      <c r="AI871" s="190">
        <f>IFERROR(VLOOKUP(Y871,SISP_Deflatores_e_INMs!B$4:G$49,5,FALSE),1)</f>
        <v>1</v>
      </c>
      <c r="AJ871" s="191" t="str">
        <f t="shared" si="239"/>
        <v/>
      </c>
      <c r="AK871" s="237" t="str">
        <f t="shared" si="228"/>
        <v/>
      </c>
      <c r="AL871" s="237" t="str">
        <f t="shared" si="240"/>
        <v/>
      </c>
      <c r="AM871" s="192" t="e">
        <f t="shared" si="229"/>
        <v>#VALUE!</v>
      </c>
      <c r="AN871" s="193" t="e">
        <f t="shared" si="230"/>
        <v>#VALUE!</v>
      </c>
      <c r="AO871" s="193" t="e">
        <f t="shared" si="231"/>
        <v>#VALUE!</v>
      </c>
      <c r="AP871" s="193"/>
      <c r="AQ871" s="204"/>
      <c r="AR871" s="204"/>
      <c r="AS871" s="204"/>
      <c r="AT871" s="205"/>
      <c r="AU871"/>
    </row>
    <row r="872" spans="2:47" ht="15" customHeight="1" x14ac:dyDescent="0.25">
      <c r="B872" s="206"/>
      <c r="C872" s="185"/>
      <c r="D872" s="164"/>
      <c r="E872" s="174"/>
      <c r="F872" s="164"/>
      <c r="G872" s="174"/>
      <c r="H872" s="164"/>
      <c r="I872" s="174"/>
      <c r="J872" s="184"/>
      <c r="K872" s="186"/>
      <c r="L872" s="187" t="str">
        <f t="shared" si="232"/>
        <v/>
      </c>
      <c r="M872" s="187" t="str">
        <f t="shared" si="233"/>
        <v/>
      </c>
      <c r="N872" s="187" t="str">
        <f t="shared" si="225"/>
        <v>D</v>
      </c>
      <c r="O872" s="187" t="str">
        <f t="shared" si="234"/>
        <v>D</v>
      </c>
      <c r="P872" s="187">
        <f t="shared" si="235"/>
        <v>1</v>
      </c>
      <c r="Q872" s="187">
        <f>IFERROR(VLOOKUP(E872,Tabela_Deflator:E$43,5,FALSE),1)</f>
        <v>1</v>
      </c>
      <c r="R872" s="188" t="str">
        <f t="shared" si="236"/>
        <v/>
      </c>
      <c r="S872" s="237" t="str">
        <f t="shared" si="226"/>
        <v/>
      </c>
      <c r="T872" s="237" t="str">
        <f t="shared" si="241"/>
        <v/>
      </c>
      <c r="U872" s="189"/>
      <c r="V872" s="167"/>
      <c r="W872" s="165"/>
      <c r="X872" s="164"/>
      <c r="Y872" s="164"/>
      <c r="Z872" s="164"/>
      <c r="AA872" s="174"/>
      <c r="AB872" s="164"/>
      <c r="AC872" s="174"/>
      <c r="AD872" s="184"/>
      <c r="AE872" s="190" t="str">
        <f t="shared" si="237"/>
        <v/>
      </c>
      <c r="AF872" s="190" t="str">
        <f t="shared" si="238"/>
        <v/>
      </c>
      <c r="AG872" s="190" t="str">
        <f t="shared" si="227"/>
        <v>D</v>
      </c>
      <c r="AH872" s="190">
        <f>IFERROR(VLOOKUP(Y872,SISP_Deflatores_e_INMs!B$4:F$49,3,FALSE),1)</f>
        <v>1</v>
      </c>
      <c r="AI872" s="190">
        <f>IFERROR(VLOOKUP(Y872,SISP_Deflatores_e_INMs!B$4:G$49,5,FALSE),1)</f>
        <v>1</v>
      </c>
      <c r="AJ872" s="191" t="str">
        <f t="shared" si="239"/>
        <v/>
      </c>
      <c r="AK872" s="237" t="str">
        <f t="shared" si="228"/>
        <v/>
      </c>
      <c r="AL872" s="237" t="str">
        <f t="shared" si="240"/>
        <v/>
      </c>
      <c r="AM872" s="192" t="e">
        <f t="shared" si="229"/>
        <v>#VALUE!</v>
      </c>
      <c r="AN872" s="193" t="e">
        <f t="shared" si="230"/>
        <v>#VALUE!</v>
      </c>
      <c r="AO872" s="193" t="e">
        <f t="shared" si="231"/>
        <v>#VALUE!</v>
      </c>
      <c r="AP872" s="193"/>
      <c r="AQ872" s="204"/>
      <c r="AR872" s="204"/>
      <c r="AS872" s="204"/>
      <c r="AT872" s="205"/>
      <c r="AU872"/>
    </row>
    <row r="873" spans="2:47" ht="15" customHeight="1" x14ac:dyDescent="0.25">
      <c r="B873" s="206"/>
      <c r="C873" s="185"/>
      <c r="D873" s="164"/>
      <c r="E873" s="174"/>
      <c r="F873" s="164"/>
      <c r="G873" s="174"/>
      <c r="H873" s="164"/>
      <c r="I873" s="174"/>
      <c r="J873" s="184"/>
      <c r="K873" s="186"/>
      <c r="L873" s="187" t="str">
        <f t="shared" si="232"/>
        <v/>
      </c>
      <c r="M873" s="187" t="str">
        <f t="shared" si="233"/>
        <v/>
      </c>
      <c r="N873" s="187" t="str">
        <f t="shared" si="225"/>
        <v>D</v>
      </c>
      <c r="O873" s="187" t="str">
        <f t="shared" si="234"/>
        <v>D</v>
      </c>
      <c r="P873" s="187">
        <f t="shared" si="235"/>
        <v>1</v>
      </c>
      <c r="Q873" s="187">
        <f>IFERROR(VLOOKUP(E873,Tabela_Deflator:E$43,5,FALSE),1)</f>
        <v>1</v>
      </c>
      <c r="R873" s="188" t="str">
        <f t="shared" si="236"/>
        <v/>
      </c>
      <c r="S873" s="237" t="str">
        <f t="shared" si="226"/>
        <v/>
      </c>
      <c r="T873" s="237" t="str">
        <f t="shared" si="241"/>
        <v/>
      </c>
      <c r="U873" s="189"/>
      <c r="V873" s="167"/>
      <c r="W873" s="165"/>
      <c r="X873" s="164"/>
      <c r="Y873" s="164"/>
      <c r="Z873" s="164"/>
      <c r="AA873" s="174"/>
      <c r="AB873" s="164"/>
      <c r="AC873" s="174"/>
      <c r="AD873" s="184"/>
      <c r="AE873" s="190" t="str">
        <f t="shared" si="237"/>
        <v/>
      </c>
      <c r="AF873" s="190" t="str">
        <f t="shared" si="238"/>
        <v/>
      </c>
      <c r="AG873" s="190" t="str">
        <f t="shared" si="227"/>
        <v>D</v>
      </c>
      <c r="AH873" s="190">
        <f>IFERROR(VLOOKUP(Y873,SISP_Deflatores_e_INMs!B$4:F$49,3,FALSE),1)</f>
        <v>1</v>
      </c>
      <c r="AI873" s="190">
        <f>IFERROR(VLOOKUP(Y873,SISP_Deflatores_e_INMs!B$4:G$49,5,FALSE),1)</f>
        <v>1</v>
      </c>
      <c r="AJ873" s="191" t="str">
        <f t="shared" si="239"/>
        <v/>
      </c>
      <c r="AK873" s="237" t="str">
        <f t="shared" si="228"/>
        <v/>
      </c>
      <c r="AL873" s="237" t="str">
        <f t="shared" si="240"/>
        <v/>
      </c>
      <c r="AM873" s="192" t="e">
        <f t="shared" si="229"/>
        <v>#VALUE!</v>
      </c>
      <c r="AN873" s="193" t="e">
        <f t="shared" si="230"/>
        <v>#VALUE!</v>
      </c>
      <c r="AO873" s="193" t="e">
        <f t="shared" si="231"/>
        <v>#VALUE!</v>
      </c>
      <c r="AP873" s="193"/>
      <c r="AQ873" s="204"/>
      <c r="AR873" s="204"/>
      <c r="AS873" s="204"/>
      <c r="AT873" s="205"/>
      <c r="AU873"/>
    </row>
    <row r="874" spans="2:47" ht="15" customHeight="1" x14ac:dyDescent="0.25">
      <c r="B874" s="206"/>
      <c r="C874" s="185"/>
      <c r="D874" s="164"/>
      <c r="E874" s="174"/>
      <c r="F874" s="164"/>
      <c r="G874" s="174"/>
      <c r="H874" s="164"/>
      <c r="I874" s="174"/>
      <c r="J874" s="184"/>
      <c r="K874" s="186"/>
      <c r="L874" s="187" t="str">
        <f t="shared" si="232"/>
        <v/>
      </c>
      <c r="M874" s="187" t="str">
        <f t="shared" si="233"/>
        <v/>
      </c>
      <c r="N874" s="187" t="str">
        <f t="shared" si="225"/>
        <v>D</v>
      </c>
      <c r="O874" s="187" t="str">
        <f t="shared" si="234"/>
        <v>D</v>
      </c>
      <c r="P874" s="187">
        <f t="shared" si="235"/>
        <v>1</v>
      </c>
      <c r="Q874" s="187">
        <f>IFERROR(VLOOKUP(E874,Tabela_Deflator:E$43,5,FALSE),1)</f>
        <v>1</v>
      </c>
      <c r="R874" s="188" t="str">
        <f t="shared" si="236"/>
        <v/>
      </c>
      <c r="S874" s="237" t="str">
        <f t="shared" si="226"/>
        <v/>
      </c>
      <c r="T874" s="237" t="str">
        <f t="shared" si="241"/>
        <v/>
      </c>
      <c r="U874" s="189"/>
      <c r="V874" s="167"/>
      <c r="W874" s="165"/>
      <c r="X874" s="164"/>
      <c r="Y874" s="164"/>
      <c r="Z874" s="164"/>
      <c r="AA874" s="174"/>
      <c r="AB874" s="164"/>
      <c r="AC874" s="174"/>
      <c r="AD874" s="184"/>
      <c r="AE874" s="190" t="str">
        <f t="shared" si="237"/>
        <v/>
      </c>
      <c r="AF874" s="190" t="str">
        <f t="shared" si="238"/>
        <v/>
      </c>
      <c r="AG874" s="190" t="str">
        <f t="shared" si="227"/>
        <v>D</v>
      </c>
      <c r="AH874" s="190">
        <f>IFERROR(VLOOKUP(Y874,SISP_Deflatores_e_INMs!B$4:F$49,3,FALSE),1)</f>
        <v>1</v>
      </c>
      <c r="AI874" s="190">
        <f>IFERROR(VLOOKUP(Y874,SISP_Deflatores_e_INMs!B$4:G$49,5,FALSE),1)</f>
        <v>1</v>
      </c>
      <c r="AJ874" s="191" t="str">
        <f t="shared" si="239"/>
        <v/>
      </c>
      <c r="AK874" s="237" t="str">
        <f t="shared" si="228"/>
        <v/>
      </c>
      <c r="AL874" s="237" t="str">
        <f t="shared" si="240"/>
        <v/>
      </c>
      <c r="AM874" s="192" t="e">
        <f t="shared" si="229"/>
        <v>#VALUE!</v>
      </c>
      <c r="AN874" s="193" t="e">
        <f t="shared" si="230"/>
        <v>#VALUE!</v>
      </c>
      <c r="AO874" s="193" t="e">
        <f t="shared" si="231"/>
        <v>#VALUE!</v>
      </c>
      <c r="AP874" s="193"/>
      <c r="AQ874" s="204"/>
      <c r="AR874" s="204"/>
      <c r="AS874" s="204"/>
      <c r="AT874" s="205"/>
      <c r="AU874"/>
    </row>
    <row r="875" spans="2:47" ht="15" customHeight="1" x14ac:dyDescent="0.25">
      <c r="B875" s="206"/>
      <c r="C875" s="185"/>
      <c r="D875" s="164"/>
      <c r="E875" s="174"/>
      <c r="F875" s="164"/>
      <c r="G875" s="174"/>
      <c r="H875" s="164"/>
      <c r="I875" s="174"/>
      <c r="J875" s="184"/>
      <c r="K875" s="186"/>
      <c r="L875" s="187" t="str">
        <f t="shared" si="232"/>
        <v/>
      </c>
      <c r="M875" s="187" t="str">
        <f t="shared" si="233"/>
        <v/>
      </c>
      <c r="N875" s="187" t="str">
        <f t="shared" si="225"/>
        <v>D</v>
      </c>
      <c r="O875" s="187" t="str">
        <f t="shared" si="234"/>
        <v>D</v>
      </c>
      <c r="P875" s="187">
        <f t="shared" si="235"/>
        <v>1</v>
      </c>
      <c r="Q875" s="187">
        <f>IFERROR(VLOOKUP(E875,Tabela_Deflator:E$43,5,FALSE),1)</f>
        <v>1</v>
      </c>
      <c r="R875" s="188" t="str">
        <f t="shared" si="236"/>
        <v/>
      </c>
      <c r="S875" s="237" t="str">
        <f t="shared" si="226"/>
        <v/>
      </c>
      <c r="T875" s="237" t="str">
        <f t="shared" si="241"/>
        <v/>
      </c>
      <c r="U875" s="189"/>
      <c r="V875" s="167"/>
      <c r="W875" s="165"/>
      <c r="X875" s="164"/>
      <c r="Y875" s="164"/>
      <c r="Z875" s="164"/>
      <c r="AA875" s="174"/>
      <c r="AB875" s="164"/>
      <c r="AC875" s="174"/>
      <c r="AD875" s="184"/>
      <c r="AE875" s="190" t="str">
        <f t="shared" si="237"/>
        <v/>
      </c>
      <c r="AF875" s="190" t="str">
        <f t="shared" si="238"/>
        <v/>
      </c>
      <c r="AG875" s="190" t="str">
        <f t="shared" si="227"/>
        <v>D</v>
      </c>
      <c r="AH875" s="190">
        <f>IFERROR(VLOOKUP(Y875,SISP_Deflatores_e_INMs!B$4:F$49,3,FALSE),1)</f>
        <v>1</v>
      </c>
      <c r="AI875" s="190">
        <f>IFERROR(VLOOKUP(Y875,SISP_Deflatores_e_INMs!B$4:G$49,5,FALSE),1)</f>
        <v>1</v>
      </c>
      <c r="AJ875" s="191" t="str">
        <f t="shared" si="239"/>
        <v/>
      </c>
      <c r="AK875" s="237" t="str">
        <f t="shared" si="228"/>
        <v/>
      </c>
      <c r="AL875" s="237" t="str">
        <f t="shared" si="240"/>
        <v/>
      </c>
      <c r="AM875" s="192" t="e">
        <f t="shared" si="229"/>
        <v>#VALUE!</v>
      </c>
      <c r="AN875" s="193" t="e">
        <f t="shared" si="230"/>
        <v>#VALUE!</v>
      </c>
      <c r="AO875" s="193" t="e">
        <f t="shared" si="231"/>
        <v>#VALUE!</v>
      </c>
      <c r="AP875" s="193"/>
      <c r="AQ875" s="204"/>
      <c r="AR875" s="204"/>
      <c r="AS875" s="204"/>
      <c r="AT875" s="205"/>
      <c r="AU875"/>
    </row>
    <row r="876" spans="2:47" ht="15" customHeight="1" x14ac:dyDescent="0.25">
      <c r="B876" s="206"/>
      <c r="C876" s="185"/>
      <c r="D876" s="164"/>
      <c r="E876" s="174"/>
      <c r="F876" s="164"/>
      <c r="G876" s="174"/>
      <c r="H876" s="164"/>
      <c r="I876" s="174"/>
      <c r="J876" s="184"/>
      <c r="K876" s="186"/>
      <c r="L876" s="187" t="str">
        <f t="shared" si="232"/>
        <v/>
      </c>
      <c r="M876" s="187" t="str">
        <f t="shared" si="233"/>
        <v/>
      </c>
      <c r="N876" s="187" t="str">
        <f t="shared" si="225"/>
        <v>D</v>
      </c>
      <c r="O876" s="187" t="str">
        <f t="shared" si="234"/>
        <v>D</v>
      </c>
      <c r="P876" s="187">
        <f t="shared" si="235"/>
        <v>1</v>
      </c>
      <c r="Q876" s="187">
        <f>IFERROR(VLOOKUP(E876,Tabela_Deflator:E$43,5,FALSE),1)</f>
        <v>1</v>
      </c>
      <c r="R876" s="188" t="str">
        <f t="shared" si="236"/>
        <v/>
      </c>
      <c r="S876" s="237" t="str">
        <f t="shared" si="226"/>
        <v/>
      </c>
      <c r="T876" s="237" t="str">
        <f t="shared" si="241"/>
        <v/>
      </c>
      <c r="U876" s="189"/>
      <c r="V876" s="167"/>
      <c r="W876" s="165"/>
      <c r="X876" s="164"/>
      <c r="Y876" s="164"/>
      <c r="Z876" s="164"/>
      <c r="AA876" s="174"/>
      <c r="AB876" s="164"/>
      <c r="AC876" s="174"/>
      <c r="AD876" s="184"/>
      <c r="AE876" s="190" t="str">
        <f t="shared" si="237"/>
        <v/>
      </c>
      <c r="AF876" s="190" t="str">
        <f t="shared" si="238"/>
        <v/>
      </c>
      <c r="AG876" s="190" t="str">
        <f t="shared" si="227"/>
        <v>D</v>
      </c>
      <c r="AH876" s="190">
        <f>IFERROR(VLOOKUP(Y876,SISP_Deflatores_e_INMs!B$4:F$49,3,FALSE),1)</f>
        <v>1</v>
      </c>
      <c r="AI876" s="190">
        <f>IFERROR(VLOOKUP(Y876,SISP_Deflatores_e_INMs!B$4:G$49,5,FALSE),1)</f>
        <v>1</v>
      </c>
      <c r="AJ876" s="191" t="str">
        <f t="shared" si="239"/>
        <v/>
      </c>
      <c r="AK876" s="237" t="str">
        <f t="shared" si="228"/>
        <v/>
      </c>
      <c r="AL876" s="237" t="str">
        <f t="shared" si="240"/>
        <v/>
      </c>
      <c r="AM876" s="192" t="e">
        <f t="shared" si="229"/>
        <v>#VALUE!</v>
      </c>
      <c r="AN876" s="193" t="e">
        <f t="shared" si="230"/>
        <v>#VALUE!</v>
      </c>
      <c r="AO876" s="193" t="e">
        <f t="shared" si="231"/>
        <v>#VALUE!</v>
      </c>
      <c r="AP876" s="193"/>
      <c r="AQ876" s="204"/>
      <c r="AR876" s="204"/>
      <c r="AS876" s="204"/>
      <c r="AT876" s="205"/>
      <c r="AU876"/>
    </row>
    <row r="877" spans="2:47" ht="15" customHeight="1" x14ac:dyDescent="0.25">
      <c r="B877" s="206"/>
      <c r="C877" s="185"/>
      <c r="D877" s="164"/>
      <c r="E877" s="174"/>
      <c r="F877" s="164"/>
      <c r="G877" s="174"/>
      <c r="H877" s="164"/>
      <c r="I877" s="174"/>
      <c r="J877" s="184"/>
      <c r="K877" s="186"/>
      <c r="L877" s="187" t="str">
        <f t="shared" si="232"/>
        <v/>
      </c>
      <c r="M877" s="187" t="str">
        <f t="shared" si="233"/>
        <v/>
      </c>
      <c r="N877" s="187" t="str">
        <f t="shared" si="225"/>
        <v>D</v>
      </c>
      <c r="O877" s="187" t="str">
        <f t="shared" si="234"/>
        <v>D</v>
      </c>
      <c r="P877" s="187">
        <f t="shared" si="235"/>
        <v>1</v>
      </c>
      <c r="Q877" s="187">
        <f>IFERROR(VLOOKUP(E877,Tabela_Deflator:E$43,5,FALSE),1)</f>
        <v>1</v>
      </c>
      <c r="R877" s="188" t="str">
        <f t="shared" si="236"/>
        <v/>
      </c>
      <c r="S877" s="237" t="str">
        <f t="shared" si="226"/>
        <v/>
      </c>
      <c r="T877" s="237" t="str">
        <f t="shared" si="241"/>
        <v/>
      </c>
      <c r="U877" s="189"/>
      <c r="V877" s="167"/>
      <c r="W877" s="165"/>
      <c r="X877" s="164"/>
      <c r="Y877" s="164"/>
      <c r="Z877" s="164"/>
      <c r="AA877" s="174"/>
      <c r="AB877" s="164"/>
      <c r="AC877" s="174"/>
      <c r="AD877" s="184"/>
      <c r="AE877" s="190" t="str">
        <f t="shared" si="237"/>
        <v/>
      </c>
      <c r="AF877" s="190" t="str">
        <f t="shared" si="238"/>
        <v/>
      </c>
      <c r="AG877" s="190" t="str">
        <f t="shared" si="227"/>
        <v>D</v>
      </c>
      <c r="AH877" s="190">
        <f>IFERROR(VLOOKUP(Y877,SISP_Deflatores_e_INMs!B$4:F$49,3,FALSE),1)</f>
        <v>1</v>
      </c>
      <c r="AI877" s="190">
        <f>IFERROR(VLOOKUP(Y877,SISP_Deflatores_e_INMs!B$4:G$49,5,FALSE),1)</f>
        <v>1</v>
      </c>
      <c r="AJ877" s="191" t="str">
        <f t="shared" si="239"/>
        <v/>
      </c>
      <c r="AK877" s="237" t="str">
        <f t="shared" si="228"/>
        <v/>
      </c>
      <c r="AL877" s="237" t="str">
        <f t="shared" si="240"/>
        <v/>
      </c>
      <c r="AM877" s="192" t="e">
        <f t="shared" si="229"/>
        <v>#VALUE!</v>
      </c>
      <c r="AN877" s="193" t="e">
        <f t="shared" si="230"/>
        <v>#VALUE!</v>
      </c>
      <c r="AO877" s="193" t="e">
        <f t="shared" si="231"/>
        <v>#VALUE!</v>
      </c>
      <c r="AP877" s="193"/>
      <c r="AQ877" s="204"/>
      <c r="AR877" s="204"/>
      <c r="AS877" s="204"/>
      <c r="AT877" s="205"/>
      <c r="AU877"/>
    </row>
    <row r="878" spans="2:47" ht="15" customHeight="1" x14ac:dyDescent="0.25">
      <c r="B878" s="206"/>
      <c r="C878" s="185"/>
      <c r="D878" s="164"/>
      <c r="E878" s="174"/>
      <c r="F878" s="164"/>
      <c r="G878" s="174"/>
      <c r="H878" s="164"/>
      <c r="I878" s="174"/>
      <c r="J878" s="184"/>
      <c r="K878" s="186"/>
      <c r="L878" s="187" t="str">
        <f t="shared" si="232"/>
        <v/>
      </c>
      <c r="M878" s="187" t="str">
        <f t="shared" si="233"/>
        <v/>
      </c>
      <c r="N878" s="187" t="str">
        <f t="shared" si="225"/>
        <v>D</v>
      </c>
      <c r="O878" s="187" t="str">
        <f t="shared" si="234"/>
        <v>D</v>
      </c>
      <c r="P878" s="187">
        <f t="shared" si="235"/>
        <v>1</v>
      </c>
      <c r="Q878" s="187">
        <f>IFERROR(VLOOKUP(E878,Tabela_Deflator:E$43,5,FALSE),1)</f>
        <v>1</v>
      </c>
      <c r="R878" s="188" t="str">
        <f t="shared" si="236"/>
        <v/>
      </c>
      <c r="S878" s="237" t="str">
        <f t="shared" si="226"/>
        <v/>
      </c>
      <c r="T878" s="237" t="str">
        <f t="shared" si="241"/>
        <v/>
      </c>
      <c r="U878" s="189"/>
      <c r="V878" s="167"/>
      <c r="W878" s="165"/>
      <c r="X878" s="164"/>
      <c r="Y878" s="164"/>
      <c r="Z878" s="164"/>
      <c r="AA878" s="174"/>
      <c r="AB878" s="164"/>
      <c r="AC878" s="174"/>
      <c r="AD878" s="184"/>
      <c r="AE878" s="190" t="str">
        <f t="shared" si="237"/>
        <v/>
      </c>
      <c r="AF878" s="190" t="str">
        <f t="shared" si="238"/>
        <v/>
      </c>
      <c r="AG878" s="190" t="str">
        <f t="shared" si="227"/>
        <v>D</v>
      </c>
      <c r="AH878" s="190">
        <f>IFERROR(VLOOKUP(Y878,SISP_Deflatores_e_INMs!B$4:F$49,3,FALSE),1)</f>
        <v>1</v>
      </c>
      <c r="AI878" s="190">
        <f>IFERROR(VLOOKUP(Y878,SISP_Deflatores_e_INMs!B$4:G$49,5,FALSE),1)</f>
        <v>1</v>
      </c>
      <c r="AJ878" s="191" t="str">
        <f t="shared" si="239"/>
        <v/>
      </c>
      <c r="AK878" s="237" t="str">
        <f t="shared" si="228"/>
        <v/>
      </c>
      <c r="AL878" s="237" t="str">
        <f t="shared" si="240"/>
        <v/>
      </c>
      <c r="AM878" s="192" t="e">
        <f t="shared" si="229"/>
        <v>#VALUE!</v>
      </c>
      <c r="AN878" s="193" t="e">
        <f t="shared" si="230"/>
        <v>#VALUE!</v>
      </c>
      <c r="AO878" s="193" t="e">
        <f t="shared" si="231"/>
        <v>#VALUE!</v>
      </c>
      <c r="AP878" s="193"/>
      <c r="AQ878" s="204"/>
      <c r="AR878" s="204"/>
      <c r="AS878" s="204"/>
      <c r="AT878" s="205"/>
      <c r="AU878"/>
    </row>
    <row r="879" spans="2:47" ht="15" customHeight="1" x14ac:dyDescent="0.25">
      <c r="B879" s="206"/>
      <c r="C879" s="185"/>
      <c r="D879" s="164"/>
      <c r="E879" s="174"/>
      <c r="F879" s="164"/>
      <c r="G879" s="174"/>
      <c r="H879" s="164"/>
      <c r="I879" s="174"/>
      <c r="J879" s="184"/>
      <c r="K879" s="186"/>
      <c r="L879" s="187" t="str">
        <f t="shared" si="232"/>
        <v/>
      </c>
      <c r="M879" s="187" t="str">
        <f t="shared" si="233"/>
        <v/>
      </c>
      <c r="N879" s="187" t="str">
        <f t="shared" si="225"/>
        <v>D</v>
      </c>
      <c r="O879" s="187" t="str">
        <f t="shared" si="234"/>
        <v>D</v>
      </c>
      <c r="P879" s="187">
        <f t="shared" si="235"/>
        <v>1</v>
      </c>
      <c r="Q879" s="187">
        <f>IFERROR(VLOOKUP(E879,Tabela_Deflator:E$43,5,FALSE),1)</f>
        <v>1</v>
      </c>
      <c r="R879" s="188" t="str">
        <f t="shared" si="236"/>
        <v/>
      </c>
      <c r="S879" s="237" t="str">
        <f t="shared" si="226"/>
        <v/>
      </c>
      <c r="T879" s="237" t="str">
        <f t="shared" si="241"/>
        <v/>
      </c>
      <c r="U879" s="189"/>
      <c r="V879" s="167"/>
      <c r="W879" s="165"/>
      <c r="X879" s="164"/>
      <c r="Y879" s="164"/>
      <c r="Z879" s="164"/>
      <c r="AA879" s="174"/>
      <c r="AB879" s="164"/>
      <c r="AC879" s="174"/>
      <c r="AD879" s="184"/>
      <c r="AE879" s="190" t="str">
        <f t="shared" si="237"/>
        <v/>
      </c>
      <c r="AF879" s="190" t="str">
        <f t="shared" si="238"/>
        <v/>
      </c>
      <c r="AG879" s="190" t="str">
        <f t="shared" si="227"/>
        <v>D</v>
      </c>
      <c r="AH879" s="190">
        <f>IFERROR(VLOOKUP(Y879,SISP_Deflatores_e_INMs!B$4:F$49,3,FALSE),1)</f>
        <v>1</v>
      </c>
      <c r="AI879" s="190">
        <f>IFERROR(VLOOKUP(Y879,SISP_Deflatores_e_INMs!B$4:G$49,5,FALSE),1)</f>
        <v>1</v>
      </c>
      <c r="AJ879" s="191" t="str">
        <f t="shared" si="239"/>
        <v/>
      </c>
      <c r="AK879" s="237" t="str">
        <f t="shared" si="228"/>
        <v/>
      </c>
      <c r="AL879" s="237" t="str">
        <f t="shared" si="240"/>
        <v/>
      </c>
      <c r="AM879" s="192" t="e">
        <f t="shared" si="229"/>
        <v>#VALUE!</v>
      </c>
      <c r="AN879" s="193" t="e">
        <f t="shared" si="230"/>
        <v>#VALUE!</v>
      </c>
      <c r="AO879" s="193" t="e">
        <f t="shared" si="231"/>
        <v>#VALUE!</v>
      </c>
      <c r="AP879" s="193"/>
      <c r="AQ879" s="204"/>
      <c r="AR879" s="204"/>
      <c r="AS879" s="204"/>
      <c r="AT879" s="205"/>
      <c r="AU879"/>
    </row>
    <row r="880" spans="2:47" ht="15" customHeight="1" x14ac:dyDescent="0.25">
      <c r="B880" s="206"/>
      <c r="C880" s="185"/>
      <c r="D880" s="164"/>
      <c r="E880" s="174"/>
      <c r="F880" s="164"/>
      <c r="G880" s="174"/>
      <c r="H880" s="164"/>
      <c r="I880" s="174"/>
      <c r="J880" s="184"/>
      <c r="K880" s="186"/>
      <c r="L880" s="187" t="str">
        <f t="shared" si="232"/>
        <v/>
      </c>
      <c r="M880" s="187" t="str">
        <f t="shared" si="233"/>
        <v/>
      </c>
      <c r="N880" s="187" t="str">
        <f t="shared" si="225"/>
        <v>D</v>
      </c>
      <c r="O880" s="187" t="str">
        <f t="shared" si="234"/>
        <v>D</v>
      </c>
      <c r="P880" s="187">
        <f t="shared" si="235"/>
        <v>1</v>
      </c>
      <c r="Q880" s="187">
        <f>IFERROR(VLOOKUP(E880,Tabela_Deflator:E$43,5,FALSE),1)</f>
        <v>1</v>
      </c>
      <c r="R880" s="188" t="str">
        <f t="shared" si="236"/>
        <v/>
      </c>
      <c r="S880" s="237" t="str">
        <f t="shared" si="226"/>
        <v/>
      </c>
      <c r="T880" s="237" t="str">
        <f t="shared" si="241"/>
        <v/>
      </c>
      <c r="U880" s="189"/>
      <c r="V880" s="167"/>
      <c r="W880" s="165"/>
      <c r="X880" s="164"/>
      <c r="Y880" s="164"/>
      <c r="Z880" s="164"/>
      <c r="AA880" s="174"/>
      <c r="AB880" s="164"/>
      <c r="AC880" s="174"/>
      <c r="AD880" s="184"/>
      <c r="AE880" s="190" t="str">
        <f t="shared" si="237"/>
        <v/>
      </c>
      <c r="AF880" s="190" t="str">
        <f t="shared" si="238"/>
        <v/>
      </c>
      <c r="AG880" s="190" t="str">
        <f t="shared" si="227"/>
        <v>D</v>
      </c>
      <c r="AH880" s="190">
        <f>IFERROR(VLOOKUP(Y880,SISP_Deflatores_e_INMs!B$4:F$49,3,FALSE),1)</f>
        <v>1</v>
      </c>
      <c r="AI880" s="190">
        <f>IFERROR(VLOOKUP(Y880,SISP_Deflatores_e_INMs!B$4:G$49,5,FALSE),1)</f>
        <v>1</v>
      </c>
      <c r="AJ880" s="191" t="str">
        <f t="shared" si="239"/>
        <v/>
      </c>
      <c r="AK880" s="237" t="str">
        <f t="shared" si="228"/>
        <v/>
      </c>
      <c r="AL880" s="237" t="str">
        <f t="shared" si="240"/>
        <v/>
      </c>
      <c r="AM880" s="192" t="e">
        <f t="shared" si="229"/>
        <v>#VALUE!</v>
      </c>
      <c r="AN880" s="193" t="e">
        <f t="shared" si="230"/>
        <v>#VALUE!</v>
      </c>
      <c r="AO880" s="193" t="e">
        <f t="shared" si="231"/>
        <v>#VALUE!</v>
      </c>
      <c r="AP880" s="193"/>
      <c r="AQ880" s="204"/>
      <c r="AR880" s="204"/>
      <c r="AS880" s="204"/>
      <c r="AT880" s="205"/>
      <c r="AU880"/>
    </row>
    <row r="881" spans="2:47" ht="15" customHeight="1" x14ac:dyDescent="0.25">
      <c r="B881" s="206"/>
      <c r="C881" s="185"/>
      <c r="D881" s="164"/>
      <c r="E881" s="174"/>
      <c r="F881" s="164"/>
      <c r="G881" s="174"/>
      <c r="H881" s="164"/>
      <c r="I881" s="174"/>
      <c r="J881" s="184"/>
      <c r="K881" s="186"/>
      <c r="L881" s="187" t="str">
        <f t="shared" si="232"/>
        <v/>
      </c>
      <c r="M881" s="187" t="str">
        <f t="shared" si="233"/>
        <v/>
      </c>
      <c r="N881" s="187" t="str">
        <f t="shared" si="225"/>
        <v>D</v>
      </c>
      <c r="O881" s="187" t="str">
        <f t="shared" si="234"/>
        <v>D</v>
      </c>
      <c r="P881" s="187">
        <f t="shared" si="235"/>
        <v>1</v>
      </c>
      <c r="Q881" s="187">
        <f>IFERROR(VLOOKUP(E881,Tabela_Deflator:E$43,5,FALSE),1)</f>
        <v>1</v>
      </c>
      <c r="R881" s="188" t="str">
        <f t="shared" si="236"/>
        <v/>
      </c>
      <c r="S881" s="237" t="str">
        <f t="shared" si="226"/>
        <v/>
      </c>
      <c r="T881" s="237" t="str">
        <f t="shared" si="241"/>
        <v/>
      </c>
      <c r="U881" s="189"/>
      <c r="V881" s="167"/>
      <c r="W881" s="165"/>
      <c r="X881" s="164"/>
      <c r="Y881" s="164"/>
      <c r="Z881" s="164"/>
      <c r="AA881" s="174"/>
      <c r="AB881" s="164"/>
      <c r="AC881" s="174"/>
      <c r="AD881" s="184"/>
      <c r="AE881" s="190" t="str">
        <f t="shared" si="237"/>
        <v/>
      </c>
      <c r="AF881" s="190" t="str">
        <f t="shared" si="238"/>
        <v/>
      </c>
      <c r="AG881" s="190" t="str">
        <f t="shared" si="227"/>
        <v>D</v>
      </c>
      <c r="AH881" s="190">
        <f>IFERROR(VLOOKUP(Y881,SISP_Deflatores_e_INMs!B$4:F$49,3,FALSE),1)</f>
        <v>1</v>
      </c>
      <c r="AI881" s="190">
        <f>IFERROR(VLOOKUP(Y881,SISP_Deflatores_e_INMs!B$4:G$49,5,FALSE),1)</f>
        <v>1</v>
      </c>
      <c r="AJ881" s="191" t="str">
        <f t="shared" si="239"/>
        <v/>
      </c>
      <c r="AK881" s="237" t="str">
        <f t="shared" si="228"/>
        <v/>
      </c>
      <c r="AL881" s="237" t="str">
        <f t="shared" si="240"/>
        <v/>
      </c>
      <c r="AM881" s="192" t="e">
        <f t="shared" si="229"/>
        <v>#VALUE!</v>
      </c>
      <c r="AN881" s="193" t="e">
        <f t="shared" si="230"/>
        <v>#VALUE!</v>
      </c>
      <c r="AO881" s="193" t="e">
        <f t="shared" si="231"/>
        <v>#VALUE!</v>
      </c>
      <c r="AP881" s="193"/>
      <c r="AQ881" s="204"/>
      <c r="AR881" s="204"/>
      <c r="AS881" s="204"/>
      <c r="AT881" s="205"/>
      <c r="AU881"/>
    </row>
    <row r="882" spans="2:47" ht="15" customHeight="1" x14ac:dyDescent="0.25">
      <c r="B882" s="206"/>
      <c r="C882" s="185"/>
      <c r="D882" s="164"/>
      <c r="E882" s="174"/>
      <c r="F882" s="164"/>
      <c r="G882" s="174"/>
      <c r="H882" s="164"/>
      <c r="I882" s="174"/>
      <c r="J882" s="184"/>
      <c r="K882" s="186"/>
      <c r="L882" s="187" t="str">
        <f t="shared" si="232"/>
        <v/>
      </c>
      <c r="M882" s="187" t="str">
        <f t="shared" si="233"/>
        <v/>
      </c>
      <c r="N882" s="187" t="str">
        <f t="shared" si="225"/>
        <v>D</v>
      </c>
      <c r="O882" s="187" t="str">
        <f t="shared" si="234"/>
        <v>D</v>
      </c>
      <c r="P882" s="187">
        <f t="shared" si="235"/>
        <v>1</v>
      </c>
      <c r="Q882" s="187">
        <f>IFERROR(VLOOKUP(E882,Tabela_Deflator:E$43,5,FALSE),1)</f>
        <v>1</v>
      </c>
      <c r="R882" s="188" t="str">
        <f t="shared" si="236"/>
        <v/>
      </c>
      <c r="S882" s="237" t="str">
        <f t="shared" si="226"/>
        <v/>
      </c>
      <c r="T882" s="237" t="str">
        <f t="shared" si="241"/>
        <v/>
      </c>
      <c r="U882" s="189"/>
      <c r="V882" s="167"/>
      <c r="W882" s="165"/>
      <c r="X882" s="164"/>
      <c r="Y882" s="164"/>
      <c r="Z882" s="164"/>
      <c r="AA882" s="174"/>
      <c r="AB882" s="164"/>
      <c r="AC882" s="174"/>
      <c r="AD882" s="184"/>
      <c r="AE882" s="190" t="str">
        <f t="shared" si="237"/>
        <v/>
      </c>
      <c r="AF882" s="190" t="str">
        <f t="shared" si="238"/>
        <v/>
      </c>
      <c r="AG882" s="190" t="str">
        <f t="shared" si="227"/>
        <v>D</v>
      </c>
      <c r="AH882" s="190">
        <f>IFERROR(VLOOKUP(Y882,SISP_Deflatores_e_INMs!B$4:F$49,3,FALSE),1)</f>
        <v>1</v>
      </c>
      <c r="AI882" s="190">
        <f>IFERROR(VLOOKUP(Y882,SISP_Deflatores_e_INMs!B$4:G$49,5,FALSE),1)</f>
        <v>1</v>
      </c>
      <c r="AJ882" s="191" t="str">
        <f t="shared" si="239"/>
        <v/>
      </c>
      <c r="AK882" s="237" t="str">
        <f t="shared" si="228"/>
        <v/>
      </c>
      <c r="AL882" s="237" t="str">
        <f t="shared" si="240"/>
        <v/>
      </c>
      <c r="AM882" s="192" t="e">
        <f t="shared" si="229"/>
        <v>#VALUE!</v>
      </c>
      <c r="AN882" s="193" t="e">
        <f t="shared" si="230"/>
        <v>#VALUE!</v>
      </c>
      <c r="AO882" s="193" t="e">
        <f t="shared" si="231"/>
        <v>#VALUE!</v>
      </c>
      <c r="AP882" s="193"/>
      <c r="AQ882" s="204"/>
      <c r="AR882" s="204"/>
      <c r="AS882" s="204"/>
      <c r="AT882" s="205"/>
      <c r="AU882"/>
    </row>
    <row r="883" spans="2:47" ht="15" customHeight="1" x14ac:dyDescent="0.25">
      <c r="B883" s="206"/>
      <c r="C883" s="185"/>
      <c r="D883" s="164"/>
      <c r="E883" s="174"/>
      <c r="F883" s="164"/>
      <c r="G883" s="174"/>
      <c r="H883" s="164"/>
      <c r="I883" s="174"/>
      <c r="J883" s="184"/>
      <c r="K883" s="186"/>
      <c r="L883" s="187" t="str">
        <f t="shared" si="232"/>
        <v/>
      </c>
      <c r="M883" s="187" t="str">
        <f t="shared" si="233"/>
        <v/>
      </c>
      <c r="N883" s="187" t="str">
        <f t="shared" si="225"/>
        <v>D</v>
      </c>
      <c r="O883" s="187" t="str">
        <f t="shared" si="234"/>
        <v>D</v>
      </c>
      <c r="P883" s="187">
        <f t="shared" si="235"/>
        <v>1</v>
      </c>
      <c r="Q883" s="187">
        <f>IFERROR(VLOOKUP(E883,Tabela_Deflator:E$43,5,FALSE),1)</f>
        <v>1</v>
      </c>
      <c r="R883" s="188" t="str">
        <f t="shared" si="236"/>
        <v/>
      </c>
      <c r="S883" s="237" t="str">
        <f t="shared" si="226"/>
        <v/>
      </c>
      <c r="T883" s="237" t="str">
        <f t="shared" si="241"/>
        <v/>
      </c>
      <c r="U883" s="189"/>
      <c r="V883" s="167"/>
      <c r="W883" s="165"/>
      <c r="X883" s="164"/>
      <c r="Y883" s="164"/>
      <c r="Z883" s="164"/>
      <c r="AA883" s="174"/>
      <c r="AB883" s="164"/>
      <c r="AC883" s="174"/>
      <c r="AD883" s="184"/>
      <c r="AE883" s="190" t="str">
        <f t="shared" si="237"/>
        <v/>
      </c>
      <c r="AF883" s="190" t="str">
        <f t="shared" si="238"/>
        <v/>
      </c>
      <c r="AG883" s="190" t="str">
        <f t="shared" si="227"/>
        <v>D</v>
      </c>
      <c r="AH883" s="190">
        <f>IFERROR(VLOOKUP(Y883,SISP_Deflatores_e_INMs!B$4:F$49,3,FALSE),1)</f>
        <v>1</v>
      </c>
      <c r="AI883" s="190">
        <f>IFERROR(VLOOKUP(Y883,SISP_Deflatores_e_INMs!B$4:G$49,5,FALSE),1)</f>
        <v>1</v>
      </c>
      <c r="AJ883" s="191" t="str">
        <f t="shared" si="239"/>
        <v/>
      </c>
      <c r="AK883" s="237" t="str">
        <f t="shared" si="228"/>
        <v/>
      </c>
      <c r="AL883" s="237" t="str">
        <f t="shared" si="240"/>
        <v/>
      </c>
      <c r="AM883" s="192" t="e">
        <f t="shared" si="229"/>
        <v>#VALUE!</v>
      </c>
      <c r="AN883" s="193" t="e">
        <f t="shared" si="230"/>
        <v>#VALUE!</v>
      </c>
      <c r="AO883" s="193" t="e">
        <f t="shared" si="231"/>
        <v>#VALUE!</v>
      </c>
      <c r="AP883" s="193"/>
      <c r="AQ883" s="204"/>
      <c r="AR883" s="204"/>
      <c r="AS883" s="204"/>
      <c r="AT883" s="205"/>
      <c r="AU883"/>
    </row>
    <row r="884" spans="2:47" ht="15" customHeight="1" x14ac:dyDescent="0.25">
      <c r="B884" s="206"/>
      <c r="C884" s="185"/>
      <c r="D884" s="164"/>
      <c r="E884" s="174"/>
      <c r="F884" s="164"/>
      <c r="G884" s="174"/>
      <c r="H884" s="164"/>
      <c r="I884" s="174"/>
      <c r="J884" s="184"/>
      <c r="K884" s="186"/>
      <c r="L884" s="187" t="str">
        <f t="shared" si="232"/>
        <v/>
      </c>
      <c r="M884" s="187" t="str">
        <f t="shared" si="233"/>
        <v/>
      </c>
      <c r="N884" s="187" t="str">
        <f t="shared" si="225"/>
        <v>D</v>
      </c>
      <c r="O884" s="187" t="str">
        <f t="shared" si="234"/>
        <v>D</v>
      </c>
      <c r="P884" s="187">
        <f t="shared" si="235"/>
        <v>1</v>
      </c>
      <c r="Q884" s="187">
        <f>IFERROR(VLOOKUP(E884,Tabela_Deflator:E$43,5,FALSE),1)</f>
        <v>1</v>
      </c>
      <c r="R884" s="188" t="str">
        <f t="shared" si="236"/>
        <v/>
      </c>
      <c r="S884" s="237" t="str">
        <f t="shared" si="226"/>
        <v/>
      </c>
      <c r="T884" s="237" t="str">
        <f t="shared" si="241"/>
        <v/>
      </c>
      <c r="U884" s="189"/>
      <c r="V884" s="167"/>
      <c r="W884" s="165"/>
      <c r="X884" s="164"/>
      <c r="Y884" s="164"/>
      <c r="Z884" s="164"/>
      <c r="AA884" s="174"/>
      <c r="AB884" s="164"/>
      <c r="AC884" s="174"/>
      <c r="AD884" s="184"/>
      <c r="AE884" s="190" t="str">
        <f t="shared" si="237"/>
        <v/>
      </c>
      <c r="AF884" s="190" t="str">
        <f t="shared" si="238"/>
        <v/>
      </c>
      <c r="AG884" s="190" t="str">
        <f t="shared" si="227"/>
        <v>D</v>
      </c>
      <c r="AH884" s="190">
        <f>IFERROR(VLOOKUP(Y884,SISP_Deflatores_e_INMs!B$4:F$49,3,FALSE),1)</f>
        <v>1</v>
      </c>
      <c r="AI884" s="190">
        <f>IFERROR(VLOOKUP(Y884,SISP_Deflatores_e_INMs!B$4:G$49,5,FALSE),1)</f>
        <v>1</v>
      </c>
      <c r="AJ884" s="191" t="str">
        <f t="shared" si="239"/>
        <v/>
      </c>
      <c r="AK884" s="237" t="str">
        <f t="shared" si="228"/>
        <v/>
      </c>
      <c r="AL884" s="237" t="str">
        <f t="shared" si="240"/>
        <v/>
      </c>
      <c r="AM884" s="192" t="e">
        <f t="shared" si="229"/>
        <v>#VALUE!</v>
      </c>
      <c r="AN884" s="193" t="e">
        <f t="shared" si="230"/>
        <v>#VALUE!</v>
      </c>
      <c r="AO884" s="193" t="e">
        <f t="shared" si="231"/>
        <v>#VALUE!</v>
      </c>
      <c r="AP884" s="193"/>
      <c r="AQ884" s="204"/>
      <c r="AR884" s="204"/>
      <c r="AS884" s="204"/>
      <c r="AT884" s="205"/>
      <c r="AU884"/>
    </row>
    <row r="885" spans="2:47" ht="15" customHeight="1" x14ac:dyDescent="0.25">
      <c r="B885" s="206"/>
      <c r="C885" s="185"/>
      <c r="D885" s="164"/>
      <c r="E885" s="174"/>
      <c r="F885" s="164"/>
      <c r="G885" s="174"/>
      <c r="H885" s="164"/>
      <c r="I885" s="174"/>
      <c r="J885" s="184"/>
      <c r="K885" s="186"/>
      <c r="L885" s="187" t="str">
        <f t="shared" si="232"/>
        <v/>
      </c>
      <c r="M885" s="187" t="str">
        <f t="shared" si="233"/>
        <v/>
      </c>
      <c r="N885" s="187" t="str">
        <f t="shared" si="225"/>
        <v>D</v>
      </c>
      <c r="O885" s="187" t="str">
        <f t="shared" si="234"/>
        <v>D</v>
      </c>
      <c r="P885" s="187">
        <f t="shared" si="235"/>
        <v>1</v>
      </c>
      <c r="Q885" s="187">
        <f>IFERROR(VLOOKUP(E885,Tabela_Deflator:E$43,5,FALSE),1)</f>
        <v>1</v>
      </c>
      <c r="R885" s="188" t="str">
        <f t="shared" si="236"/>
        <v/>
      </c>
      <c r="S885" s="237" t="str">
        <f t="shared" si="226"/>
        <v/>
      </c>
      <c r="T885" s="237" t="str">
        <f t="shared" si="241"/>
        <v/>
      </c>
      <c r="U885" s="189"/>
      <c r="V885" s="167"/>
      <c r="W885" s="165"/>
      <c r="X885" s="164"/>
      <c r="Y885" s="164"/>
      <c r="Z885" s="164"/>
      <c r="AA885" s="174"/>
      <c r="AB885" s="164"/>
      <c r="AC885" s="174"/>
      <c r="AD885" s="184"/>
      <c r="AE885" s="190" t="str">
        <f t="shared" si="237"/>
        <v/>
      </c>
      <c r="AF885" s="190" t="str">
        <f t="shared" si="238"/>
        <v/>
      </c>
      <c r="AG885" s="190" t="str">
        <f t="shared" si="227"/>
        <v>D</v>
      </c>
      <c r="AH885" s="190">
        <f>IFERROR(VLOOKUP(Y885,SISP_Deflatores_e_INMs!B$4:F$49,3,FALSE),1)</f>
        <v>1</v>
      </c>
      <c r="AI885" s="190">
        <f>IFERROR(VLOOKUP(Y885,SISP_Deflatores_e_INMs!B$4:G$49,5,FALSE),1)</f>
        <v>1</v>
      </c>
      <c r="AJ885" s="191" t="str">
        <f t="shared" si="239"/>
        <v/>
      </c>
      <c r="AK885" s="237" t="str">
        <f t="shared" si="228"/>
        <v/>
      </c>
      <c r="AL885" s="237" t="str">
        <f t="shared" si="240"/>
        <v/>
      </c>
      <c r="AM885" s="192" t="e">
        <f t="shared" si="229"/>
        <v>#VALUE!</v>
      </c>
      <c r="AN885" s="193" t="e">
        <f t="shared" si="230"/>
        <v>#VALUE!</v>
      </c>
      <c r="AO885" s="193" t="e">
        <f t="shared" si="231"/>
        <v>#VALUE!</v>
      </c>
      <c r="AP885" s="193"/>
      <c r="AQ885" s="204"/>
      <c r="AR885" s="204"/>
      <c r="AS885" s="204"/>
      <c r="AT885" s="205"/>
      <c r="AU885"/>
    </row>
    <row r="886" spans="2:47" ht="15" customHeight="1" x14ac:dyDescent="0.25">
      <c r="B886" s="206"/>
      <c r="C886" s="185"/>
      <c r="D886" s="164"/>
      <c r="E886" s="174"/>
      <c r="F886" s="164"/>
      <c r="G886" s="174"/>
      <c r="H886" s="164"/>
      <c r="I886" s="174"/>
      <c r="J886" s="184"/>
      <c r="K886" s="186"/>
      <c r="L886" s="187" t="str">
        <f t="shared" si="232"/>
        <v/>
      </c>
      <c r="M886" s="187" t="str">
        <f t="shared" si="233"/>
        <v/>
      </c>
      <c r="N886" s="187" t="str">
        <f t="shared" si="225"/>
        <v>D</v>
      </c>
      <c r="O886" s="187" t="str">
        <f t="shared" si="234"/>
        <v>D</v>
      </c>
      <c r="P886" s="187">
        <f t="shared" si="235"/>
        <v>1</v>
      </c>
      <c r="Q886" s="187">
        <f>IFERROR(VLOOKUP(E886,Tabela_Deflator:E$43,5,FALSE),1)</f>
        <v>1</v>
      </c>
      <c r="R886" s="188" t="str">
        <f t="shared" si="236"/>
        <v/>
      </c>
      <c r="S886" s="237" t="str">
        <f t="shared" si="226"/>
        <v/>
      </c>
      <c r="T886" s="237" t="str">
        <f t="shared" si="241"/>
        <v/>
      </c>
      <c r="U886" s="189"/>
      <c r="V886" s="167"/>
      <c r="W886" s="165"/>
      <c r="X886" s="164"/>
      <c r="Y886" s="164"/>
      <c r="Z886" s="164"/>
      <c r="AA886" s="174"/>
      <c r="AB886" s="164"/>
      <c r="AC886" s="174"/>
      <c r="AD886" s="184"/>
      <c r="AE886" s="190" t="str">
        <f t="shared" si="237"/>
        <v/>
      </c>
      <c r="AF886" s="190" t="str">
        <f t="shared" si="238"/>
        <v/>
      </c>
      <c r="AG886" s="190" t="str">
        <f t="shared" si="227"/>
        <v>D</v>
      </c>
      <c r="AH886" s="190">
        <f>IFERROR(VLOOKUP(Y886,SISP_Deflatores_e_INMs!B$4:F$49,3,FALSE),1)</f>
        <v>1</v>
      </c>
      <c r="AI886" s="190">
        <f>IFERROR(VLOOKUP(Y886,SISP_Deflatores_e_INMs!B$4:G$49,5,FALSE),1)</f>
        <v>1</v>
      </c>
      <c r="AJ886" s="191" t="str">
        <f t="shared" si="239"/>
        <v/>
      </c>
      <c r="AK886" s="237" t="str">
        <f t="shared" si="228"/>
        <v/>
      </c>
      <c r="AL886" s="237" t="str">
        <f t="shared" si="240"/>
        <v/>
      </c>
      <c r="AM886" s="192" t="e">
        <f t="shared" si="229"/>
        <v>#VALUE!</v>
      </c>
      <c r="AN886" s="193" t="e">
        <f t="shared" si="230"/>
        <v>#VALUE!</v>
      </c>
      <c r="AO886" s="193" t="e">
        <f t="shared" si="231"/>
        <v>#VALUE!</v>
      </c>
      <c r="AP886" s="193"/>
      <c r="AQ886" s="204"/>
      <c r="AR886" s="204"/>
      <c r="AS886" s="204"/>
      <c r="AT886" s="205"/>
      <c r="AU886"/>
    </row>
    <row r="887" spans="2:47" ht="15" customHeight="1" x14ac:dyDescent="0.25">
      <c r="B887" s="206"/>
      <c r="C887" s="185"/>
      <c r="D887" s="164"/>
      <c r="E887" s="174"/>
      <c r="F887" s="164"/>
      <c r="G887" s="174"/>
      <c r="H887" s="164"/>
      <c r="I887" s="174"/>
      <c r="J887" s="184"/>
      <c r="K887" s="186"/>
      <c r="L887" s="187" t="str">
        <f t="shared" si="232"/>
        <v/>
      </c>
      <c r="M887" s="187" t="str">
        <f t="shared" si="233"/>
        <v/>
      </c>
      <c r="N887" s="187" t="str">
        <f t="shared" si="225"/>
        <v>D</v>
      </c>
      <c r="O887" s="187" t="str">
        <f t="shared" si="234"/>
        <v>D</v>
      </c>
      <c r="P887" s="187">
        <f t="shared" si="235"/>
        <v>1</v>
      </c>
      <c r="Q887" s="187">
        <f>IFERROR(VLOOKUP(E887,Tabela_Deflator:E$43,5,FALSE),1)</f>
        <v>1</v>
      </c>
      <c r="R887" s="188" t="str">
        <f t="shared" si="236"/>
        <v/>
      </c>
      <c r="S887" s="237" t="str">
        <f t="shared" si="226"/>
        <v/>
      </c>
      <c r="T887" s="237" t="str">
        <f t="shared" si="241"/>
        <v/>
      </c>
      <c r="U887" s="189"/>
      <c r="V887" s="167"/>
      <c r="W887" s="165"/>
      <c r="X887" s="164"/>
      <c r="Y887" s="164"/>
      <c r="Z887" s="164"/>
      <c r="AA887" s="174"/>
      <c r="AB887" s="164"/>
      <c r="AC887" s="174"/>
      <c r="AD887" s="184"/>
      <c r="AE887" s="190" t="str">
        <f t="shared" si="237"/>
        <v/>
      </c>
      <c r="AF887" s="190" t="str">
        <f t="shared" si="238"/>
        <v/>
      </c>
      <c r="AG887" s="190" t="str">
        <f t="shared" si="227"/>
        <v>D</v>
      </c>
      <c r="AH887" s="190">
        <f>IFERROR(VLOOKUP(Y887,SISP_Deflatores_e_INMs!B$4:F$49,3,FALSE),1)</f>
        <v>1</v>
      </c>
      <c r="AI887" s="190">
        <f>IFERROR(VLOOKUP(Y887,SISP_Deflatores_e_INMs!B$4:G$49,5,FALSE),1)</f>
        <v>1</v>
      </c>
      <c r="AJ887" s="191" t="str">
        <f t="shared" si="239"/>
        <v/>
      </c>
      <c r="AK887" s="237" t="str">
        <f t="shared" si="228"/>
        <v/>
      </c>
      <c r="AL887" s="237" t="str">
        <f t="shared" si="240"/>
        <v/>
      </c>
      <c r="AM887" s="192" t="e">
        <f t="shared" si="229"/>
        <v>#VALUE!</v>
      </c>
      <c r="AN887" s="193" t="e">
        <f t="shared" si="230"/>
        <v>#VALUE!</v>
      </c>
      <c r="AO887" s="193" t="e">
        <f t="shared" si="231"/>
        <v>#VALUE!</v>
      </c>
      <c r="AP887" s="193"/>
      <c r="AQ887" s="204"/>
      <c r="AR887" s="204"/>
      <c r="AS887" s="204"/>
      <c r="AT887" s="205"/>
      <c r="AU887"/>
    </row>
    <row r="888" spans="2:47" ht="15" customHeight="1" x14ac:dyDescent="0.25">
      <c r="B888" s="206"/>
      <c r="C888" s="185"/>
      <c r="D888" s="164"/>
      <c r="E888" s="174"/>
      <c r="F888" s="164"/>
      <c r="G888" s="174"/>
      <c r="H888" s="164"/>
      <c r="I888" s="174"/>
      <c r="J888" s="184"/>
      <c r="K888" s="186"/>
      <c r="L888" s="187" t="str">
        <f t="shared" si="232"/>
        <v/>
      </c>
      <c r="M888" s="187" t="str">
        <f t="shared" si="233"/>
        <v/>
      </c>
      <c r="N888" s="187" t="str">
        <f t="shared" si="225"/>
        <v>D</v>
      </c>
      <c r="O888" s="187" t="str">
        <f t="shared" si="234"/>
        <v>D</v>
      </c>
      <c r="P888" s="187">
        <f t="shared" si="235"/>
        <v>1</v>
      </c>
      <c r="Q888" s="187">
        <f>IFERROR(VLOOKUP(E888,Tabela_Deflator:E$43,5,FALSE),1)</f>
        <v>1</v>
      </c>
      <c r="R888" s="188" t="str">
        <f t="shared" si="236"/>
        <v/>
      </c>
      <c r="S888" s="237" t="str">
        <f t="shared" si="226"/>
        <v/>
      </c>
      <c r="T888" s="237" t="str">
        <f t="shared" si="241"/>
        <v/>
      </c>
      <c r="U888" s="189"/>
      <c r="V888" s="167"/>
      <c r="W888" s="165"/>
      <c r="X888" s="164"/>
      <c r="Y888" s="164"/>
      <c r="Z888" s="164"/>
      <c r="AA888" s="174"/>
      <c r="AB888" s="164"/>
      <c r="AC888" s="174"/>
      <c r="AD888" s="184"/>
      <c r="AE888" s="190" t="str">
        <f t="shared" si="237"/>
        <v/>
      </c>
      <c r="AF888" s="190" t="str">
        <f t="shared" si="238"/>
        <v/>
      </c>
      <c r="AG888" s="190" t="str">
        <f t="shared" si="227"/>
        <v>D</v>
      </c>
      <c r="AH888" s="190">
        <f>IFERROR(VLOOKUP(Y888,SISP_Deflatores_e_INMs!B$4:F$49,3,FALSE),1)</f>
        <v>1</v>
      </c>
      <c r="AI888" s="190">
        <f>IFERROR(VLOOKUP(Y888,SISP_Deflatores_e_INMs!B$4:G$49,5,FALSE),1)</f>
        <v>1</v>
      </c>
      <c r="AJ888" s="191" t="str">
        <f t="shared" si="239"/>
        <v/>
      </c>
      <c r="AK888" s="237" t="str">
        <f t="shared" si="228"/>
        <v/>
      </c>
      <c r="AL888" s="237" t="str">
        <f t="shared" si="240"/>
        <v/>
      </c>
      <c r="AM888" s="192" t="e">
        <f t="shared" si="229"/>
        <v>#VALUE!</v>
      </c>
      <c r="AN888" s="193" t="e">
        <f t="shared" si="230"/>
        <v>#VALUE!</v>
      </c>
      <c r="AO888" s="193" t="e">
        <f t="shared" si="231"/>
        <v>#VALUE!</v>
      </c>
      <c r="AP888" s="193"/>
      <c r="AQ888" s="204"/>
      <c r="AR888" s="204"/>
      <c r="AS888" s="204"/>
      <c r="AT888" s="205"/>
      <c r="AU888"/>
    </row>
    <row r="889" spans="2:47" ht="15" customHeight="1" x14ac:dyDescent="0.25">
      <c r="B889" s="206"/>
      <c r="C889" s="185"/>
      <c r="D889" s="164"/>
      <c r="E889" s="174"/>
      <c r="F889" s="164"/>
      <c r="G889" s="174"/>
      <c r="H889" s="164"/>
      <c r="I889" s="174"/>
      <c r="J889" s="184"/>
      <c r="K889" s="186"/>
      <c r="L889" s="187" t="str">
        <f t="shared" si="232"/>
        <v/>
      </c>
      <c r="M889" s="187" t="str">
        <f t="shared" si="233"/>
        <v/>
      </c>
      <c r="N889" s="187" t="str">
        <f t="shared" si="225"/>
        <v>D</v>
      </c>
      <c r="O889" s="187" t="str">
        <f t="shared" si="234"/>
        <v>D</v>
      </c>
      <c r="P889" s="187">
        <f t="shared" si="235"/>
        <v>1</v>
      </c>
      <c r="Q889" s="187">
        <f>IFERROR(VLOOKUP(E889,Tabela_Deflator:E$43,5,FALSE),1)</f>
        <v>1</v>
      </c>
      <c r="R889" s="188" t="str">
        <f t="shared" si="236"/>
        <v/>
      </c>
      <c r="S889" s="237" t="str">
        <f t="shared" si="226"/>
        <v/>
      </c>
      <c r="T889" s="237" t="str">
        <f t="shared" si="241"/>
        <v/>
      </c>
      <c r="U889" s="189"/>
      <c r="V889" s="167"/>
      <c r="W889" s="165"/>
      <c r="X889" s="164"/>
      <c r="Y889" s="164"/>
      <c r="Z889" s="164"/>
      <c r="AA889" s="174"/>
      <c r="AB889" s="164"/>
      <c r="AC889" s="174"/>
      <c r="AD889" s="184"/>
      <c r="AE889" s="190" t="str">
        <f t="shared" si="237"/>
        <v/>
      </c>
      <c r="AF889" s="190" t="str">
        <f t="shared" si="238"/>
        <v/>
      </c>
      <c r="AG889" s="190" t="str">
        <f t="shared" si="227"/>
        <v>D</v>
      </c>
      <c r="AH889" s="190">
        <f>IFERROR(VLOOKUP(Y889,SISP_Deflatores_e_INMs!B$4:F$49,3,FALSE),1)</f>
        <v>1</v>
      </c>
      <c r="AI889" s="190">
        <f>IFERROR(VLOOKUP(Y889,SISP_Deflatores_e_INMs!B$4:G$49,5,FALSE),1)</f>
        <v>1</v>
      </c>
      <c r="AJ889" s="191" t="str">
        <f t="shared" si="239"/>
        <v/>
      </c>
      <c r="AK889" s="237" t="str">
        <f t="shared" si="228"/>
        <v/>
      </c>
      <c r="AL889" s="237" t="str">
        <f t="shared" si="240"/>
        <v/>
      </c>
      <c r="AM889" s="192" t="e">
        <f t="shared" si="229"/>
        <v>#VALUE!</v>
      </c>
      <c r="AN889" s="193" t="e">
        <f t="shared" si="230"/>
        <v>#VALUE!</v>
      </c>
      <c r="AO889" s="193" t="e">
        <f t="shared" si="231"/>
        <v>#VALUE!</v>
      </c>
      <c r="AP889" s="193"/>
      <c r="AQ889" s="204"/>
      <c r="AR889" s="204"/>
      <c r="AS889" s="204"/>
      <c r="AT889" s="205"/>
      <c r="AU889"/>
    </row>
    <row r="890" spans="2:47" ht="15" customHeight="1" x14ac:dyDescent="0.25">
      <c r="B890" s="206"/>
      <c r="C890" s="185"/>
      <c r="D890" s="164"/>
      <c r="E890" s="174"/>
      <c r="F890" s="164"/>
      <c r="G890" s="174"/>
      <c r="H890" s="164"/>
      <c r="I890" s="174"/>
      <c r="J890" s="184"/>
      <c r="K890" s="186"/>
      <c r="L890" s="187" t="str">
        <f t="shared" si="232"/>
        <v/>
      </c>
      <c r="M890" s="187" t="str">
        <f t="shared" si="233"/>
        <v/>
      </c>
      <c r="N890" s="187" t="str">
        <f t="shared" si="225"/>
        <v>D</v>
      </c>
      <c r="O890" s="187" t="str">
        <f t="shared" si="234"/>
        <v>D</v>
      </c>
      <c r="P890" s="187">
        <f t="shared" si="235"/>
        <v>1</v>
      </c>
      <c r="Q890" s="187">
        <f>IFERROR(VLOOKUP(E890,Tabela_Deflator:E$43,5,FALSE),1)</f>
        <v>1</v>
      </c>
      <c r="R890" s="188" t="str">
        <f t="shared" si="236"/>
        <v/>
      </c>
      <c r="S890" s="237" t="str">
        <f t="shared" si="226"/>
        <v/>
      </c>
      <c r="T890" s="237" t="str">
        <f t="shared" si="241"/>
        <v/>
      </c>
      <c r="U890" s="189"/>
      <c r="V890" s="167"/>
      <c r="W890" s="165"/>
      <c r="X890" s="164"/>
      <c r="Y890" s="164"/>
      <c r="Z890" s="164"/>
      <c r="AA890" s="174"/>
      <c r="AB890" s="164"/>
      <c r="AC890" s="174"/>
      <c r="AD890" s="184"/>
      <c r="AE890" s="190" t="str">
        <f t="shared" si="237"/>
        <v/>
      </c>
      <c r="AF890" s="190" t="str">
        <f t="shared" si="238"/>
        <v/>
      </c>
      <c r="AG890" s="190" t="str">
        <f t="shared" si="227"/>
        <v>D</v>
      </c>
      <c r="AH890" s="190">
        <f>IFERROR(VLOOKUP(Y890,SISP_Deflatores_e_INMs!B$4:F$49,3,FALSE),1)</f>
        <v>1</v>
      </c>
      <c r="AI890" s="190">
        <f>IFERROR(VLOOKUP(Y890,SISP_Deflatores_e_INMs!B$4:G$49,5,FALSE),1)</f>
        <v>1</v>
      </c>
      <c r="AJ890" s="191" t="str">
        <f t="shared" si="239"/>
        <v/>
      </c>
      <c r="AK890" s="237" t="str">
        <f t="shared" si="228"/>
        <v/>
      </c>
      <c r="AL890" s="237" t="str">
        <f t="shared" si="240"/>
        <v/>
      </c>
      <c r="AM890" s="192" t="e">
        <f t="shared" si="229"/>
        <v>#VALUE!</v>
      </c>
      <c r="AN890" s="193" t="e">
        <f t="shared" si="230"/>
        <v>#VALUE!</v>
      </c>
      <c r="AO890" s="193" t="e">
        <f t="shared" si="231"/>
        <v>#VALUE!</v>
      </c>
      <c r="AP890" s="193"/>
      <c r="AQ890" s="204"/>
      <c r="AR890" s="204"/>
      <c r="AS890" s="204"/>
      <c r="AT890" s="205"/>
      <c r="AU890"/>
    </row>
    <row r="891" spans="2:47" ht="15" customHeight="1" x14ac:dyDescent="0.25">
      <c r="B891" s="206"/>
      <c r="C891" s="185"/>
      <c r="D891" s="164"/>
      <c r="E891" s="174"/>
      <c r="F891" s="164"/>
      <c r="G891" s="174"/>
      <c r="H891" s="164"/>
      <c r="I891" s="174"/>
      <c r="J891" s="184"/>
      <c r="K891" s="186"/>
      <c r="L891" s="187" t="str">
        <f t="shared" si="232"/>
        <v/>
      </c>
      <c r="M891" s="187" t="str">
        <f t="shared" si="233"/>
        <v/>
      </c>
      <c r="N891" s="187" t="str">
        <f t="shared" si="225"/>
        <v>D</v>
      </c>
      <c r="O891" s="187" t="str">
        <f t="shared" si="234"/>
        <v>D</v>
      </c>
      <c r="P891" s="187">
        <f t="shared" si="235"/>
        <v>1</v>
      </c>
      <c r="Q891" s="187">
        <f>IFERROR(VLOOKUP(E891,Tabela_Deflator:E$43,5,FALSE),1)</f>
        <v>1</v>
      </c>
      <c r="R891" s="188" t="str">
        <f t="shared" si="236"/>
        <v/>
      </c>
      <c r="S891" s="237" t="str">
        <f t="shared" si="226"/>
        <v/>
      </c>
      <c r="T891" s="237" t="str">
        <f t="shared" si="241"/>
        <v/>
      </c>
      <c r="U891" s="189"/>
      <c r="V891" s="167"/>
      <c r="W891" s="165"/>
      <c r="X891" s="164"/>
      <c r="Y891" s="164"/>
      <c r="Z891" s="164"/>
      <c r="AA891" s="174"/>
      <c r="AB891" s="164"/>
      <c r="AC891" s="174"/>
      <c r="AD891" s="184"/>
      <c r="AE891" s="190" t="str">
        <f t="shared" si="237"/>
        <v/>
      </c>
      <c r="AF891" s="190" t="str">
        <f t="shared" si="238"/>
        <v/>
      </c>
      <c r="AG891" s="190" t="str">
        <f t="shared" si="227"/>
        <v>D</v>
      </c>
      <c r="AH891" s="190">
        <f>IFERROR(VLOOKUP(Y891,SISP_Deflatores_e_INMs!B$4:F$49,3,FALSE),1)</f>
        <v>1</v>
      </c>
      <c r="AI891" s="190">
        <f>IFERROR(VLOOKUP(Y891,SISP_Deflatores_e_INMs!B$4:G$49,5,FALSE),1)</f>
        <v>1</v>
      </c>
      <c r="AJ891" s="191" t="str">
        <f t="shared" si="239"/>
        <v/>
      </c>
      <c r="AK891" s="237" t="str">
        <f t="shared" si="228"/>
        <v/>
      </c>
      <c r="AL891" s="237" t="str">
        <f t="shared" si="240"/>
        <v/>
      </c>
      <c r="AM891" s="192" t="e">
        <f t="shared" si="229"/>
        <v>#VALUE!</v>
      </c>
      <c r="AN891" s="193" t="e">
        <f t="shared" si="230"/>
        <v>#VALUE!</v>
      </c>
      <c r="AO891" s="193" t="e">
        <f t="shared" si="231"/>
        <v>#VALUE!</v>
      </c>
      <c r="AP891" s="193"/>
      <c r="AQ891" s="204"/>
      <c r="AR891" s="204"/>
      <c r="AS891" s="204"/>
      <c r="AT891" s="205"/>
      <c r="AU891"/>
    </row>
    <row r="892" spans="2:47" ht="15" customHeight="1" x14ac:dyDescent="0.25">
      <c r="B892" s="206"/>
      <c r="C892" s="185"/>
      <c r="D892" s="164"/>
      <c r="E892" s="174"/>
      <c r="F892" s="164"/>
      <c r="G892" s="174"/>
      <c r="H892" s="164"/>
      <c r="I892" s="174"/>
      <c r="J892" s="184"/>
      <c r="K892" s="186"/>
      <c r="L892" s="187" t="str">
        <f t="shared" si="232"/>
        <v/>
      </c>
      <c r="M892" s="187" t="str">
        <f t="shared" si="233"/>
        <v/>
      </c>
      <c r="N892" s="187" t="str">
        <f t="shared" si="225"/>
        <v>D</v>
      </c>
      <c r="O892" s="187" t="str">
        <f t="shared" si="234"/>
        <v>D</v>
      </c>
      <c r="P892" s="187">
        <f t="shared" si="235"/>
        <v>1</v>
      </c>
      <c r="Q892" s="187">
        <f>IFERROR(VLOOKUP(E892,Tabela_Deflator:E$43,5,FALSE),1)</f>
        <v>1</v>
      </c>
      <c r="R892" s="188" t="str">
        <f t="shared" si="236"/>
        <v/>
      </c>
      <c r="S892" s="237" t="str">
        <f t="shared" si="226"/>
        <v/>
      </c>
      <c r="T892" s="237" t="str">
        <f t="shared" si="241"/>
        <v/>
      </c>
      <c r="U892" s="189"/>
      <c r="V892" s="167"/>
      <c r="W892" s="165"/>
      <c r="X892" s="164"/>
      <c r="Y892" s="164"/>
      <c r="Z892" s="164"/>
      <c r="AA892" s="174"/>
      <c r="AB892" s="164"/>
      <c r="AC892" s="174"/>
      <c r="AD892" s="184"/>
      <c r="AE892" s="190" t="str">
        <f t="shared" si="237"/>
        <v/>
      </c>
      <c r="AF892" s="190" t="str">
        <f t="shared" si="238"/>
        <v/>
      </c>
      <c r="AG892" s="190" t="str">
        <f t="shared" si="227"/>
        <v>D</v>
      </c>
      <c r="AH892" s="190">
        <f>IFERROR(VLOOKUP(Y892,SISP_Deflatores_e_INMs!B$4:F$49,3,FALSE),1)</f>
        <v>1</v>
      </c>
      <c r="AI892" s="190">
        <f>IFERROR(VLOOKUP(Y892,SISP_Deflatores_e_INMs!B$4:G$49,5,FALSE),1)</f>
        <v>1</v>
      </c>
      <c r="AJ892" s="191" t="str">
        <f t="shared" si="239"/>
        <v/>
      </c>
      <c r="AK892" s="237" t="str">
        <f t="shared" si="228"/>
        <v/>
      </c>
      <c r="AL892" s="237" t="str">
        <f t="shared" si="240"/>
        <v/>
      </c>
      <c r="AM892" s="192" t="e">
        <f t="shared" si="229"/>
        <v>#VALUE!</v>
      </c>
      <c r="AN892" s="193" t="e">
        <f t="shared" si="230"/>
        <v>#VALUE!</v>
      </c>
      <c r="AO892" s="193" t="e">
        <f t="shared" si="231"/>
        <v>#VALUE!</v>
      </c>
      <c r="AP892" s="193"/>
      <c r="AQ892" s="204"/>
      <c r="AR892" s="204"/>
      <c r="AS892" s="204"/>
      <c r="AT892" s="205"/>
      <c r="AU892"/>
    </row>
    <row r="893" spans="2:47" ht="15" customHeight="1" x14ac:dyDescent="0.25">
      <c r="B893" s="206"/>
      <c r="C893" s="185"/>
      <c r="D893" s="164"/>
      <c r="E893" s="174"/>
      <c r="F893" s="164"/>
      <c r="G893" s="174"/>
      <c r="H893" s="164"/>
      <c r="I893" s="174"/>
      <c r="J893" s="184"/>
      <c r="K893" s="186"/>
      <c r="L893" s="187" t="str">
        <f t="shared" si="232"/>
        <v/>
      </c>
      <c r="M893" s="187" t="str">
        <f t="shared" si="233"/>
        <v/>
      </c>
      <c r="N893" s="187" t="str">
        <f t="shared" si="225"/>
        <v>D</v>
      </c>
      <c r="O893" s="187" t="str">
        <f t="shared" si="234"/>
        <v>D</v>
      </c>
      <c r="P893" s="187">
        <f t="shared" si="235"/>
        <v>1</v>
      </c>
      <c r="Q893" s="187">
        <f>IFERROR(VLOOKUP(E893,Tabela_Deflator:E$43,5,FALSE),1)</f>
        <v>1</v>
      </c>
      <c r="R893" s="188" t="str">
        <f t="shared" si="236"/>
        <v/>
      </c>
      <c r="S893" s="237" t="str">
        <f t="shared" si="226"/>
        <v/>
      </c>
      <c r="T893" s="237" t="str">
        <f t="shared" si="241"/>
        <v/>
      </c>
      <c r="U893" s="189"/>
      <c r="V893" s="167"/>
      <c r="W893" s="165"/>
      <c r="X893" s="164"/>
      <c r="Y893" s="164"/>
      <c r="Z893" s="164"/>
      <c r="AA893" s="174"/>
      <c r="AB893" s="164"/>
      <c r="AC893" s="174"/>
      <c r="AD893" s="184"/>
      <c r="AE893" s="190" t="str">
        <f t="shared" si="237"/>
        <v/>
      </c>
      <c r="AF893" s="190" t="str">
        <f t="shared" si="238"/>
        <v/>
      </c>
      <c r="AG893" s="190" t="str">
        <f t="shared" si="227"/>
        <v>D</v>
      </c>
      <c r="AH893" s="190">
        <f>IFERROR(VLOOKUP(Y893,SISP_Deflatores_e_INMs!B$4:F$49,3,FALSE),1)</f>
        <v>1</v>
      </c>
      <c r="AI893" s="190">
        <f>IFERROR(VLOOKUP(Y893,SISP_Deflatores_e_INMs!B$4:G$49,5,FALSE),1)</f>
        <v>1</v>
      </c>
      <c r="AJ893" s="191" t="str">
        <f t="shared" si="239"/>
        <v/>
      </c>
      <c r="AK893" s="237" t="str">
        <f t="shared" si="228"/>
        <v/>
      </c>
      <c r="AL893" s="237" t="str">
        <f t="shared" si="240"/>
        <v/>
      </c>
      <c r="AM893" s="192" t="e">
        <f t="shared" si="229"/>
        <v>#VALUE!</v>
      </c>
      <c r="AN893" s="193" t="e">
        <f t="shared" si="230"/>
        <v>#VALUE!</v>
      </c>
      <c r="AO893" s="193" t="e">
        <f t="shared" si="231"/>
        <v>#VALUE!</v>
      </c>
      <c r="AP893" s="193"/>
      <c r="AQ893" s="204"/>
      <c r="AR893" s="204"/>
      <c r="AS893" s="204"/>
      <c r="AT893" s="205"/>
      <c r="AU893"/>
    </row>
    <row r="894" spans="2:47" ht="15" customHeight="1" x14ac:dyDescent="0.25">
      <c r="B894" s="206"/>
      <c r="C894" s="185"/>
      <c r="D894" s="164"/>
      <c r="E894" s="174"/>
      <c r="F894" s="164"/>
      <c r="G894" s="174"/>
      <c r="H894" s="164"/>
      <c r="I894" s="174"/>
      <c r="J894" s="184"/>
      <c r="K894" s="186"/>
      <c r="L894" s="187" t="str">
        <f t="shared" si="232"/>
        <v/>
      </c>
      <c r="M894" s="187" t="str">
        <f t="shared" si="233"/>
        <v/>
      </c>
      <c r="N894" s="187" t="str">
        <f t="shared" si="225"/>
        <v>D</v>
      </c>
      <c r="O894" s="187" t="str">
        <f t="shared" si="234"/>
        <v>D</v>
      </c>
      <c r="P894" s="187">
        <f t="shared" si="235"/>
        <v>1</v>
      </c>
      <c r="Q894" s="187">
        <f>IFERROR(VLOOKUP(E894,Tabela_Deflator:E$43,5,FALSE),1)</f>
        <v>1</v>
      </c>
      <c r="R894" s="188" t="str">
        <f t="shared" si="236"/>
        <v/>
      </c>
      <c r="S894" s="237" t="str">
        <f t="shared" si="226"/>
        <v/>
      </c>
      <c r="T894" s="237" t="str">
        <f t="shared" si="241"/>
        <v/>
      </c>
      <c r="U894" s="189"/>
      <c r="V894" s="167"/>
      <c r="W894" s="165"/>
      <c r="X894" s="164"/>
      <c r="Y894" s="164"/>
      <c r="Z894" s="164"/>
      <c r="AA894" s="174"/>
      <c r="AB894" s="164"/>
      <c r="AC894" s="174"/>
      <c r="AD894" s="184"/>
      <c r="AE894" s="190" t="str">
        <f t="shared" si="237"/>
        <v/>
      </c>
      <c r="AF894" s="190" t="str">
        <f t="shared" si="238"/>
        <v/>
      </c>
      <c r="AG894" s="190" t="str">
        <f t="shared" si="227"/>
        <v>D</v>
      </c>
      <c r="AH894" s="190">
        <f>IFERROR(VLOOKUP(Y894,SISP_Deflatores_e_INMs!B$4:F$49,3,FALSE),1)</f>
        <v>1</v>
      </c>
      <c r="AI894" s="190">
        <f>IFERROR(VLOOKUP(Y894,SISP_Deflatores_e_INMs!B$4:G$49,5,FALSE),1)</f>
        <v>1</v>
      </c>
      <c r="AJ894" s="191" t="str">
        <f t="shared" si="239"/>
        <v/>
      </c>
      <c r="AK894" s="237" t="str">
        <f t="shared" si="228"/>
        <v/>
      </c>
      <c r="AL894" s="237" t="str">
        <f t="shared" si="240"/>
        <v/>
      </c>
      <c r="AM894" s="192" t="e">
        <f t="shared" si="229"/>
        <v>#VALUE!</v>
      </c>
      <c r="AN894" s="193" t="e">
        <f t="shared" si="230"/>
        <v>#VALUE!</v>
      </c>
      <c r="AO894" s="193" t="e">
        <f t="shared" si="231"/>
        <v>#VALUE!</v>
      </c>
      <c r="AP894" s="193"/>
      <c r="AQ894" s="204"/>
      <c r="AR894" s="204"/>
      <c r="AS894" s="204"/>
      <c r="AT894" s="205"/>
      <c r="AU894"/>
    </row>
    <row r="895" spans="2:47" ht="15" customHeight="1" x14ac:dyDescent="0.25">
      <c r="B895" s="206"/>
      <c r="C895" s="185"/>
      <c r="D895" s="164"/>
      <c r="E895" s="174"/>
      <c r="F895" s="164"/>
      <c r="G895" s="174"/>
      <c r="H895" s="164"/>
      <c r="I895" s="174"/>
      <c r="J895" s="184"/>
      <c r="K895" s="186"/>
      <c r="L895" s="187" t="str">
        <f t="shared" si="232"/>
        <v/>
      </c>
      <c r="M895" s="187" t="str">
        <f t="shared" si="233"/>
        <v/>
      </c>
      <c r="N895" s="187" t="str">
        <f t="shared" si="225"/>
        <v>D</v>
      </c>
      <c r="O895" s="187" t="str">
        <f t="shared" si="234"/>
        <v>D</v>
      </c>
      <c r="P895" s="187">
        <f t="shared" si="235"/>
        <v>1</v>
      </c>
      <c r="Q895" s="187">
        <f>IFERROR(VLOOKUP(E895,Tabela_Deflator:E$43,5,FALSE),1)</f>
        <v>1</v>
      </c>
      <c r="R895" s="188" t="str">
        <f t="shared" si="236"/>
        <v/>
      </c>
      <c r="S895" s="237" t="str">
        <f t="shared" si="226"/>
        <v/>
      </c>
      <c r="T895" s="237" t="str">
        <f t="shared" si="241"/>
        <v/>
      </c>
      <c r="U895" s="189"/>
      <c r="V895" s="167"/>
      <c r="W895" s="165"/>
      <c r="X895" s="164"/>
      <c r="Y895" s="164"/>
      <c r="Z895" s="164"/>
      <c r="AA895" s="174"/>
      <c r="AB895" s="164"/>
      <c r="AC895" s="174"/>
      <c r="AD895" s="184"/>
      <c r="AE895" s="190" t="str">
        <f t="shared" si="237"/>
        <v/>
      </c>
      <c r="AF895" s="190" t="str">
        <f t="shared" si="238"/>
        <v/>
      </c>
      <c r="AG895" s="190" t="str">
        <f t="shared" si="227"/>
        <v>D</v>
      </c>
      <c r="AH895" s="190">
        <f>IFERROR(VLOOKUP(Y895,SISP_Deflatores_e_INMs!B$4:F$49,3,FALSE),1)</f>
        <v>1</v>
      </c>
      <c r="AI895" s="190">
        <f>IFERROR(VLOOKUP(Y895,SISP_Deflatores_e_INMs!B$4:G$49,5,FALSE),1)</f>
        <v>1</v>
      </c>
      <c r="AJ895" s="191" t="str">
        <f t="shared" si="239"/>
        <v/>
      </c>
      <c r="AK895" s="237" t="str">
        <f t="shared" si="228"/>
        <v/>
      </c>
      <c r="AL895" s="237" t="str">
        <f t="shared" si="240"/>
        <v/>
      </c>
      <c r="AM895" s="192" t="e">
        <f t="shared" si="229"/>
        <v>#VALUE!</v>
      </c>
      <c r="AN895" s="193" t="e">
        <f t="shared" si="230"/>
        <v>#VALUE!</v>
      </c>
      <c r="AO895" s="193" t="e">
        <f t="shared" si="231"/>
        <v>#VALUE!</v>
      </c>
      <c r="AP895" s="193"/>
      <c r="AQ895" s="204"/>
      <c r="AR895" s="204"/>
      <c r="AS895" s="204"/>
      <c r="AT895" s="205"/>
      <c r="AU895"/>
    </row>
    <row r="896" spans="2:47" ht="15" customHeight="1" x14ac:dyDescent="0.25">
      <c r="B896" s="206"/>
      <c r="C896" s="185"/>
      <c r="D896" s="164"/>
      <c r="E896" s="174"/>
      <c r="F896" s="164"/>
      <c r="G896" s="174"/>
      <c r="H896" s="164"/>
      <c r="I896" s="174"/>
      <c r="J896" s="184"/>
      <c r="K896" s="186"/>
      <c r="L896" s="187" t="str">
        <f t="shared" si="232"/>
        <v/>
      </c>
      <c r="M896" s="187" t="str">
        <f t="shared" si="233"/>
        <v/>
      </c>
      <c r="N896" s="187" t="str">
        <f t="shared" si="225"/>
        <v>D</v>
      </c>
      <c r="O896" s="187" t="str">
        <f t="shared" si="234"/>
        <v>D</v>
      </c>
      <c r="P896" s="187">
        <f t="shared" si="235"/>
        <v>1</v>
      </c>
      <c r="Q896" s="187">
        <f>IFERROR(VLOOKUP(E896,Tabela_Deflator:E$43,5,FALSE),1)</f>
        <v>1</v>
      </c>
      <c r="R896" s="188" t="str">
        <f t="shared" si="236"/>
        <v/>
      </c>
      <c r="S896" s="237" t="str">
        <f t="shared" si="226"/>
        <v/>
      </c>
      <c r="T896" s="237" t="str">
        <f t="shared" si="241"/>
        <v/>
      </c>
      <c r="U896" s="189"/>
      <c r="V896" s="167"/>
      <c r="W896" s="165"/>
      <c r="X896" s="164"/>
      <c r="Y896" s="164"/>
      <c r="Z896" s="164"/>
      <c r="AA896" s="174"/>
      <c r="AB896" s="164"/>
      <c r="AC896" s="174"/>
      <c r="AD896" s="184"/>
      <c r="AE896" s="190" t="str">
        <f t="shared" si="237"/>
        <v/>
      </c>
      <c r="AF896" s="190" t="str">
        <f t="shared" si="238"/>
        <v/>
      </c>
      <c r="AG896" s="190" t="str">
        <f t="shared" si="227"/>
        <v>D</v>
      </c>
      <c r="AH896" s="190">
        <f>IFERROR(VLOOKUP(Y896,SISP_Deflatores_e_INMs!B$4:F$49,3,FALSE),1)</f>
        <v>1</v>
      </c>
      <c r="AI896" s="190">
        <f>IFERROR(VLOOKUP(Y896,SISP_Deflatores_e_INMs!B$4:G$49,5,FALSE),1)</f>
        <v>1</v>
      </c>
      <c r="AJ896" s="191" t="str">
        <f t="shared" si="239"/>
        <v/>
      </c>
      <c r="AK896" s="237" t="str">
        <f t="shared" si="228"/>
        <v/>
      </c>
      <c r="AL896" s="237" t="str">
        <f t="shared" si="240"/>
        <v/>
      </c>
      <c r="AM896" s="192" t="e">
        <f t="shared" si="229"/>
        <v>#VALUE!</v>
      </c>
      <c r="AN896" s="193" t="e">
        <f t="shared" si="230"/>
        <v>#VALUE!</v>
      </c>
      <c r="AO896" s="193" t="e">
        <f t="shared" si="231"/>
        <v>#VALUE!</v>
      </c>
      <c r="AP896" s="193"/>
      <c r="AQ896" s="204"/>
      <c r="AR896" s="204"/>
      <c r="AS896" s="204"/>
      <c r="AT896" s="205"/>
      <c r="AU896"/>
    </row>
    <row r="897" spans="2:47" ht="15" customHeight="1" x14ac:dyDescent="0.25">
      <c r="B897" s="206"/>
      <c r="C897" s="185"/>
      <c r="D897" s="164"/>
      <c r="E897" s="174"/>
      <c r="F897" s="164"/>
      <c r="G897" s="174"/>
      <c r="H897" s="164"/>
      <c r="I897" s="174"/>
      <c r="J897" s="184"/>
      <c r="K897" s="186"/>
      <c r="L897" s="187" t="str">
        <f t="shared" si="232"/>
        <v/>
      </c>
      <c r="M897" s="187" t="str">
        <f t="shared" si="233"/>
        <v/>
      </c>
      <c r="N897" s="187" t="str">
        <f t="shared" si="225"/>
        <v>D</v>
      </c>
      <c r="O897" s="187" t="str">
        <f t="shared" si="234"/>
        <v>D</v>
      </c>
      <c r="P897" s="187">
        <f t="shared" si="235"/>
        <v>1</v>
      </c>
      <c r="Q897" s="187">
        <f>IFERROR(VLOOKUP(E897,Tabela_Deflator:E$43,5,FALSE),1)</f>
        <v>1</v>
      </c>
      <c r="R897" s="188" t="str">
        <f t="shared" si="236"/>
        <v/>
      </c>
      <c r="S897" s="237" t="str">
        <f t="shared" si="226"/>
        <v/>
      </c>
      <c r="T897" s="237" t="str">
        <f t="shared" si="241"/>
        <v/>
      </c>
      <c r="U897" s="189"/>
      <c r="V897" s="167"/>
      <c r="W897" s="165"/>
      <c r="X897" s="164"/>
      <c r="Y897" s="164"/>
      <c r="Z897" s="164"/>
      <c r="AA897" s="174"/>
      <c r="AB897" s="164"/>
      <c r="AC897" s="174"/>
      <c r="AD897" s="184"/>
      <c r="AE897" s="190" t="str">
        <f t="shared" si="237"/>
        <v/>
      </c>
      <c r="AF897" s="190" t="str">
        <f t="shared" si="238"/>
        <v/>
      </c>
      <c r="AG897" s="190" t="str">
        <f t="shared" si="227"/>
        <v>D</v>
      </c>
      <c r="AH897" s="190">
        <f>IFERROR(VLOOKUP(Y897,SISP_Deflatores_e_INMs!B$4:F$49,3,FALSE),1)</f>
        <v>1</v>
      </c>
      <c r="AI897" s="190">
        <f>IFERROR(VLOOKUP(Y897,SISP_Deflatores_e_INMs!B$4:G$49,5,FALSE),1)</f>
        <v>1</v>
      </c>
      <c r="AJ897" s="191" t="str">
        <f t="shared" si="239"/>
        <v/>
      </c>
      <c r="AK897" s="237" t="str">
        <f t="shared" si="228"/>
        <v/>
      </c>
      <c r="AL897" s="237" t="str">
        <f t="shared" si="240"/>
        <v/>
      </c>
      <c r="AM897" s="192" t="e">
        <f t="shared" si="229"/>
        <v>#VALUE!</v>
      </c>
      <c r="AN897" s="193" t="e">
        <f t="shared" si="230"/>
        <v>#VALUE!</v>
      </c>
      <c r="AO897" s="193" t="e">
        <f t="shared" si="231"/>
        <v>#VALUE!</v>
      </c>
      <c r="AP897" s="193"/>
      <c r="AQ897" s="204"/>
      <c r="AR897" s="204"/>
      <c r="AS897" s="204"/>
      <c r="AT897" s="205"/>
      <c r="AU897"/>
    </row>
    <row r="898" spans="2:47" ht="15" customHeight="1" x14ac:dyDescent="0.25">
      <c r="B898" s="206"/>
      <c r="C898" s="185"/>
      <c r="D898" s="164"/>
      <c r="E898" s="174"/>
      <c r="F898" s="164"/>
      <c r="G898" s="174"/>
      <c r="H898" s="164"/>
      <c r="I898" s="174"/>
      <c r="J898" s="184"/>
      <c r="K898" s="186"/>
      <c r="L898" s="187" t="str">
        <f t="shared" si="232"/>
        <v/>
      </c>
      <c r="M898" s="187" t="str">
        <f t="shared" si="233"/>
        <v/>
      </c>
      <c r="N898" s="187" t="str">
        <f t="shared" si="225"/>
        <v>D</v>
      </c>
      <c r="O898" s="187" t="str">
        <f t="shared" si="234"/>
        <v>D</v>
      </c>
      <c r="P898" s="187">
        <f t="shared" si="235"/>
        <v>1</v>
      </c>
      <c r="Q898" s="187">
        <f>IFERROR(VLOOKUP(E898,Tabela_Deflator:E$43,5,FALSE),1)</f>
        <v>1</v>
      </c>
      <c r="R898" s="188" t="str">
        <f t="shared" si="236"/>
        <v/>
      </c>
      <c r="S898" s="237" t="str">
        <f t="shared" si="226"/>
        <v/>
      </c>
      <c r="T898" s="237" t="str">
        <f t="shared" si="241"/>
        <v/>
      </c>
      <c r="U898" s="189"/>
      <c r="V898" s="167"/>
      <c r="W898" s="165"/>
      <c r="X898" s="164"/>
      <c r="Y898" s="164"/>
      <c r="Z898" s="164"/>
      <c r="AA898" s="174"/>
      <c r="AB898" s="164"/>
      <c r="AC898" s="174"/>
      <c r="AD898" s="184"/>
      <c r="AE898" s="190" t="str">
        <f t="shared" si="237"/>
        <v/>
      </c>
      <c r="AF898" s="190" t="str">
        <f t="shared" si="238"/>
        <v/>
      </c>
      <c r="AG898" s="190" t="str">
        <f t="shared" si="227"/>
        <v>D</v>
      </c>
      <c r="AH898" s="190">
        <f>IFERROR(VLOOKUP(Y898,SISP_Deflatores_e_INMs!B$4:F$49,3,FALSE),1)</f>
        <v>1</v>
      </c>
      <c r="AI898" s="190">
        <f>IFERROR(VLOOKUP(Y898,SISP_Deflatores_e_INMs!B$4:G$49,5,FALSE),1)</f>
        <v>1</v>
      </c>
      <c r="AJ898" s="191" t="str">
        <f t="shared" si="239"/>
        <v/>
      </c>
      <c r="AK898" s="237" t="str">
        <f t="shared" si="228"/>
        <v/>
      </c>
      <c r="AL898" s="237" t="str">
        <f t="shared" si="240"/>
        <v/>
      </c>
      <c r="AM898" s="192" t="e">
        <f t="shared" si="229"/>
        <v>#VALUE!</v>
      </c>
      <c r="AN898" s="193" t="e">
        <f t="shared" si="230"/>
        <v>#VALUE!</v>
      </c>
      <c r="AO898" s="193" t="e">
        <f t="shared" si="231"/>
        <v>#VALUE!</v>
      </c>
      <c r="AP898" s="193"/>
      <c r="AQ898" s="204"/>
      <c r="AR898" s="204"/>
      <c r="AS898" s="204"/>
      <c r="AT898" s="205"/>
      <c r="AU898"/>
    </row>
    <row r="899" spans="2:47" ht="15" customHeight="1" x14ac:dyDescent="0.25">
      <c r="B899" s="206"/>
      <c r="C899" s="185"/>
      <c r="D899" s="164"/>
      <c r="E899" s="174"/>
      <c r="F899" s="164"/>
      <c r="G899" s="174"/>
      <c r="H899" s="164"/>
      <c r="I899" s="174"/>
      <c r="J899" s="184"/>
      <c r="K899" s="186"/>
      <c r="L899" s="187" t="str">
        <f t="shared" si="232"/>
        <v/>
      </c>
      <c r="M899" s="187" t="str">
        <f t="shared" si="233"/>
        <v/>
      </c>
      <c r="N899" s="187" t="str">
        <f t="shared" si="225"/>
        <v>D</v>
      </c>
      <c r="O899" s="187" t="str">
        <f t="shared" si="234"/>
        <v>D</v>
      </c>
      <c r="P899" s="187">
        <f t="shared" si="235"/>
        <v>1</v>
      </c>
      <c r="Q899" s="187">
        <f>IFERROR(VLOOKUP(E899,Tabela_Deflator:E$43,5,FALSE),1)</f>
        <v>1</v>
      </c>
      <c r="R899" s="188" t="str">
        <f t="shared" si="236"/>
        <v/>
      </c>
      <c r="S899" s="237" t="str">
        <f t="shared" si="226"/>
        <v/>
      </c>
      <c r="T899" s="237" t="str">
        <f t="shared" si="241"/>
        <v/>
      </c>
      <c r="U899" s="189"/>
      <c r="V899" s="167"/>
      <c r="W899" s="165"/>
      <c r="X899" s="164"/>
      <c r="Y899" s="164"/>
      <c r="Z899" s="164"/>
      <c r="AA899" s="174"/>
      <c r="AB899" s="164"/>
      <c r="AC899" s="174"/>
      <c r="AD899" s="184"/>
      <c r="AE899" s="190" t="str">
        <f t="shared" si="237"/>
        <v/>
      </c>
      <c r="AF899" s="190" t="str">
        <f t="shared" si="238"/>
        <v/>
      </c>
      <c r="AG899" s="190" t="str">
        <f t="shared" si="227"/>
        <v>D</v>
      </c>
      <c r="AH899" s="190">
        <f>IFERROR(VLOOKUP(Y899,SISP_Deflatores_e_INMs!B$4:F$49,3,FALSE),1)</f>
        <v>1</v>
      </c>
      <c r="AI899" s="190">
        <f>IFERROR(VLOOKUP(Y899,SISP_Deflatores_e_INMs!B$4:G$49,5,FALSE),1)</f>
        <v>1</v>
      </c>
      <c r="AJ899" s="191" t="str">
        <f t="shared" si="239"/>
        <v/>
      </c>
      <c r="AK899" s="237" t="str">
        <f t="shared" si="228"/>
        <v/>
      </c>
      <c r="AL899" s="237" t="str">
        <f t="shared" si="240"/>
        <v/>
      </c>
      <c r="AM899" s="192" t="e">
        <f t="shared" si="229"/>
        <v>#VALUE!</v>
      </c>
      <c r="AN899" s="193" t="e">
        <f t="shared" si="230"/>
        <v>#VALUE!</v>
      </c>
      <c r="AO899" s="193" t="e">
        <f t="shared" si="231"/>
        <v>#VALUE!</v>
      </c>
      <c r="AP899" s="193"/>
      <c r="AQ899" s="204"/>
      <c r="AR899" s="204"/>
      <c r="AS899" s="204"/>
      <c r="AT899" s="205"/>
      <c r="AU899"/>
    </row>
    <row r="900" spans="2:47" ht="15" customHeight="1" x14ac:dyDescent="0.25">
      <c r="B900" s="206"/>
      <c r="C900" s="185"/>
      <c r="D900" s="164"/>
      <c r="E900" s="174"/>
      <c r="F900" s="164"/>
      <c r="G900" s="174"/>
      <c r="H900" s="164"/>
      <c r="I900" s="174"/>
      <c r="J900" s="184"/>
      <c r="K900" s="186"/>
      <c r="L900" s="187" t="str">
        <f t="shared" si="232"/>
        <v/>
      </c>
      <c r="M900" s="187" t="str">
        <f t="shared" si="233"/>
        <v/>
      </c>
      <c r="N900" s="187" t="str">
        <f t="shared" ref="N900:N941" si="242">IF(Tipo_de_contagem="Contagem Detalhada","D",IF(Tipo_de_contagem="Contagem Estimada","E","S"))</f>
        <v>D</v>
      </c>
      <c r="O900" s="187" t="str">
        <f t="shared" si="234"/>
        <v>D</v>
      </c>
      <c r="P900" s="187">
        <f t="shared" si="235"/>
        <v>1</v>
      </c>
      <c r="Q900" s="187">
        <f>IFERROR(VLOOKUP(E900,Tabela_Deflator:E$43,5,FALSE),1)</f>
        <v>1</v>
      </c>
      <c r="R900" s="188" t="str">
        <f t="shared" si="236"/>
        <v/>
      </c>
      <c r="S900" s="237" t="str">
        <f t="shared" ref="S900:S941" si="243">IF(D900="N/A","",IF(D900="","",IFERROR(IF(D900="INM",P900*J900,VLOOKUP(O900,Tabela_Pontuação,2,FALSE)),0)))</f>
        <v/>
      </c>
      <c r="T900" s="237" t="str">
        <f t="shared" si="241"/>
        <v/>
      </c>
      <c r="U900" s="189"/>
      <c r="V900" s="167"/>
      <c r="W900" s="165"/>
      <c r="X900" s="164"/>
      <c r="Y900" s="164"/>
      <c r="Z900" s="164"/>
      <c r="AA900" s="174"/>
      <c r="AB900" s="164"/>
      <c r="AC900" s="174"/>
      <c r="AD900" s="184"/>
      <c r="AE900" s="190" t="str">
        <f t="shared" si="237"/>
        <v/>
      </c>
      <c r="AF900" s="190" t="str">
        <f t="shared" si="238"/>
        <v/>
      </c>
      <c r="AG900" s="190" t="str">
        <f t="shared" ref="AG900:AG941" si="244">IF(N900="S",X900,CONCATENATE(X900,AE900,N900))</f>
        <v>D</v>
      </c>
      <c r="AH900" s="190">
        <f>IFERROR(VLOOKUP(Y900,SISP_Deflatores_e_INMs!B$4:F$49,3,FALSE),1)</f>
        <v>1</v>
      </c>
      <c r="AI900" s="190">
        <f>IFERROR(VLOOKUP(Y900,SISP_Deflatores_e_INMs!B$4:G$49,5,FALSE),1)</f>
        <v>1</v>
      </c>
      <c r="AJ900" s="191" t="str">
        <f t="shared" si="239"/>
        <v/>
      </c>
      <c r="AK900" s="237" t="str">
        <f t="shared" ref="AK900:AK941" si="245">IFERROR(IF(X900="INM",AH900*AD900,VLOOKUP(AG900,Tabela_Pontuação,2,FALSE)),"")</f>
        <v/>
      </c>
      <c r="AL900" s="237" t="str">
        <f t="shared" si="240"/>
        <v/>
      </c>
      <c r="AM900" s="192" t="e">
        <f t="shared" ref="AM900:AM941" si="246">IF(S900&lt;=0,0,AK900-S900)</f>
        <v>#VALUE!</v>
      </c>
      <c r="AN900" s="193" t="e">
        <f t="shared" ref="AN900:AN941" si="247">AM900/S900</f>
        <v>#VALUE!</v>
      </c>
      <c r="AO900" s="193" t="e">
        <f t="shared" ref="AO900:AO941" si="248">IF(T900&lt;=0,0,AL900-T900)</f>
        <v>#VALUE!</v>
      </c>
      <c r="AP900" s="193"/>
      <c r="AQ900" s="204"/>
      <c r="AR900" s="204"/>
      <c r="AS900" s="204"/>
      <c r="AT900" s="205"/>
      <c r="AU900"/>
    </row>
    <row r="901" spans="2:47" ht="15" customHeight="1" x14ac:dyDescent="0.25">
      <c r="B901" s="206"/>
      <c r="C901" s="185"/>
      <c r="D901" s="164"/>
      <c r="E901" s="174"/>
      <c r="F901" s="164"/>
      <c r="G901" s="174"/>
      <c r="H901" s="164"/>
      <c r="I901" s="174"/>
      <c r="J901" s="184"/>
      <c r="K901" s="186"/>
      <c r="L901" s="187" t="str">
        <f t="shared" ref="L901:L941" si="249">IF(OR(ISBLANK(F901),ISBLANK(H901)),IF(OR(D901="ALI",D901="AIE"),"L",IF(ISBLANK(D901),"","A")),IF(D901="EE",IF(H901&gt;=3,IF(F901&gt;=5,"H","A"),IF(H901&gt;=2,IF(F901&gt;=16,"H",IF(F901&lt;=4,"L","A")),IF(F901&lt;=15,"L","A"))),IF(OR(D901="SE",D901="CE"),IF(H901&gt;=4,IF(F901&gt;=6,"H","A"),IF(H901&gt;=2,IF(F901&gt;=20,"H",IF(F901&lt;=5,"L","A")),IF(F901&lt;=19,"L","A"))),IF(OR(D901="ALI",D901="AIE"),IF(H901&gt;=6,IF(F901&gt;=20,"H","A"),IF(H901&gt;=2,IF(F901&gt;=51,"H",IF(F901&lt;=19,"L","A")),IF(F901&lt;=50,"L","A")))))))</f>
        <v/>
      </c>
      <c r="M901" s="187" t="str">
        <f t="shared" ref="M901:M941" si="250">CONCATENATE(D901,L901)</f>
        <v/>
      </c>
      <c r="N901" s="187" t="str">
        <f t="shared" si="242"/>
        <v>D</v>
      </c>
      <c r="O901" s="187" t="str">
        <f t="shared" ref="O901:O941" si="251">IF(N901="S",D901,CONCATENATE(D901,L901,N901))</f>
        <v>D</v>
      </c>
      <c r="P901" s="187">
        <f t="shared" ref="P901:P941" si="252">IFERROR(VLOOKUP(E901,Tabela_Deflator,3,FALSE),1)</f>
        <v>1</v>
      </c>
      <c r="Q901" s="187">
        <f>IFERROR(VLOOKUP(E901,Tabela_Deflator:E$43,5,FALSE),1)</f>
        <v>1</v>
      </c>
      <c r="R901" s="188" t="str">
        <f t="shared" ref="R901:R941" si="253">IF(OR(D901="INM",D901="N/A"),"",IF(L901="L","Baixa",IF(L901="A","Média",IF(L901="","","Alta"))))</f>
        <v/>
      </c>
      <c r="S901" s="237" t="str">
        <f t="shared" si="243"/>
        <v/>
      </c>
      <c r="T901" s="237" t="str">
        <f t="shared" si="241"/>
        <v/>
      </c>
      <c r="U901" s="189"/>
      <c r="V901" s="167"/>
      <c r="W901" s="165"/>
      <c r="X901" s="164"/>
      <c r="Y901" s="164"/>
      <c r="Z901" s="164"/>
      <c r="AA901" s="174"/>
      <c r="AB901" s="164"/>
      <c r="AC901" s="174"/>
      <c r="AD901" s="184"/>
      <c r="AE901" s="190" t="str">
        <f t="shared" ref="AE901:AE941" si="254">IF(OR(ISBLANK(Z901),ISBLANK(AB901)),IF(OR(X901="ALI",X901="AIE"),"L",IF(ISBLANK(X901),"","A")),IF(X901="EE",IF(AB901&gt;=3,IF(Z901&gt;=5,"H","A"),IF(AB901&gt;=2,IF(Z901&gt;=16,"H",IF(Z901&lt;=4,"L","A")),IF(Z901&lt;=15,"L","A"))),IF(OR(X901="SE",X901="CE"),IF(AB901&gt;=4,IF(Z901&gt;=6,"H","A"),IF(AB901&gt;=2,IF(Z901&gt;=20,"H",IF(Z901&lt;=5,"L","A")),IF(Z901&lt;=19,"L","A"))),IF(OR(X901="ALI",X901="AIE"),IF(AB901&gt;=6,IF(Z901&gt;=20,"H","A"),IF(AB901&gt;=2,IF(Z901&gt;=51,"H",IF(Z901&lt;=19,"L","A")),IF(Z901&lt;=50,"L","A")))))))</f>
        <v/>
      </c>
      <c r="AF901" s="190" t="str">
        <f t="shared" ref="AF901:AF941" si="255">CONCATENATE(X901,AE901)</f>
        <v/>
      </c>
      <c r="AG901" s="190" t="str">
        <f t="shared" si="244"/>
        <v>D</v>
      </c>
      <c r="AH901" s="190">
        <f>IFERROR(VLOOKUP(Y901,SISP_Deflatores_e_INMs!B$4:F$49,3,FALSE),1)</f>
        <v>1</v>
      </c>
      <c r="AI901" s="190">
        <f>IFERROR(VLOOKUP(Y901,SISP_Deflatores_e_INMs!B$4:G$49,5,FALSE),1)</f>
        <v>1</v>
      </c>
      <c r="AJ901" s="191" t="str">
        <f t="shared" ref="AJ901:AJ941" si="256">IF(OR(X901="INM",X901="N/A"),"",IF(AE901="L","Baixa",IF(AE901="A","Média",IF(AE901="","","Alta"))))</f>
        <v/>
      </c>
      <c r="AK901" s="237" t="str">
        <f t="shared" si="245"/>
        <v/>
      </c>
      <c r="AL901" s="237" t="str">
        <f t="shared" ref="AL901:AL941" si="257">IFERROR(IF(OR(ISBLANK(V901),V901="NOK"),"",IF(X901="INM",(1*AH901)*AD901,AK901*AH901)),"")</f>
        <v/>
      </c>
      <c r="AM901" s="192" t="e">
        <f t="shared" si="246"/>
        <v>#VALUE!</v>
      </c>
      <c r="AN901" s="193" t="e">
        <f t="shared" si="247"/>
        <v>#VALUE!</v>
      </c>
      <c r="AO901" s="193" t="e">
        <f t="shared" si="248"/>
        <v>#VALUE!</v>
      </c>
      <c r="AP901" s="193"/>
      <c r="AQ901" s="204"/>
      <c r="AR901" s="204"/>
      <c r="AS901" s="204"/>
      <c r="AT901" s="205"/>
      <c r="AU901"/>
    </row>
    <row r="902" spans="2:47" ht="15" customHeight="1" x14ac:dyDescent="0.25">
      <c r="B902" s="206"/>
      <c r="C902" s="185"/>
      <c r="D902" s="164"/>
      <c r="E902" s="174"/>
      <c r="F902" s="164"/>
      <c r="G902" s="174"/>
      <c r="H902" s="164"/>
      <c r="I902" s="174"/>
      <c r="J902" s="184"/>
      <c r="K902" s="186"/>
      <c r="L902" s="187" t="str">
        <f t="shared" si="249"/>
        <v/>
      </c>
      <c r="M902" s="187" t="str">
        <f t="shared" si="250"/>
        <v/>
      </c>
      <c r="N902" s="187" t="str">
        <f t="shared" si="242"/>
        <v>D</v>
      </c>
      <c r="O902" s="187" t="str">
        <f t="shared" si="251"/>
        <v>D</v>
      </c>
      <c r="P902" s="187">
        <f t="shared" si="252"/>
        <v>1</v>
      </c>
      <c r="Q902" s="187">
        <f>IFERROR(VLOOKUP(E902,Tabela_Deflator:E$43,5,FALSE),1)</f>
        <v>1</v>
      </c>
      <c r="R902" s="188" t="str">
        <f t="shared" si="253"/>
        <v/>
      </c>
      <c r="S902" s="237" t="str">
        <f t="shared" si="243"/>
        <v/>
      </c>
      <c r="T902" s="237" t="str">
        <f t="shared" ref="T902:T941" si="258" xml:space="preserve"> IF(D902="N/A","",IF(D902="","",IF(D902="INM",(1*P902)*J902,S902*P902)))</f>
        <v/>
      </c>
      <c r="U902" s="189"/>
      <c r="V902" s="167"/>
      <c r="W902" s="165"/>
      <c r="X902" s="164"/>
      <c r="Y902" s="164"/>
      <c r="Z902" s="164"/>
      <c r="AA902" s="174"/>
      <c r="AB902" s="164"/>
      <c r="AC902" s="174"/>
      <c r="AD902" s="184"/>
      <c r="AE902" s="190" t="str">
        <f t="shared" si="254"/>
        <v/>
      </c>
      <c r="AF902" s="190" t="str">
        <f t="shared" si="255"/>
        <v/>
      </c>
      <c r="AG902" s="190" t="str">
        <f t="shared" si="244"/>
        <v>D</v>
      </c>
      <c r="AH902" s="190">
        <f>IFERROR(VLOOKUP(Y902,SISP_Deflatores_e_INMs!B$4:F$49,3,FALSE),1)</f>
        <v>1</v>
      </c>
      <c r="AI902" s="190">
        <f>IFERROR(VLOOKUP(Y902,SISP_Deflatores_e_INMs!B$4:G$49,5,FALSE),1)</f>
        <v>1</v>
      </c>
      <c r="AJ902" s="191" t="str">
        <f t="shared" si="256"/>
        <v/>
      </c>
      <c r="AK902" s="237" t="str">
        <f t="shared" si="245"/>
        <v/>
      </c>
      <c r="AL902" s="237" t="str">
        <f t="shared" si="257"/>
        <v/>
      </c>
      <c r="AM902" s="192" t="e">
        <f t="shared" si="246"/>
        <v>#VALUE!</v>
      </c>
      <c r="AN902" s="193" t="e">
        <f t="shared" si="247"/>
        <v>#VALUE!</v>
      </c>
      <c r="AO902" s="193" t="e">
        <f t="shared" si="248"/>
        <v>#VALUE!</v>
      </c>
      <c r="AP902" s="193"/>
      <c r="AQ902" s="204"/>
      <c r="AR902" s="204"/>
      <c r="AS902" s="204"/>
      <c r="AT902" s="205"/>
      <c r="AU902"/>
    </row>
    <row r="903" spans="2:47" ht="15" customHeight="1" x14ac:dyDescent="0.25">
      <c r="B903" s="206"/>
      <c r="C903" s="185"/>
      <c r="D903" s="164"/>
      <c r="E903" s="174"/>
      <c r="F903" s="164"/>
      <c r="G903" s="174"/>
      <c r="H903" s="164"/>
      <c r="I903" s="174"/>
      <c r="J903" s="184"/>
      <c r="K903" s="186"/>
      <c r="L903" s="187" t="str">
        <f t="shared" si="249"/>
        <v/>
      </c>
      <c r="M903" s="187" t="str">
        <f t="shared" si="250"/>
        <v/>
      </c>
      <c r="N903" s="187" t="str">
        <f t="shared" si="242"/>
        <v>D</v>
      </c>
      <c r="O903" s="187" t="str">
        <f t="shared" si="251"/>
        <v>D</v>
      </c>
      <c r="P903" s="187">
        <f t="shared" si="252"/>
        <v>1</v>
      </c>
      <c r="Q903" s="187">
        <f>IFERROR(VLOOKUP(E903,Tabela_Deflator:E$43,5,FALSE),1)</f>
        <v>1</v>
      </c>
      <c r="R903" s="188" t="str">
        <f t="shared" si="253"/>
        <v/>
      </c>
      <c r="S903" s="237" t="str">
        <f t="shared" si="243"/>
        <v/>
      </c>
      <c r="T903" s="237" t="str">
        <f t="shared" si="258"/>
        <v/>
      </c>
      <c r="U903" s="189"/>
      <c r="V903" s="167"/>
      <c r="W903" s="165"/>
      <c r="X903" s="164"/>
      <c r="Y903" s="164"/>
      <c r="Z903" s="164"/>
      <c r="AA903" s="174"/>
      <c r="AB903" s="164"/>
      <c r="AC903" s="174"/>
      <c r="AD903" s="184"/>
      <c r="AE903" s="190" t="str">
        <f t="shared" si="254"/>
        <v/>
      </c>
      <c r="AF903" s="190" t="str">
        <f t="shared" si="255"/>
        <v/>
      </c>
      <c r="AG903" s="190" t="str">
        <f t="shared" si="244"/>
        <v>D</v>
      </c>
      <c r="AH903" s="190">
        <f>IFERROR(VLOOKUP(Y903,SISP_Deflatores_e_INMs!B$4:F$49,3,FALSE),1)</f>
        <v>1</v>
      </c>
      <c r="AI903" s="190">
        <f>IFERROR(VLOOKUP(Y903,SISP_Deflatores_e_INMs!B$4:G$49,5,FALSE),1)</f>
        <v>1</v>
      </c>
      <c r="AJ903" s="191" t="str">
        <f t="shared" si="256"/>
        <v/>
      </c>
      <c r="AK903" s="237" t="str">
        <f t="shared" si="245"/>
        <v/>
      </c>
      <c r="AL903" s="237" t="str">
        <f t="shared" si="257"/>
        <v/>
      </c>
      <c r="AM903" s="192" t="e">
        <f t="shared" si="246"/>
        <v>#VALUE!</v>
      </c>
      <c r="AN903" s="193" t="e">
        <f t="shared" si="247"/>
        <v>#VALUE!</v>
      </c>
      <c r="AO903" s="193" t="e">
        <f t="shared" si="248"/>
        <v>#VALUE!</v>
      </c>
      <c r="AP903" s="193"/>
      <c r="AQ903" s="204"/>
      <c r="AR903" s="204"/>
      <c r="AS903" s="204"/>
      <c r="AT903" s="205"/>
      <c r="AU903"/>
    </row>
    <row r="904" spans="2:47" ht="15" customHeight="1" x14ac:dyDescent="0.25">
      <c r="B904" s="206"/>
      <c r="C904" s="185"/>
      <c r="D904" s="164"/>
      <c r="E904" s="174"/>
      <c r="F904" s="164"/>
      <c r="G904" s="174"/>
      <c r="H904" s="164"/>
      <c r="I904" s="174"/>
      <c r="J904" s="184"/>
      <c r="K904" s="186"/>
      <c r="L904" s="187" t="str">
        <f t="shared" si="249"/>
        <v/>
      </c>
      <c r="M904" s="187" t="str">
        <f t="shared" si="250"/>
        <v/>
      </c>
      <c r="N904" s="187" t="str">
        <f t="shared" si="242"/>
        <v>D</v>
      </c>
      <c r="O904" s="187" t="str">
        <f t="shared" si="251"/>
        <v>D</v>
      </c>
      <c r="P904" s="187">
        <f t="shared" si="252"/>
        <v>1</v>
      </c>
      <c r="Q904" s="187">
        <f>IFERROR(VLOOKUP(E904,Tabela_Deflator:E$43,5,FALSE),1)</f>
        <v>1</v>
      </c>
      <c r="R904" s="188" t="str">
        <f t="shared" si="253"/>
        <v/>
      </c>
      <c r="S904" s="237" t="str">
        <f t="shared" si="243"/>
        <v/>
      </c>
      <c r="T904" s="237" t="str">
        <f t="shared" si="258"/>
        <v/>
      </c>
      <c r="U904" s="189"/>
      <c r="V904" s="167"/>
      <c r="W904" s="165"/>
      <c r="X904" s="164"/>
      <c r="Y904" s="164"/>
      <c r="Z904" s="164"/>
      <c r="AA904" s="174"/>
      <c r="AB904" s="164"/>
      <c r="AC904" s="174"/>
      <c r="AD904" s="184"/>
      <c r="AE904" s="190" t="str">
        <f t="shared" si="254"/>
        <v/>
      </c>
      <c r="AF904" s="190" t="str">
        <f t="shared" si="255"/>
        <v/>
      </c>
      <c r="AG904" s="190" t="str">
        <f t="shared" si="244"/>
        <v>D</v>
      </c>
      <c r="AH904" s="190">
        <f>IFERROR(VLOOKUP(Y904,SISP_Deflatores_e_INMs!B$4:F$49,3,FALSE),1)</f>
        <v>1</v>
      </c>
      <c r="AI904" s="190">
        <f>IFERROR(VLOOKUP(Y904,SISP_Deflatores_e_INMs!B$4:G$49,5,FALSE),1)</f>
        <v>1</v>
      </c>
      <c r="AJ904" s="191" t="str">
        <f t="shared" si="256"/>
        <v/>
      </c>
      <c r="AK904" s="237" t="str">
        <f t="shared" si="245"/>
        <v/>
      </c>
      <c r="AL904" s="237" t="str">
        <f t="shared" si="257"/>
        <v/>
      </c>
      <c r="AM904" s="192" t="e">
        <f t="shared" si="246"/>
        <v>#VALUE!</v>
      </c>
      <c r="AN904" s="193" t="e">
        <f t="shared" si="247"/>
        <v>#VALUE!</v>
      </c>
      <c r="AO904" s="193" t="e">
        <f t="shared" si="248"/>
        <v>#VALUE!</v>
      </c>
      <c r="AP904" s="193"/>
      <c r="AQ904" s="204"/>
      <c r="AR904" s="204"/>
      <c r="AS904" s="204"/>
      <c r="AT904" s="205"/>
      <c r="AU904"/>
    </row>
    <row r="905" spans="2:47" ht="15" customHeight="1" x14ac:dyDescent="0.25">
      <c r="B905" s="206"/>
      <c r="C905" s="185"/>
      <c r="D905" s="164"/>
      <c r="E905" s="174"/>
      <c r="F905" s="164"/>
      <c r="G905" s="174"/>
      <c r="H905" s="164"/>
      <c r="I905" s="174"/>
      <c r="J905" s="184"/>
      <c r="K905" s="186"/>
      <c r="L905" s="187" t="str">
        <f t="shared" si="249"/>
        <v/>
      </c>
      <c r="M905" s="187" t="str">
        <f t="shared" si="250"/>
        <v/>
      </c>
      <c r="N905" s="187" t="str">
        <f t="shared" si="242"/>
        <v>D</v>
      </c>
      <c r="O905" s="187" t="str">
        <f t="shared" si="251"/>
        <v>D</v>
      </c>
      <c r="P905" s="187">
        <f t="shared" si="252"/>
        <v>1</v>
      </c>
      <c r="Q905" s="187">
        <f>IFERROR(VLOOKUP(E905,Tabela_Deflator:E$43,5,FALSE),1)</f>
        <v>1</v>
      </c>
      <c r="R905" s="188" t="str">
        <f t="shared" si="253"/>
        <v/>
      </c>
      <c r="S905" s="237" t="str">
        <f t="shared" si="243"/>
        <v/>
      </c>
      <c r="T905" s="237" t="str">
        <f t="shared" si="258"/>
        <v/>
      </c>
      <c r="U905" s="189"/>
      <c r="V905" s="167"/>
      <c r="W905" s="165"/>
      <c r="X905" s="164"/>
      <c r="Y905" s="164"/>
      <c r="Z905" s="164"/>
      <c r="AA905" s="174"/>
      <c r="AB905" s="164"/>
      <c r="AC905" s="174"/>
      <c r="AD905" s="184"/>
      <c r="AE905" s="190" t="str">
        <f t="shared" si="254"/>
        <v/>
      </c>
      <c r="AF905" s="190" t="str">
        <f t="shared" si="255"/>
        <v/>
      </c>
      <c r="AG905" s="190" t="str">
        <f t="shared" si="244"/>
        <v>D</v>
      </c>
      <c r="AH905" s="190">
        <f>IFERROR(VLOOKUP(Y905,SISP_Deflatores_e_INMs!B$4:F$49,3,FALSE),1)</f>
        <v>1</v>
      </c>
      <c r="AI905" s="190">
        <f>IFERROR(VLOOKUP(Y905,SISP_Deflatores_e_INMs!B$4:G$49,5,FALSE),1)</f>
        <v>1</v>
      </c>
      <c r="AJ905" s="191" t="str">
        <f t="shared" si="256"/>
        <v/>
      </c>
      <c r="AK905" s="237" t="str">
        <f t="shared" si="245"/>
        <v/>
      </c>
      <c r="AL905" s="237" t="str">
        <f t="shared" si="257"/>
        <v/>
      </c>
      <c r="AM905" s="192" t="e">
        <f t="shared" si="246"/>
        <v>#VALUE!</v>
      </c>
      <c r="AN905" s="193" t="e">
        <f t="shared" si="247"/>
        <v>#VALUE!</v>
      </c>
      <c r="AO905" s="193" t="e">
        <f t="shared" si="248"/>
        <v>#VALUE!</v>
      </c>
      <c r="AP905" s="193"/>
      <c r="AQ905" s="204"/>
      <c r="AR905" s="204"/>
      <c r="AS905" s="204"/>
      <c r="AT905" s="205"/>
      <c r="AU905"/>
    </row>
    <row r="906" spans="2:47" ht="15" customHeight="1" x14ac:dyDescent="0.25">
      <c r="B906" s="206"/>
      <c r="C906" s="185"/>
      <c r="D906" s="164"/>
      <c r="E906" s="174"/>
      <c r="F906" s="164"/>
      <c r="G906" s="174"/>
      <c r="H906" s="164"/>
      <c r="I906" s="174"/>
      <c r="J906" s="184"/>
      <c r="K906" s="186"/>
      <c r="L906" s="187" t="str">
        <f t="shared" si="249"/>
        <v/>
      </c>
      <c r="M906" s="187" t="str">
        <f t="shared" si="250"/>
        <v/>
      </c>
      <c r="N906" s="187" t="str">
        <f t="shared" si="242"/>
        <v>D</v>
      </c>
      <c r="O906" s="187" t="str">
        <f t="shared" si="251"/>
        <v>D</v>
      </c>
      <c r="P906" s="187">
        <f t="shared" si="252"/>
        <v>1</v>
      </c>
      <c r="Q906" s="187">
        <f>IFERROR(VLOOKUP(E906,Tabela_Deflator:E$43,5,FALSE),1)</f>
        <v>1</v>
      </c>
      <c r="R906" s="188" t="str">
        <f t="shared" si="253"/>
        <v/>
      </c>
      <c r="S906" s="237" t="str">
        <f t="shared" si="243"/>
        <v/>
      </c>
      <c r="T906" s="237" t="str">
        <f t="shared" si="258"/>
        <v/>
      </c>
      <c r="U906" s="189"/>
      <c r="V906" s="167"/>
      <c r="W906" s="165"/>
      <c r="X906" s="164"/>
      <c r="Y906" s="164"/>
      <c r="Z906" s="164"/>
      <c r="AA906" s="174"/>
      <c r="AB906" s="164"/>
      <c r="AC906" s="174"/>
      <c r="AD906" s="184"/>
      <c r="AE906" s="190" t="str">
        <f t="shared" si="254"/>
        <v/>
      </c>
      <c r="AF906" s="190" t="str">
        <f t="shared" si="255"/>
        <v/>
      </c>
      <c r="AG906" s="190" t="str">
        <f t="shared" si="244"/>
        <v>D</v>
      </c>
      <c r="AH906" s="190">
        <f>IFERROR(VLOOKUP(Y906,SISP_Deflatores_e_INMs!B$4:F$49,3,FALSE),1)</f>
        <v>1</v>
      </c>
      <c r="AI906" s="190">
        <f>IFERROR(VLOOKUP(Y906,SISP_Deflatores_e_INMs!B$4:G$49,5,FALSE),1)</f>
        <v>1</v>
      </c>
      <c r="AJ906" s="191" t="str">
        <f t="shared" si="256"/>
        <v/>
      </c>
      <c r="AK906" s="237" t="str">
        <f t="shared" si="245"/>
        <v/>
      </c>
      <c r="AL906" s="237" t="str">
        <f t="shared" si="257"/>
        <v/>
      </c>
      <c r="AM906" s="192" t="e">
        <f t="shared" si="246"/>
        <v>#VALUE!</v>
      </c>
      <c r="AN906" s="193" t="e">
        <f t="shared" si="247"/>
        <v>#VALUE!</v>
      </c>
      <c r="AO906" s="193" t="e">
        <f t="shared" si="248"/>
        <v>#VALUE!</v>
      </c>
      <c r="AP906" s="193"/>
      <c r="AQ906" s="204"/>
      <c r="AR906" s="204"/>
      <c r="AS906" s="204"/>
      <c r="AT906" s="205"/>
      <c r="AU906"/>
    </row>
    <row r="907" spans="2:47" ht="15" customHeight="1" x14ac:dyDescent="0.25">
      <c r="B907" s="206"/>
      <c r="C907" s="185"/>
      <c r="D907" s="164"/>
      <c r="E907" s="174"/>
      <c r="F907" s="164"/>
      <c r="G907" s="174"/>
      <c r="H907" s="164"/>
      <c r="I907" s="174"/>
      <c r="J907" s="184"/>
      <c r="K907" s="186"/>
      <c r="L907" s="187" t="str">
        <f t="shared" si="249"/>
        <v/>
      </c>
      <c r="M907" s="187" t="str">
        <f t="shared" si="250"/>
        <v/>
      </c>
      <c r="N907" s="187" t="str">
        <f t="shared" si="242"/>
        <v>D</v>
      </c>
      <c r="O907" s="187" t="str">
        <f t="shared" si="251"/>
        <v>D</v>
      </c>
      <c r="P907" s="187">
        <f t="shared" si="252"/>
        <v>1</v>
      </c>
      <c r="Q907" s="187">
        <f>IFERROR(VLOOKUP(E907,Tabela_Deflator:E$43,5,FALSE),1)</f>
        <v>1</v>
      </c>
      <c r="R907" s="188" t="str">
        <f t="shared" si="253"/>
        <v/>
      </c>
      <c r="S907" s="237" t="str">
        <f t="shared" si="243"/>
        <v/>
      </c>
      <c r="T907" s="237" t="str">
        <f t="shared" si="258"/>
        <v/>
      </c>
      <c r="U907" s="189"/>
      <c r="V907" s="167"/>
      <c r="W907" s="165"/>
      <c r="X907" s="164"/>
      <c r="Y907" s="164"/>
      <c r="Z907" s="164"/>
      <c r="AA907" s="174"/>
      <c r="AB907" s="164"/>
      <c r="AC907" s="174"/>
      <c r="AD907" s="184"/>
      <c r="AE907" s="190" t="str">
        <f t="shared" si="254"/>
        <v/>
      </c>
      <c r="AF907" s="190" t="str">
        <f t="shared" si="255"/>
        <v/>
      </c>
      <c r="AG907" s="190" t="str">
        <f t="shared" si="244"/>
        <v>D</v>
      </c>
      <c r="AH907" s="190">
        <f>IFERROR(VLOOKUP(Y907,SISP_Deflatores_e_INMs!B$4:F$49,3,FALSE),1)</f>
        <v>1</v>
      </c>
      <c r="AI907" s="190">
        <f>IFERROR(VLOOKUP(Y907,SISP_Deflatores_e_INMs!B$4:G$49,5,FALSE),1)</f>
        <v>1</v>
      </c>
      <c r="AJ907" s="191" t="str">
        <f t="shared" si="256"/>
        <v/>
      </c>
      <c r="AK907" s="237" t="str">
        <f t="shared" si="245"/>
        <v/>
      </c>
      <c r="AL907" s="237" t="str">
        <f t="shared" si="257"/>
        <v/>
      </c>
      <c r="AM907" s="192" t="e">
        <f t="shared" si="246"/>
        <v>#VALUE!</v>
      </c>
      <c r="AN907" s="193" t="e">
        <f t="shared" si="247"/>
        <v>#VALUE!</v>
      </c>
      <c r="AO907" s="193" t="e">
        <f t="shared" si="248"/>
        <v>#VALUE!</v>
      </c>
      <c r="AP907" s="193"/>
      <c r="AQ907" s="204"/>
      <c r="AR907" s="204"/>
      <c r="AS907" s="204"/>
      <c r="AT907" s="205"/>
      <c r="AU907"/>
    </row>
    <row r="908" spans="2:47" ht="15" customHeight="1" x14ac:dyDescent="0.25">
      <c r="B908" s="206"/>
      <c r="C908" s="185"/>
      <c r="D908" s="164"/>
      <c r="E908" s="174"/>
      <c r="F908" s="164"/>
      <c r="G908" s="174"/>
      <c r="H908" s="164"/>
      <c r="I908" s="174"/>
      <c r="J908" s="184"/>
      <c r="K908" s="186"/>
      <c r="L908" s="187" t="str">
        <f t="shared" si="249"/>
        <v/>
      </c>
      <c r="M908" s="187" t="str">
        <f t="shared" si="250"/>
        <v/>
      </c>
      <c r="N908" s="187" t="str">
        <f t="shared" si="242"/>
        <v>D</v>
      </c>
      <c r="O908" s="187" t="str">
        <f t="shared" si="251"/>
        <v>D</v>
      </c>
      <c r="P908" s="187">
        <f t="shared" si="252"/>
        <v>1</v>
      </c>
      <c r="Q908" s="187">
        <f>IFERROR(VLOOKUP(E908,Tabela_Deflator:E$43,5,FALSE),1)</f>
        <v>1</v>
      </c>
      <c r="R908" s="188" t="str">
        <f t="shared" si="253"/>
        <v/>
      </c>
      <c r="S908" s="237" t="str">
        <f t="shared" si="243"/>
        <v/>
      </c>
      <c r="T908" s="237" t="str">
        <f t="shared" si="258"/>
        <v/>
      </c>
      <c r="U908" s="189"/>
      <c r="V908" s="167"/>
      <c r="W908" s="165"/>
      <c r="X908" s="164"/>
      <c r="Y908" s="164"/>
      <c r="Z908" s="164"/>
      <c r="AA908" s="174"/>
      <c r="AB908" s="164"/>
      <c r="AC908" s="174"/>
      <c r="AD908" s="184"/>
      <c r="AE908" s="190" t="str">
        <f t="shared" si="254"/>
        <v/>
      </c>
      <c r="AF908" s="190" t="str">
        <f t="shared" si="255"/>
        <v/>
      </c>
      <c r="AG908" s="190" t="str">
        <f t="shared" si="244"/>
        <v>D</v>
      </c>
      <c r="AH908" s="190">
        <f>IFERROR(VLOOKUP(Y908,SISP_Deflatores_e_INMs!B$4:F$49,3,FALSE),1)</f>
        <v>1</v>
      </c>
      <c r="AI908" s="190">
        <f>IFERROR(VLOOKUP(Y908,SISP_Deflatores_e_INMs!B$4:G$49,5,FALSE),1)</f>
        <v>1</v>
      </c>
      <c r="AJ908" s="191" t="str">
        <f t="shared" si="256"/>
        <v/>
      </c>
      <c r="AK908" s="237" t="str">
        <f t="shared" si="245"/>
        <v/>
      </c>
      <c r="AL908" s="237" t="str">
        <f t="shared" si="257"/>
        <v/>
      </c>
      <c r="AM908" s="192" t="e">
        <f t="shared" si="246"/>
        <v>#VALUE!</v>
      </c>
      <c r="AN908" s="193" t="e">
        <f t="shared" si="247"/>
        <v>#VALUE!</v>
      </c>
      <c r="AO908" s="193" t="e">
        <f t="shared" si="248"/>
        <v>#VALUE!</v>
      </c>
      <c r="AP908" s="193"/>
      <c r="AQ908" s="204"/>
      <c r="AR908" s="204"/>
      <c r="AS908" s="204"/>
      <c r="AT908" s="205"/>
      <c r="AU908"/>
    </row>
    <row r="909" spans="2:47" ht="15" customHeight="1" x14ac:dyDescent="0.25">
      <c r="B909" s="206"/>
      <c r="C909" s="185"/>
      <c r="D909" s="164"/>
      <c r="E909" s="174"/>
      <c r="F909" s="164"/>
      <c r="G909" s="174"/>
      <c r="H909" s="164"/>
      <c r="I909" s="174"/>
      <c r="J909" s="184"/>
      <c r="K909" s="186"/>
      <c r="L909" s="187" t="str">
        <f t="shared" si="249"/>
        <v/>
      </c>
      <c r="M909" s="187" t="str">
        <f t="shared" si="250"/>
        <v/>
      </c>
      <c r="N909" s="187" t="str">
        <f t="shared" si="242"/>
        <v>D</v>
      </c>
      <c r="O909" s="187" t="str">
        <f t="shared" si="251"/>
        <v>D</v>
      </c>
      <c r="P909" s="187">
        <f t="shared" si="252"/>
        <v>1</v>
      </c>
      <c r="Q909" s="187">
        <f>IFERROR(VLOOKUP(E909,Tabela_Deflator:E$43,5,FALSE),1)</f>
        <v>1</v>
      </c>
      <c r="R909" s="188" t="str">
        <f t="shared" si="253"/>
        <v/>
      </c>
      <c r="S909" s="237" t="str">
        <f t="shared" si="243"/>
        <v/>
      </c>
      <c r="T909" s="237" t="str">
        <f t="shared" si="258"/>
        <v/>
      </c>
      <c r="U909" s="189"/>
      <c r="V909" s="167"/>
      <c r="W909" s="165"/>
      <c r="X909" s="164"/>
      <c r="Y909" s="164"/>
      <c r="Z909" s="164"/>
      <c r="AA909" s="174"/>
      <c r="AB909" s="164"/>
      <c r="AC909" s="174"/>
      <c r="AD909" s="184"/>
      <c r="AE909" s="190" t="str">
        <f t="shared" si="254"/>
        <v/>
      </c>
      <c r="AF909" s="190" t="str">
        <f t="shared" si="255"/>
        <v/>
      </c>
      <c r="AG909" s="190" t="str">
        <f t="shared" si="244"/>
        <v>D</v>
      </c>
      <c r="AH909" s="190">
        <f>IFERROR(VLOOKUP(Y909,SISP_Deflatores_e_INMs!B$4:F$49,3,FALSE),1)</f>
        <v>1</v>
      </c>
      <c r="AI909" s="190">
        <f>IFERROR(VLOOKUP(Y909,SISP_Deflatores_e_INMs!B$4:G$49,5,FALSE),1)</f>
        <v>1</v>
      </c>
      <c r="AJ909" s="191" t="str">
        <f t="shared" si="256"/>
        <v/>
      </c>
      <c r="AK909" s="237" t="str">
        <f t="shared" si="245"/>
        <v/>
      </c>
      <c r="AL909" s="237" t="str">
        <f t="shared" si="257"/>
        <v/>
      </c>
      <c r="AM909" s="192" t="e">
        <f t="shared" si="246"/>
        <v>#VALUE!</v>
      </c>
      <c r="AN909" s="193" t="e">
        <f t="shared" si="247"/>
        <v>#VALUE!</v>
      </c>
      <c r="AO909" s="193" t="e">
        <f t="shared" si="248"/>
        <v>#VALUE!</v>
      </c>
      <c r="AP909" s="193"/>
      <c r="AQ909" s="204"/>
      <c r="AR909" s="204"/>
      <c r="AS909" s="204"/>
      <c r="AT909" s="205"/>
      <c r="AU909"/>
    </row>
    <row r="910" spans="2:47" ht="15" customHeight="1" x14ac:dyDescent="0.25">
      <c r="B910" s="206"/>
      <c r="C910" s="185"/>
      <c r="D910" s="164"/>
      <c r="E910" s="174"/>
      <c r="F910" s="164"/>
      <c r="G910" s="174"/>
      <c r="H910" s="164"/>
      <c r="I910" s="174"/>
      <c r="J910" s="184"/>
      <c r="K910" s="186"/>
      <c r="L910" s="187" t="str">
        <f t="shared" si="249"/>
        <v/>
      </c>
      <c r="M910" s="187" t="str">
        <f t="shared" si="250"/>
        <v/>
      </c>
      <c r="N910" s="187" t="str">
        <f t="shared" si="242"/>
        <v>D</v>
      </c>
      <c r="O910" s="187" t="str">
        <f t="shared" si="251"/>
        <v>D</v>
      </c>
      <c r="P910" s="187">
        <f t="shared" si="252"/>
        <v>1</v>
      </c>
      <c r="Q910" s="187">
        <f>IFERROR(VLOOKUP(E910,Tabela_Deflator:E$43,5,FALSE),1)</f>
        <v>1</v>
      </c>
      <c r="R910" s="188" t="str">
        <f t="shared" si="253"/>
        <v/>
      </c>
      <c r="S910" s="237" t="str">
        <f t="shared" si="243"/>
        <v/>
      </c>
      <c r="T910" s="237" t="str">
        <f t="shared" si="258"/>
        <v/>
      </c>
      <c r="U910" s="189"/>
      <c r="V910" s="167"/>
      <c r="W910" s="165"/>
      <c r="X910" s="164"/>
      <c r="Y910" s="164"/>
      <c r="Z910" s="164"/>
      <c r="AA910" s="174"/>
      <c r="AB910" s="164"/>
      <c r="AC910" s="174"/>
      <c r="AD910" s="184"/>
      <c r="AE910" s="190" t="str">
        <f t="shared" si="254"/>
        <v/>
      </c>
      <c r="AF910" s="190" t="str">
        <f t="shared" si="255"/>
        <v/>
      </c>
      <c r="AG910" s="190" t="str">
        <f t="shared" si="244"/>
        <v>D</v>
      </c>
      <c r="AH910" s="190">
        <f>IFERROR(VLOOKUP(Y910,SISP_Deflatores_e_INMs!B$4:F$49,3,FALSE),1)</f>
        <v>1</v>
      </c>
      <c r="AI910" s="190">
        <f>IFERROR(VLOOKUP(Y910,SISP_Deflatores_e_INMs!B$4:G$49,5,FALSE),1)</f>
        <v>1</v>
      </c>
      <c r="AJ910" s="191" t="str">
        <f t="shared" si="256"/>
        <v/>
      </c>
      <c r="AK910" s="237" t="str">
        <f t="shared" si="245"/>
        <v/>
      </c>
      <c r="AL910" s="237" t="str">
        <f t="shared" si="257"/>
        <v/>
      </c>
      <c r="AM910" s="192" t="e">
        <f t="shared" si="246"/>
        <v>#VALUE!</v>
      </c>
      <c r="AN910" s="193" t="e">
        <f t="shared" si="247"/>
        <v>#VALUE!</v>
      </c>
      <c r="AO910" s="193" t="e">
        <f t="shared" si="248"/>
        <v>#VALUE!</v>
      </c>
      <c r="AP910" s="193"/>
      <c r="AQ910" s="204"/>
      <c r="AR910" s="204"/>
      <c r="AS910" s="204"/>
      <c r="AT910" s="205"/>
      <c r="AU910"/>
    </row>
    <row r="911" spans="2:47" ht="15" customHeight="1" x14ac:dyDescent="0.25">
      <c r="B911" s="206"/>
      <c r="C911" s="185"/>
      <c r="D911" s="164"/>
      <c r="E911" s="174"/>
      <c r="F911" s="164"/>
      <c r="G911" s="174"/>
      <c r="H911" s="164"/>
      <c r="I911" s="174"/>
      <c r="J911" s="184"/>
      <c r="K911" s="186"/>
      <c r="L911" s="187" t="str">
        <f t="shared" si="249"/>
        <v/>
      </c>
      <c r="M911" s="187" t="str">
        <f t="shared" si="250"/>
        <v/>
      </c>
      <c r="N911" s="187" t="str">
        <f t="shared" si="242"/>
        <v>D</v>
      </c>
      <c r="O911" s="187" t="str">
        <f t="shared" si="251"/>
        <v>D</v>
      </c>
      <c r="P911" s="187">
        <f t="shared" si="252"/>
        <v>1</v>
      </c>
      <c r="Q911" s="187">
        <f>IFERROR(VLOOKUP(E911,Tabela_Deflator:E$43,5,FALSE),1)</f>
        <v>1</v>
      </c>
      <c r="R911" s="188" t="str">
        <f t="shared" si="253"/>
        <v/>
      </c>
      <c r="S911" s="237" t="str">
        <f t="shared" si="243"/>
        <v/>
      </c>
      <c r="T911" s="237" t="str">
        <f t="shared" si="258"/>
        <v/>
      </c>
      <c r="U911" s="189"/>
      <c r="V911" s="167"/>
      <c r="W911" s="165"/>
      <c r="X911" s="164"/>
      <c r="Y911" s="164"/>
      <c r="Z911" s="164"/>
      <c r="AA911" s="174"/>
      <c r="AB911" s="164"/>
      <c r="AC911" s="174"/>
      <c r="AD911" s="184"/>
      <c r="AE911" s="190" t="str">
        <f t="shared" si="254"/>
        <v/>
      </c>
      <c r="AF911" s="190" t="str">
        <f t="shared" si="255"/>
        <v/>
      </c>
      <c r="AG911" s="190" t="str">
        <f t="shared" si="244"/>
        <v>D</v>
      </c>
      <c r="AH911" s="190">
        <f>IFERROR(VLOOKUP(Y911,SISP_Deflatores_e_INMs!B$4:F$49,3,FALSE),1)</f>
        <v>1</v>
      </c>
      <c r="AI911" s="190">
        <f>IFERROR(VLOOKUP(Y911,SISP_Deflatores_e_INMs!B$4:G$49,5,FALSE),1)</f>
        <v>1</v>
      </c>
      <c r="AJ911" s="191" t="str">
        <f t="shared" si="256"/>
        <v/>
      </c>
      <c r="AK911" s="237" t="str">
        <f t="shared" si="245"/>
        <v/>
      </c>
      <c r="AL911" s="237" t="str">
        <f t="shared" si="257"/>
        <v/>
      </c>
      <c r="AM911" s="192" t="e">
        <f t="shared" si="246"/>
        <v>#VALUE!</v>
      </c>
      <c r="AN911" s="193" t="e">
        <f t="shared" si="247"/>
        <v>#VALUE!</v>
      </c>
      <c r="AO911" s="193" t="e">
        <f t="shared" si="248"/>
        <v>#VALUE!</v>
      </c>
      <c r="AP911" s="193"/>
      <c r="AQ911" s="204"/>
      <c r="AR911" s="204"/>
      <c r="AS911" s="204"/>
      <c r="AT911" s="205"/>
      <c r="AU911"/>
    </row>
    <row r="912" spans="2:47" ht="15" customHeight="1" x14ac:dyDescent="0.25">
      <c r="B912" s="206"/>
      <c r="C912" s="185"/>
      <c r="D912" s="164"/>
      <c r="E912" s="174"/>
      <c r="F912" s="164"/>
      <c r="G912" s="174"/>
      <c r="H912" s="164"/>
      <c r="I912" s="174"/>
      <c r="J912" s="184"/>
      <c r="K912" s="186"/>
      <c r="L912" s="187" t="str">
        <f t="shared" si="249"/>
        <v/>
      </c>
      <c r="M912" s="187" t="str">
        <f t="shared" si="250"/>
        <v/>
      </c>
      <c r="N912" s="187" t="str">
        <f t="shared" si="242"/>
        <v>D</v>
      </c>
      <c r="O912" s="187" t="str">
        <f t="shared" si="251"/>
        <v>D</v>
      </c>
      <c r="P912" s="187">
        <f t="shared" si="252"/>
        <v>1</v>
      </c>
      <c r="Q912" s="187">
        <f>IFERROR(VLOOKUP(E912,Tabela_Deflator:E$43,5,FALSE),1)</f>
        <v>1</v>
      </c>
      <c r="R912" s="188" t="str">
        <f t="shared" si="253"/>
        <v/>
      </c>
      <c r="S912" s="237" t="str">
        <f t="shared" si="243"/>
        <v/>
      </c>
      <c r="T912" s="237" t="str">
        <f t="shared" si="258"/>
        <v/>
      </c>
      <c r="U912" s="189"/>
      <c r="V912" s="167"/>
      <c r="W912" s="165"/>
      <c r="X912" s="164"/>
      <c r="Y912" s="164"/>
      <c r="Z912" s="164"/>
      <c r="AA912" s="174"/>
      <c r="AB912" s="164"/>
      <c r="AC912" s="174"/>
      <c r="AD912" s="184"/>
      <c r="AE912" s="190" t="str">
        <f t="shared" si="254"/>
        <v/>
      </c>
      <c r="AF912" s="190" t="str">
        <f t="shared" si="255"/>
        <v/>
      </c>
      <c r="AG912" s="190" t="str">
        <f t="shared" si="244"/>
        <v>D</v>
      </c>
      <c r="AH912" s="190">
        <f>IFERROR(VLOOKUP(Y912,SISP_Deflatores_e_INMs!B$4:F$49,3,FALSE),1)</f>
        <v>1</v>
      </c>
      <c r="AI912" s="190">
        <f>IFERROR(VLOOKUP(Y912,SISP_Deflatores_e_INMs!B$4:G$49,5,FALSE),1)</f>
        <v>1</v>
      </c>
      <c r="AJ912" s="191" t="str">
        <f t="shared" si="256"/>
        <v/>
      </c>
      <c r="AK912" s="237" t="str">
        <f t="shared" si="245"/>
        <v/>
      </c>
      <c r="AL912" s="237" t="str">
        <f t="shared" si="257"/>
        <v/>
      </c>
      <c r="AM912" s="192" t="e">
        <f t="shared" si="246"/>
        <v>#VALUE!</v>
      </c>
      <c r="AN912" s="193" t="e">
        <f t="shared" si="247"/>
        <v>#VALUE!</v>
      </c>
      <c r="AO912" s="193" t="e">
        <f t="shared" si="248"/>
        <v>#VALUE!</v>
      </c>
      <c r="AP912" s="193"/>
      <c r="AQ912" s="204"/>
      <c r="AR912" s="204"/>
      <c r="AS912" s="204"/>
      <c r="AT912" s="205"/>
      <c r="AU912"/>
    </row>
    <row r="913" spans="2:47" ht="15" customHeight="1" x14ac:dyDescent="0.25">
      <c r="B913" s="206"/>
      <c r="C913" s="185"/>
      <c r="D913" s="164"/>
      <c r="E913" s="174"/>
      <c r="F913" s="164"/>
      <c r="G913" s="174"/>
      <c r="H913" s="164"/>
      <c r="I913" s="174"/>
      <c r="J913" s="184"/>
      <c r="K913" s="186"/>
      <c r="L913" s="187" t="str">
        <f t="shared" si="249"/>
        <v/>
      </c>
      <c r="M913" s="187" t="str">
        <f t="shared" si="250"/>
        <v/>
      </c>
      <c r="N913" s="187" t="str">
        <f t="shared" si="242"/>
        <v>D</v>
      </c>
      <c r="O913" s="187" t="str">
        <f t="shared" si="251"/>
        <v>D</v>
      </c>
      <c r="P913" s="187">
        <f t="shared" si="252"/>
        <v>1</v>
      </c>
      <c r="Q913" s="187">
        <f>IFERROR(VLOOKUP(E913,Tabela_Deflator:E$43,5,FALSE),1)</f>
        <v>1</v>
      </c>
      <c r="R913" s="188" t="str">
        <f t="shared" si="253"/>
        <v/>
      </c>
      <c r="S913" s="237" t="str">
        <f t="shared" si="243"/>
        <v/>
      </c>
      <c r="T913" s="237" t="str">
        <f t="shared" si="258"/>
        <v/>
      </c>
      <c r="U913" s="189"/>
      <c r="V913" s="167"/>
      <c r="W913" s="165"/>
      <c r="X913" s="164"/>
      <c r="Y913" s="164"/>
      <c r="Z913" s="164"/>
      <c r="AA913" s="174"/>
      <c r="AB913" s="164"/>
      <c r="AC913" s="174"/>
      <c r="AD913" s="184"/>
      <c r="AE913" s="190" t="str">
        <f t="shared" si="254"/>
        <v/>
      </c>
      <c r="AF913" s="190" t="str">
        <f t="shared" si="255"/>
        <v/>
      </c>
      <c r="AG913" s="190" t="str">
        <f t="shared" si="244"/>
        <v>D</v>
      </c>
      <c r="AH913" s="190">
        <f>IFERROR(VLOOKUP(Y913,SISP_Deflatores_e_INMs!B$4:F$49,3,FALSE),1)</f>
        <v>1</v>
      </c>
      <c r="AI913" s="190">
        <f>IFERROR(VLOOKUP(Y913,SISP_Deflatores_e_INMs!B$4:G$49,5,FALSE),1)</f>
        <v>1</v>
      </c>
      <c r="AJ913" s="191" t="str">
        <f t="shared" si="256"/>
        <v/>
      </c>
      <c r="AK913" s="237" t="str">
        <f t="shared" si="245"/>
        <v/>
      </c>
      <c r="AL913" s="237" t="str">
        <f t="shared" si="257"/>
        <v/>
      </c>
      <c r="AM913" s="192" t="e">
        <f t="shared" si="246"/>
        <v>#VALUE!</v>
      </c>
      <c r="AN913" s="193" t="e">
        <f t="shared" si="247"/>
        <v>#VALUE!</v>
      </c>
      <c r="AO913" s="193" t="e">
        <f t="shared" si="248"/>
        <v>#VALUE!</v>
      </c>
      <c r="AP913" s="193"/>
      <c r="AQ913" s="204"/>
      <c r="AR913" s="204"/>
      <c r="AS913" s="204"/>
      <c r="AT913" s="205"/>
      <c r="AU913"/>
    </row>
    <row r="914" spans="2:47" ht="15" customHeight="1" x14ac:dyDescent="0.25">
      <c r="B914" s="206"/>
      <c r="C914" s="185"/>
      <c r="D914" s="164"/>
      <c r="E914" s="174"/>
      <c r="F914" s="164"/>
      <c r="G914" s="174"/>
      <c r="H914" s="164"/>
      <c r="I914" s="174"/>
      <c r="J914" s="184"/>
      <c r="K914" s="186"/>
      <c r="L914" s="187" t="str">
        <f t="shared" si="249"/>
        <v/>
      </c>
      <c r="M914" s="187" t="str">
        <f t="shared" si="250"/>
        <v/>
      </c>
      <c r="N914" s="187" t="str">
        <f t="shared" si="242"/>
        <v>D</v>
      </c>
      <c r="O914" s="187" t="str">
        <f t="shared" si="251"/>
        <v>D</v>
      </c>
      <c r="P914" s="187">
        <f t="shared" si="252"/>
        <v>1</v>
      </c>
      <c r="Q914" s="187">
        <f>IFERROR(VLOOKUP(E914,Tabela_Deflator:E$43,5,FALSE),1)</f>
        <v>1</v>
      </c>
      <c r="R914" s="188" t="str">
        <f t="shared" si="253"/>
        <v/>
      </c>
      <c r="S914" s="237" t="str">
        <f t="shared" si="243"/>
        <v/>
      </c>
      <c r="T914" s="237" t="str">
        <f t="shared" si="258"/>
        <v/>
      </c>
      <c r="U914" s="189"/>
      <c r="V914" s="167"/>
      <c r="W914" s="165"/>
      <c r="X914" s="164"/>
      <c r="Y914" s="164"/>
      <c r="Z914" s="164"/>
      <c r="AA914" s="174"/>
      <c r="AB914" s="164"/>
      <c r="AC914" s="174"/>
      <c r="AD914" s="184"/>
      <c r="AE914" s="190" t="str">
        <f t="shared" si="254"/>
        <v/>
      </c>
      <c r="AF914" s="190" t="str">
        <f t="shared" si="255"/>
        <v/>
      </c>
      <c r="AG914" s="190" t="str">
        <f t="shared" si="244"/>
        <v>D</v>
      </c>
      <c r="AH914" s="190">
        <f>IFERROR(VLOOKUP(Y914,SISP_Deflatores_e_INMs!B$4:F$49,3,FALSE),1)</f>
        <v>1</v>
      </c>
      <c r="AI914" s="190">
        <f>IFERROR(VLOOKUP(Y914,SISP_Deflatores_e_INMs!B$4:G$49,5,FALSE),1)</f>
        <v>1</v>
      </c>
      <c r="AJ914" s="191" t="str">
        <f t="shared" si="256"/>
        <v/>
      </c>
      <c r="AK914" s="237" t="str">
        <f t="shared" si="245"/>
        <v/>
      </c>
      <c r="AL914" s="237" t="str">
        <f t="shared" si="257"/>
        <v/>
      </c>
      <c r="AM914" s="192" t="e">
        <f t="shared" si="246"/>
        <v>#VALUE!</v>
      </c>
      <c r="AN914" s="193" t="e">
        <f t="shared" si="247"/>
        <v>#VALUE!</v>
      </c>
      <c r="AO914" s="193" t="e">
        <f t="shared" si="248"/>
        <v>#VALUE!</v>
      </c>
      <c r="AP914" s="193"/>
      <c r="AQ914" s="204"/>
      <c r="AR914" s="204"/>
      <c r="AS914" s="204"/>
      <c r="AT914" s="205"/>
      <c r="AU914"/>
    </row>
    <row r="915" spans="2:47" ht="15" customHeight="1" x14ac:dyDescent="0.25">
      <c r="B915" s="206"/>
      <c r="C915" s="185"/>
      <c r="D915" s="164"/>
      <c r="E915" s="174"/>
      <c r="F915" s="164"/>
      <c r="G915" s="174"/>
      <c r="H915" s="164"/>
      <c r="I915" s="174"/>
      <c r="J915" s="184"/>
      <c r="K915" s="186"/>
      <c r="L915" s="187" t="str">
        <f t="shared" si="249"/>
        <v/>
      </c>
      <c r="M915" s="187" t="str">
        <f t="shared" si="250"/>
        <v/>
      </c>
      <c r="N915" s="187" t="str">
        <f t="shared" si="242"/>
        <v>D</v>
      </c>
      <c r="O915" s="187" t="str">
        <f t="shared" si="251"/>
        <v>D</v>
      </c>
      <c r="P915" s="187">
        <f t="shared" si="252"/>
        <v>1</v>
      </c>
      <c r="Q915" s="187">
        <f>IFERROR(VLOOKUP(E915,Tabela_Deflator:E$43,5,FALSE),1)</f>
        <v>1</v>
      </c>
      <c r="R915" s="188" t="str">
        <f t="shared" si="253"/>
        <v/>
      </c>
      <c r="S915" s="237" t="str">
        <f t="shared" si="243"/>
        <v/>
      </c>
      <c r="T915" s="237" t="str">
        <f t="shared" si="258"/>
        <v/>
      </c>
      <c r="U915" s="189"/>
      <c r="V915" s="167"/>
      <c r="W915" s="165"/>
      <c r="X915" s="164"/>
      <c r="Y915" s="164"/>
      <c r="Z915" s="164"/>
      <c r="AA915" s="174"/>
      <c r="AB915" s="164"/>
      <c r="AC915" s="174"/>
      <c r="AD915" s="184"/>
      <c r="AE915" s="190" t="str">
        <f t="shared" si="254"/>
        <v/>
      </c>
      <c r="AF915" s="190" t="str">
        <f t="shared" si="255"/>
        <v/>
      </c>
      <c r="AG915" s="190" t="str">
        <f t="shared" si="244"/>
        <v>D</v>
      </c>
      <c r="AH915" s="190">
        <f>IFERROR(VLOOKUP(Y915,SISP_Deflatores_e_INMs!B$4:F$49,3,FALSE),1)</f>
        <v>1</v>
      </c>
      <c r="AI915" s="190">
        <f>IFERROR(VLOOKUP(Y915,SISP_Deflatores_e_INMs!B$4:G$49,5,FALSE),1)</f>
        <v>1</v>
      </c>
      <c r="AJ915" s="191" t="str">
        <f t="shared" si="256"/>
        <v/>
      </c>
      <c r="AK915" s="237" t="str">
        <f t="shared" si="245"/>
        <v/>
      </c>
      <c r="AL915" s="237" t="str">
        <f t="shared" si="257"/>
        <v/>
      </c>
      <c r="AM915" s="192" t="e">
        <f t="shared" si="246"/>
        <v>#VALUE!</v>
      </c>
      <c r="AN915" s="193" t="e">
        <f t="shared" si="247"/>
        <v>#VALUE!</v>
      </c>
      <c r="AO915" s="193" t="e">
        <f t="shared" si="248"/>
        <v>#VALUE!</v>
      </c>
      <c r="AP915" s="193"/>
      <c r="AQ915" s="204"/>
      <c r="AR915" s="204"/>
      <c r="AS915" s="204"/>
      <c r="AT915" s="205"/>
      <c r="AU915"/>
    </row>
    <row r="916" spans="2:47" ht="15" customHeight="1" x14ac:dyDescent="0.25">
      <c r="B916" s="206"/>
      <c r="C916" s="185"/>
      <c r="D916" s="164"/>
      <c r="E916" s="174"/>
      <c r="F916" s="164"/>
      <c r="G916" s="174"/>
      <c r="H916" s="164"/>
      <c r="I916" s="174"/>
      <c r="J916" s="184"/>
      <c r="K916" s="186"/>
      <c r="L916" s="187" t="str">
        <f t="shared" si="249"/>
        <v/>
      </c>
      <c r="M916" s="187" t="str">
        <f t="shared" si="250"/>
        <v/>
      </c>
      <c r="N916" s="187" t="str">
        <f t="shared" si="242"/>
        <v>D</v>
      </c>
      <c r="O916" s="187" t="str">
        <f t="shared" si="251"/>
        <v>D</v>
      </c>
      <c r="P916" s="187">
        <f t="shared" si="252"/>
        <v>1</v>
      </c>
      <c r="Q916" s="187">
        <f>IFERROR(VLOOKUP(E916,Tabela_Deflator:E$43,5,FALSE),1)</f>
        <v>1</v>
      </c>
      <c r="R916" s="188" t="str">
        <f t="shared" si="253"/>
        <v/>
      </c>
      <c r="S916" s="237" t="str">
        <f t="shared" si="243"/>
        <v/>
      </c>
      <c r="T916" s="237" t="str">
        <f t="shared" si="258"/>
        <v/>
      </c>
      <c r="U916" s="189"/>
      <c r="V916" s="167"/>
      <c r="W916" s="165"/>
      <c r="X916" s="164"/>
      <c r="Y916" s="164"/>
      <c r="Z916" s="164"/>
      <c r="AA916" s="174"/>
      <c r="AB916" s="164"/>
      <c r="AC916" s="174"/>
      <c r="AD916" s="184"/>
      <c r="AE916" s="190" t="str">
        <f t="shared" si="254"/>
        <v/>
      </c>
      <c r="AF916" s="190" t="str">
        <f t="shared" si="255"/>
        <v/>
      </c>
      <c r="AG916" s="190" t="str">
        <f t="shared" si="244"/>
        <v>D</v>
      </c>
      <c r="AH916" s="190">
        <f>IFERROR(VLOOKUP(Y916,SISP_Deflatores_e_INMs!B$4:F$49,3,FALSE),1)</f>
        <v>1</v>
      </c>
      <c r="AI916" s="190">
        <f>IFERROR(VLOOKUP(Y916,SISP_Deflatores_e_INMs!B$4:G$49,5,FALSE),1)</f>
        <v>1</v>
      </c>
      <c r="AJ916" s="191" t="str">
        <f t="shared" si="256"/>
        <v/>
      </c>
      <c r="AK916" s="237" t="str">
        <f t="shared" si="245"/>
        <v/>
      </c>
      <c r="AL916" s="237" t="str">
        <f t="shared" si="257"/>
        <v/>
      </c>
      <c r="AM916" s="192" t="e">
        <f t="shared" si="246"/>
        <v>#VALUE!</v>
      </c>
      <c r="AN916" s="193" t="e">
        <f t="shared" si="247"/>
        <v>#VALUE!</v>
      </c>
      <c r="AO916" s="193" t="e">
        <f t="shared" si="248"/>
        <v>#VALUE!</v>
      </c>
      <c r="AP916" s="193"/>
      <c r="AQ916" s="204"/>
      <c r="AR916" s="204"/>
      <c r="AS916" s="204"/>
      <c r="AT916" s="205"/>
      <c r="AU916"/>
    </row>
    <row r="917" spans="2:47" ht="15" customHeight="1" x14ac:dyDescent="0.25">
      <c r="B917" s="206"/>
      <c r="C917" s="185"/>
      <c r="D917" s="164"/>
      <c r="E917" s="174"/>
      <c r="F917" s="164"/>
      <c r="G917" s="174"/>
      <c r="H917" s="164"/>
      <c r="I917" s="174"/>
      <c r="J917" s="184"/>
      <c r="K917" s="186"/>
      <c r="L917" s="187" t="str">
        <f t="shared" si="249"/>
        <v/>
      </c>
      <c r="M917" s="187" t="str">
        <f t="shared" si="250"/>
        <v/>
      </c>
      <c r="N917" s="187" t="str">
        <f t="shared" si="242"/>
        <v>D</v>
      </c>
      <c r="O917" s="187" t="str">
        <f t="shared" si="251"/>
        <v>D</v>
      </c>
      <c r="P917" s="187">
        <f t="shared" si="252"/>
        <v>1</v>
      </c>
      <c r="Q917" s="187">
        <f>IFERROR(VLOOKUP(E917,Tabela_Deflator:E$43,5,FALSE),1)</f>
        <v>1</v>
      </c>
      <c r="R917" s="188" t="str">
        <f t="shared" si="253"/>
        <v/>
      </c>
      <c r="S917" s="237" t="str">
        <f t="shared" si="243"/>
        <v/>
      </c>
      <c r="T917" s="237" t="str">
        <f t="shared" si="258"/>
        <v/>
      </c>
      <c r="U917" s="189"/>
      <c r="V917" s="167"/>
      <c r="W917" s="165"/>
      <c r="X917" s="164"/>
      <c r="Y917" s="164"/>
      <c r="Z917" s="164"/>
      <c r="AA917" s="174"/>
      <c r="AB917" s="164"/>
      <c r="AC917" s="174"/>
      <c r="AD917" s="184"/>
      <c r="AE917" s="190" t="str">
        <f t="shared" si="254"/>
        <v/>
      </c>
      <c r="AF917" s="190" t="str">
        <f t="shared" si="255"/>
        <v/>
      </c>
      <c r="AG917" s="190" t="str">
        <f t="shared" si="244"/>
        <v>D</v>
      </c>
      <c r="AH917" s="190">
        <f>IFERROR(VLOOKUP(Y917,SISP_Deflatores_e_INMs!B$4:F$49,3,FALSE),1)</f>
        <v>1</v>
      </c>
      <c r="AI917" s="190">
        <f>IFERROR(VLOOKUP(Y917,SISP_Deflatores_e_INMs!B$4:G$49,5,FALSE),1)</f>
        <v>1</v>
      </c>
      <c r="AJ917" s="191" t="str">
        <f t="shared" si="256"/>
        <v/>
      </c>
      <c r="AK917" s="237" t="str">
        <f t="shared" si="245"/>
        <v/>
      </c>
      <c r="AL917" s="237" t="str">
        <f t="shared" si="257"/>
        <v/>
      </c>
      <c r="AM917" s="192" t="e">
        <f t="shared" si="246"/>
        <v>#VALUE!</v>
      </c>
      <c r="AN917" s="193" t="e">
        <f t="shared" si="247"/>
        <v>#VALUE!</v>
      </c>
      <c r="AO917" s="193" t="e">
        <f t="shared" si="248"/>
        <v>#VALUE!</v>
      </c>
      <c r="AP917" s="193"/>
      <c r="AQ917" s="204"/>
      <c r="AR917" s="204"/>
      <c r="AS917" s="204"/>
      <c r="AT917" s="205"/>
      <c r="AU917"/>
    </row>
    <row r="918" spans="2:47" ht="15" customHeight="1" x14ac:dyDescent="0.25">
      <c r="B918" s="206"/>
      <c r="C918" s="185"/>
      <c r="D918" s="164"/>
      <c r="E918" s="174"/>
      <c r="F918" s="164"/>
      <c r="G918" s="174"/>
      <c r="H918" s="164"/>
      <c r="I918" s="174"/>
      <c r="J918" s="184"/>
      <c r="K918" s="186"/>
      <c r="L918" s="187" t="str">
        <f t="shared" si="249"/>
        <v/>
      </c>
      <c r="M918" s="187" t="str">
        <f t="shared" si="250"/>
        <v/>
      </c>
      <c r="N918" s="187" t="str">
        <f t="shared" si="242"/>
        <v>D</v>
      </c>
      <c r="O918" s="187" t="str">
        <f t="shared" si="251"/>
        <v>D</v>
      </c>
      <c r="P918" s="187">
        <f t="shared" si="252"/>
        <v>1</v>
      </c>
      <c r="Q918" s="187">
        <f>IFERROR(VLOOKUP(E918,Tabela_Deflator:E$43,5,FALSE),1)</f>
        <v>1</v>
      </c>
      <c r="R918" s="188" t="str">
        <f t="shared" si="253"/>
        <v/>
      </c>
      <c r="S918" s="237" t="str">
        <f t="shared" si="243"/>
        <v/>
      </c>
      <c r="T918" s="237" t="str">
        <f t="shared" si="258"/>
        <v/>
      </c>
      <c r="U918" s="189"/>
      <c r="V918" s="167"/>
      <c r="W918" s="165"/>
      <c r="X918" s="164"/>
      <c r="Y918" s="164"/>
      <c r="Z918" s="164"/>
      <c r="AA918" s="174"/>
      <c r="AB918" s="164"/>
      <c r="AC918" s="174"/>
      <c r="AD918" s="184"/>
      <c r="AE918" s="190" t="str">
        <f t="shared" si="254"/>
        <v/>
      </c>
      <c r="AF918" s="190" t="str">
        <f t="shared" si="255"/>
        <v/>
      </c>
      <c r="AG918" s="190" t="str">
        <f t="shared" si="244"/>
        <v>D</v>
      </c>
      <c r="AH918" s="190">
        <f>IFERROR(VLOOKUP(Y918,SISP_Deflatores_e_INMs!B$4:F$49,3,FALSE),1)</f>
        <v>1</v>
      </c>
      <c r="AI918" s="190">
        <f>IFERROR(VLOOKUP(Y918,SISP_Deflatores_e_INMs!B$4:G$49,5,FALSE),1)</f>
        <v>1</v>
      </c>
      <c r="AJ918" s="191" t="str">
        <f t="shared" si="256"/>
        <v/>
      </c>
      <c r="AK918" s="237" t="str">
        <f t="shared" si="245"/>
        <v/>
      </c>
      <c r="AL918" s="237" t="str">
        <f t="shared" si="257"/>
        <v/>
      </c>
      <c r="AM918" s="192" t="e">
        <f t="shared" si="246"/>
        <v>#VALUE!</v>
      </c>
      <c r="AN918" s="193" t="e">
        <f t="shared" si="247"/>
        <v>#VALUE!</v>
      </c>
      <c r="AO918" s="193" t="e">
        <f t="shared" si="248"/>
        <v>#VALUE!</v>
      </c>
      <c r="AP918" s="193"/>
      <c r="AQ918" s="204"/>
      <c r="AR918" s="204"/>
      <c r="AS918" s="204"/>
      <c r="AT918" s="205"/>
      <c r="AU918"/>
    </row>
    <row r="919" spans="2:47" ht="15" customHeight="1" x14ac:dyDescent="0.25">
      <c r="B919" s="206"/>
      <c r="C919" s="185"/>
      <c r="D919" s="164"/>
      <c r="E919" s="174"/>
      <c r="F919" s="164"/>
      <c r="G919" s="174"/>
      <c r="H919" s="164"/>
      <c r="I919" s="174"/>
      <c r="J919" s="184"/>
      <c r="K919" s="186"/>
      <c r="L919" s="187" t="str">
        <f t="shared" si="249"/>
        <v/>
      </c>
      <c r="M919" s="187" t="str">
        <f t="shared" si="250"/>
        <v/>
      </c>
      <c r="N919" s="187" t="str">
        <f t="shared" si="242"/>
        <v>D</v>
      </c>
      <c r="O919" s="187" t="str">
        <f t="shared" si="251"/>
        <v>D</v>
      </c>
      <c r="P919" s="187">
        <f t="shared" si="252"/>
        <v>1</v>
      </c>
      <c r="Q919" s="187">
        <f>IFERROR(VLOOKUP(E919,Tabela_Deflator:E$43,5,FALSE),1)</f>
        <v>1</v>
      </c>
      <c r="R919" s="188" t="str">
        <f t="shared" si="253"/>
        <v/>
      </c>
      <c r="S919" s="237" t="str">
        <f t="shared" si="243"/>
        <v/>
      </c>
      <c r="T919" s="237" t="str">
        <f t="shared" si="258"/>
        <v/>
      </c>
      <c r="U919" s="189"/>
      <c r="V919" s="167"/>
      <c r="W919" s="165"/>
      <c r="X919" s="164"/>
      <c r="Y919" s="164"/>
      <c r="Z919" s="164"/>
      <c r="AA919" s="174"/>
      <c r="AB919" s="164"/>
      <c r="AC919" s="174"/>
      <c r="AD919" s="184"/>
      <c r="AE919" s="190" t="str">
        <f t="shared" si="254"/>
        <v/>
      </c>
      <c r="AF919" s="190" t="str">
        <f t="shared" si="255"/>
        <v/>
      </c>
      <c r="AG919" s="190" t="str">
        <f t="shared" si="244"/>
        <v>D</v>
      </c>
      <c r="AH919" s="190">
        <f>IFERROR(VLOOKUP(Y919,SISP_Deflatores_e_INMs!B$4:F$49,3,FALSE),1)</f>
        <v>1</v>
      </c>
      <c r="AI919" s="190">
        <f>IFERROR(VLOOKUP(Y919,SISP_Deflatores_e_INMs!B$4:G$49,5,FALSE),1)</f>
        <v>1</v>
      </c>
      <c r="AJ919" s="191" t="str">
        <f t="shared" si="256"/>
        <v/>
      </c>
      <c r="AK919" s="237" t="str">
        <f t="shared" si="245"/>
        <v/>
      </c>
      <c r="AL919" s="237" t="str">
        <f t="shared" si="257"/>
        <v/>
      </c>
      <c r="AM919" s="192" t="e">
        <f t="shared" si="246"/>
        <v>#VALUE!</v>
      </c>
      <c r="AN919" s="193" t="e">
        <f t="shared" si="247"/>
        <v>#VALUE!</v>
      </c>
      <c r="AO919" s="193" t="e">
        <f t="shared" si="248"/>
        <v>#VALUE!</v>
      </c>
      <c r="AP919" s="193"/>
      <c r="AQ919" s="204"/>
      <c r="AR919" s="204"/>
      <c r="AS919" s="204"/>
      <c r="AT919" s="205"/>
      <c r="AU919"/>
    </row>
    <row r="920" spans="2:47" ht="15" customHeight="1" x14ac:dyDescent="0.25">
      <c r="B920" s="206"/>
      <c r="C920" s="185"/>
      <c r="D920" s="164"/>
      <c r="E920" s="174"/>
      <c r="F920" s="164"/>
      <c r="G920" s="174"/>
      <c r="H920" s="164"/>
      <c r="I920" s="174"/>
      <c r="J920" s="184"/>
      <c r="K920" s="186"/>
      <c r="L920" s="187" t="str">
        <f t="shared" si="249"/>
        <v/>
      </c>
      <c r="M920" s="187" t="str">
        <f t="shared" si="250"/>
        <v/>
      </c>
      <c r="N920" s="187" t="str">
        <f t="shared" si="242"/>
        <v>D</v>
      </c>
      <c r="O920" s="187" t="str">
        <f t="shared" si="251"/>
        <v>D</v>
      </c>
      <c r="P920" s="187">
        <f t="shared" si="252"/>
        <v>1</v>
      </c>
      <c r="Q920" s="187">
        <f>IFERROR(VLOOKUP(E920,Tabela_Deflator:E$43,5,FALSE),1)</f>
        <v>1</v>
      </c>
      <c r="R920" s="188" t="str">
        <f t="shared" si="253"/>
        <v/>
      </c>
      <c r="S920" s="237" t="str">
        <f t="shared" si="243"/>
        <v/>
      </c>
      <c r="T920" s="237" t="str">
        <f t="shared" si="258"/>
        <v/>
      </c>
      <c r="U920" s="189"/>
      <c r="V920" s="167"/>
      <c r="W920" s="165"/>
      <c r="X920" s="164"/>
      <c r="Y920" s="164"/>
      <c r="Z920" s="164"/>
      <c r="AA920" s="174"/>
      <c r="AB920" s="164"/>
      <c r="AC920" s="174"/>
      <c r="AD920" s="184"/>
      <c r="AE920" s="190" t="str">
        <f t="shared" si="254"/>
        <v/>
      </c>
      <c r="AF920" s="190" t="str">
        <f t="shared" si="255"/>
        <v/>
      </c>
      <c r="AG920" s="190" t="str">
        <f t="shared" si="244"/>
        <v>D</v>
      </c>
      <c r="AH920" s="190">
        <f>IFERROR(VLOOKUP(Y920,SISP_Deflatores_e_INMs!B$4:F$49,3,FALSE),1)</f>
        <v>1</v>
      </c>
      <c r="AI920" s="190">
        <f>IFERROR(VLOOKUP(Y920,SISP_Deflatores_e_INMs!B$4:G$49,5,FALSE),1)</f>
        <v>1</v>
      </c>
      <c r="AJ920" s="191" t="str">
        <f t="shared" si="256"/>
        <v/>
      </c>
      <c r="AK920" s="237" t="str">
        <f t="shared" si="245"/>
        <v/>
      </c>
      <c r="AL920" s="237" t="str">
        <f t="shared" si="257"/>
        <v/>
      </c>
      <c r="AM920" s="192" t="e">
        <f t="shared" si="246"/>
        <v>#VALUE!</v>
      </c>
      <c r="AN920" s="193" t="e">
        <f t="shared" si="247"/>
        <v>#VALUE!</v>
      </c>
      <c r="AO920" s="193" t="e">
        <f t="shared" si="248"/>
        <v>#VALUE!</v>
      </c>
      <c r="AP920" s="193"/>
      <c r="AQ920" s="204"/>
      <c r="AR920" s="204"/>
      <c r="AS920" s="204"/>
      <c r="AT920" s="205"/>
      <c r="AU920"/>
    </row>
    <row r="921" spans="2:47" ht="15" customHeight="1" x14ac:dyDescent="0.25">
      <c r="B921" s="206"/>
      <c r="C921" s="185"/>
      <c r="D921" s="164"/>
      <c r="E921" s="174"/>
      <c r="F921" s="164"/>
      <c r="G921" s="174"/>
      <c r="H921" s="164"/>
      <c r="I921" s="174"/>
      <c r="J921" s="184"/>
      <c r="K921" s="186"/>
      <c r="L921" s="187" t="str">
        <f t="shared" si="249"/>
        <v/>
      </c>
      <c r="M921" s="187" t="str">
        <f t="shared" si="250"/>
        <v/>
      </c>
      <c r="N921" s="187" t="str">
        <f t="shared" si="242"/>
        <v>D</v>
      </c>
      <c r="O921" s="187" t="str">
        <f t="shared" si="251"/>
        <v>D</v>
      </c>
      <c r="P921" s="187">
        <f t="shared" si="252"/>
        <v>1</v>
      </c>
      <c r="Q921" s="187">
        <f>IFERROR(VLOOKUP(E921,Tabela_Deflator:E$43,5,FALSE),1)</f>
        <v>1</v>
      </c>
      <c r="R921" s="188" t="str">
        <f t="shared" si="253"/>
        <v/>
      </c>
      <c r="S921" s="237" t="str">
        <f t="shared" si="243"/>
        <v/>
      </c>
      <c r="T921" s="237" t="str">
        <f t="shared" si="258"/>
        <v/>
      </c>
      <c r="U921" s="189"/>
      <c r="V921" s="167"/>
      <c r="W921" s="165"/>
      <c r="X921" s="164"/>
      <c r="Y921" s="164"/>
      <c r="Z921" s="164"/>
      <c r="AA921" s="174"/>
      <c r="AB921" s="164"/>
      <c r="AC921" s="174"/>
      <c r="AD921" s="184"/>
      <c r="AE921" s="190" t="str">
        <f t="shared" si="254"/>
        <v/>
      </c>
      <c r="AF921" s="190" t="str">
        <f t="shared" si="255"/>
        <v/>
      </c>
      <c r="AG921" s="190" t="str">
        <f t="shared" si="244"/>
        <v>D</v>
      </c>
      <c r="AH921" s="190">
        <f>IFERROR(VLOOKUP(Y921,SISP_Deflatores_e_INMs!B$4:F$49,3,FALSE),1)</f>
        <v>1</v>
      </c>
      <c r="AI921" s="190">
        <f>IFERROR(VLOOKUP(Y921,SISP_Deflatores_e_INMs!B$4:G$49,5,FALSE),1)</f>
        <v>1</v>
      </c>
      <c r="AJ921" s="191" t="str">
        <f t="shared" si="256"/>
        <v/>
      </c>
      <c r="AK921" s="237" t="str">
        <f t="shared" si="245"/>
        <v/>
      </c>
      <c r="AL921" s="237" t="str">
        <f t="shared" si="257"/>
        <v/>
      </c>
      <c r="AM921" s="192" t="e">
        <f t="shared" si="246"/>
        <v>#VALUE!</v>
      </c>
      <c r="AN921" s="193" t="e">
        <f t="shared" si="247"/>
        <v>#VALUE!</v>
      </c>
      <c r="AO921" s="193" t="e">
        <f t="shared" si="248"/>
        <v>#VALUE!</v>
      </c>
      <c r="AP921" s="193"/>
      <c r="AQ921" s="204"/>
      <c r="AR921" s="204"/>
      <c r="AS921" s="204"/>
      <c r="AT921" s="205"/>
      <c r="AU921"/>
    </row>
    <row r="922" spans="2:47" ht="15" customHeight="1" x14ac:dyDescent="0.25">
      <c r="B922" s="206"/>
      <c r="C922" s="185"/>
      <c r="D922" s="164"/>
      <c r="E922" s="174"/>
      <c r="F922" s="164"/>
      <c r="G922" s="174"/>
      <c r="H922" s="164"/>
      <c r="I922" s="174"/>
      <c r="J922" s="184"/>
      <c r="K922" s="186"/>
      <c r="L922" s="187" t="str">
        <f t="shared" si="249"/>
        <v/>
      </c>
      <c r="M922" s="187" t="str">
        <f t="shared" si="250"/>
        <v/>
      </c>
      <c r="N922" s="187" t="str">
        <f t="shared" si="242"/>
        <v>D</v>
      </c>
      <c r="O922" s="187" t="str">
        <f t="shared" si="251"/>
        <v>D</v>
      </c>
      <c r="P922" s="187">
        <f t="shared" si="252"/>
        <v>1</v>
      </c>
      <c r="Q922" s="187">
        <f>IFERROR(VLOOKUP(E922,Tabela_Deflator:E$43,5,FALSE),1)</f>
        <v>1</v>
      </c>
      <c r="R922" s="188" t="str">
        <f t="shared" si="253"/>
        <v/>
      </c>
      <c r="S922" s="237" t="str">
        <f t="shared" si="243"/>
        <v/>
      </c>
      <c r="T922" s="237" t="str">
        <f t="shared" si="258"/>
        <v/>
      </c>
      <c r="U922" s="189"/>
      <c r="V922" s="167"/>
      <c r="W922" s="165"/>
      <c r="X922" s="164"/>
      <c r="Y922" s="164"/>
      <c r="Z922" s="164"/>
      <c r="AA922" s="174"/>
      <c r="AB922" s="164"/>
      <c r="AC922" s="174"/>
      <c r="AD922" s="184"/>
      <c r="AE922" s="190" t="str">
        <f t="shared" si="254"/>
        <v/>
      </c>
      <c r="AF922" s="190" t="str">
        <f t="shared" si="255"/>
        <v/>
      </c>
      <c r="AG922" s="190" t="str">
        <f t="shared" si="244"/>
        <v>D</v>
      </c>
      <c r="AH922" s="190">
        <f>IFERROR(VLOOKUP(Y922,SISP_Deflatores_e_INMs!B$4:F$49,3,FALSE),1)</f>
        <v>1</v>
      </c>
      <c r="AI922" s="190">
        <f>IFERROR(VLOOKUP(Y922,SISP_Deflatores_e_INMs!B$4:G$49,5,FALSE),1)</f>
        <v>1</v>
      </c>
      <c r="AJ922" s="191" t="str">
        <f t="shared" si="256"/>
        <v/>
      </c>
      <c r="AK922" s="237" t="str">
        <f t="shared" si="245"/>
        <v/>
      </c>
      <c r="AL922" s="237" t="str">
        <f t="shared" si="257"/>
        <v/>
      </c>
      <c r="AM922" s="192" t="e">
        <f t="shared" si="246"/>
        <v>#VALUE!</v>
      </c>
      <c r="AN922" s="193" t="e">
        <f t="shared" si="247"/>
        <v>#VALUE!</v>
      </c>
      <c r="AO922" s="193" t="e">
        <f t="shared" si="248"/>
        <v>#VALUE!</v>
      </c>
      <c r="AP922" s="193"/>
      <c r="AQ922" s="204"/>
      <c r="AR922" s="204"/>
      <c r="AS922" s="204"/>
      <c r="AT922" s="205"/>
      <c r="AU922"/>
    </row>
    <row r="923" spans="2:47" ht="15" customHeight="1" x14ac:dyDescent="0.25">
      <c r="B923" s="206"/>
      <c r="C923" s="185"/>
      <c r="D923" s="164"/>
      <c r="E923" s="174"/>
      <c r="F923" s="164"/>
      <c r="G923" s="174"/>
      <c r="H923" s="164"/>
      <c r="I923" s="174"/>
      <c r="J923" s="184"/>
      <c r="K923" s="186"/>
      <c r="L923" s="187" t="str">
        <f t="shared" si="249"/>
        <v/>
      </c>
      <c r="M923" s="187" t="str">
        <f t="shared" si="250"/>
        <v/>
      </c>
      <c r="N923" s="187" t="str">
        <f t="shared" si="242"/>
        <v>D</v>
      </c>
      <c r="O923" s="187" t="str">
        <f t="shared" si="251"/>
        <v>D</v>
      </c>
      <c r="P923" s="187">
        <f t="shared" si="252"/>
        <v>1</v>
      </c>
      <c r="Q923" s="187">
        <f>IFERROR(VLOOKUP(E923,Tabela_Deflator:E$43,5,FALSE),1)</f>
        <v>1</v>
      </c>
      <c r="R923" s="188" t="str">
        <f t="shared" si="253"/>
        <v/>
      </c>
      <c r="S923" s="237" t="str">
        <f t="shared" si="243"/>
        <v/>
      </c>
      <c r="T923" s="237" t="str">
        <f t="shared" si="258"/>
        <v/>
      </c>
      <c r="U923" s="189"/>
      <c r="V923" s="167"/>
      <c r="W923" s="165"/>
      <c r="X923" s="164"/>
      <c r="Y923" s="164"/>
      <c r="Z923" s="164"/>
      <c r="AA923" s="174"/>
      <c r="AB923" s="164"/>
      <c r="AC923" s="174"/>
      <c r="AD923" s="184"/>
      <c r="AE923" s="190" t="str">
        <f t="shared" si="254"/>
        <v/>
      </c>
      <c r="AF923" s="190" t="str">
        <f t="shared" si="255"/>
        <v/>
      </c>
      <c r="AG923" s="190" t="str">
        <f t="shared" si="244"/>
        <v>D</v>
      </c>
      <c r="AH923" s="190">
        <f>IFERROR(VLOOKUP(Y923,SISP_Deflatores_e_INMs!B$4:F$49,3,FALSE),1)</f>
        <v>1</v>
      </c>
      <c r="AI923" s="190">
        <f>IFERROR(VLOOKUP(Y923,SISP_Deflatores_e_INMs!B$4:G$49,5,FALSE),1)</f>
        <v>1</v>
      </c>
      <c r="AJ923" s="191" t="str">
        <f t="shared" si="256"/>
        <v/>
      </c>
      <c r="AK923" s="237" t="str">
        <f t="shared" si="245"/>
        <v/>
      </c>
      <c r="AL923" s="237" t="str">
        <f t="shared" si="257"/>
        <v/>
      </c>
      <c r="AM923" s="192" t="e">
        <f t="shared" si="246"/>
        <v>#VALUE!</v>
      </c>
      <c r="AN923" s="193" t="e">
        <f t="shared" si="247"/>
        <v>#VALUE!</v>
      </c>
      <c r="AO923" s="193" t="e">
        <f t="shared" si="248"/>
        <v>#VALUE!</v>
      </c>
      <c r="AP923" s="193"/>
      <c r="AQ923" s="204"/>
      <c r="AR923" s="204"/>
      <c r="AS923" s="204"/>
      <c r="AT923" s="205"/>
      <c r="AU923"/>
    </row>
    <row r="924" spans="2:47" ht="15" customHeight="1" x14ac:dyDescent="0.25">
      <c r="B924" s="206"/>
      <c r="C924" s="185"/>
      <c r="D924" s="164"/>
      <c r="E924" s="174"/>
      <c r="F924" s="164"/>
      <c r="G924" s="174"/>
      <c r="H924" s="164"/>
      <c r="I924" s="174"/>
      <c r="J924" s="184"/>
      <c r="K924" s="186"/>
      <c r="L924" s="187" t="str">
        <f t="shared" si="249"/>
        <v/>
      </c>
      <c r="M924" s="187" t="str">
        <f t="shared" si="250"/>
        <v/>
      </c>
      <c r="N924" s="187" t="str">
        <f t="shared" si="242"/>
        <v>D</v>
      </c>
      <c r="O924" s="187" t="str">
        <f t="shared" si="251"/>
        <v>D</v>
      </c>
      <c r="P924" s="187">
        <f t="shared" si="252"/>
        <v>1</v>
      </c>
      <c r="Q924" s="187">
        <f>IFERROR(VLOOKUP(E924,Tabela_Deflator:E$43,5,FALSE),1)</f>
        <v>1</v>
      </c>
      <c r="R924" s="188" t="str">
        <f t="shared" si="253"/>
        <v/>
      </c>
      <c r="S924" s="237" t="str">
        <f t="shared" si="243"/>
        <v/>
      </c>
      <c r="T924" s="237" t="str">
        <f t="shared" si="258"/>
        <v/>
      </c>
      <c r="U924" s="189"/>
      <c r="V924" s="167"/>
      <c r="W924" s="165"/>
      <c r="X924" s="164"/>
      <c r="Y924" s="164"/>
      <c r="Z924" s="164"/>
      <c r="AA924" s="174"/>
      <c r="AB924" s="164"/>
      <c r="AC924" s="174"/>
      <c r="AD924" s="184"/>
      <c r="AE924" s="190" t="str">
        <f t="shared" si="254"/>
        <v/>
      </c>
      <c r="AF924" s="190" t="str">
        <f t="shared" si="255"/>
        <v/>
      </c>
      <c r="AG924" s="190" t="str">
        <f t="shared" si="244"/>
        <v>D</v>
      </c>
      <c r="AH924" s="190">
        <f>IFERROR(VLOOKUP(Y924,SISP_Deflatores_e_INMs!B$4:F$49,3,FALSE),1)</f>
        <v>1</v>
      </c>
      <c r="AI924" s="190">
        <f>IFERROR(VLOOKUP(Y924,SISP_Deflatores_e_INMs!B$4:G$49,5,FALSE),1)</f>
        <v>1</v>
      </c>
      <c r="AJ924" s="191" t="str">
        <f t="shared" si="256"/>
        <v/>
      </c>
      <c r="AK924" s="237" t="str">
        <f t="shared" si="245"/>
        <v/>
      </c>
      <c r="AL924" s="237" t="str">
        <f t="shared" si="257"/>
        <v/>
      </c>
      <c r="AM924" s="192" t="e">
        <f t="shared" si="246"/>
        <v>#VALUE!</v>
      </c>
      <c r="AN924" s="193" t="e">
        <f t="shared" si="247"/>
        <v>#VALUE!</v>
      </c>
      <c r="AO924" s="193" t="e">
        <f t="shared" si="248"/>
        <v>#VALUE!</v>
      </c>
      <c r="AP924" s="193"/>
      <c r="AQ924" s="204"/>
      <c r="AR924" s="204"/>
      <c r="AS924" s="204"/>
      <c r="AT924" s="205"/>
      <c r="AU924"/>
    </row>
    <row r="925" spans="2:47" ht="15" customHeight="1" x14ac:dyDescent="0.25">
      <c r="B925" s="206"/>
      <c r="C925" s="185"/>
      <c r="D925" s="164"/>
      <c r="E925" s="174"/>
      <c r="F925" s="164"/>
      <c r="G925" s="174"/>
      <c r="H925" s="164"/>
      <c r="I925" s="174"/>
      <c r="J925" s="184"/>
      <c r="K925" s="186"/>
      <c r="L925" s="187" t="str">
        <f t="shared" si="249"/>
        <v/>
      </c>
      <c r="M925" s="187" t="str">
        <f t="shared" si="250"/>
        <v/>
      </c>
      <c r="N925" s="187" t="str">
        <f t="shared" si="242"/>
        <v>D</v>
      </c>
      <c r="O925" s="187" t="str">
        <f t="shared" si="251"/>
        <v>D</v>
      </c>
      <c r="P925" s="187">
        <f t="shared" si="252"/>
        <v>1</v>
      </c>
      <c r="Q925" s="187">
        <f>IFERROR(VLOOKUP(E925,Tabela_Deflator:E$43,5,FALSE),1)</f>
        <v>1</v>
      </c>
      <c r="R925" s="188" t="str">
        <f t="shared" si="253"/>
        <v/>
      </c>
      <c r="S925" s="237" t="str">
        <f t="shared" si="243"/>
        <v/>
      </c>
      <c r="T925" s="237" t="str">
        <f t="shared" si="258"/>
        <v/>
      </c>
      <c r="U925" s="189"/>
      <c r="V925" s="167"/>
      <c r="W925" s="165"/>
      <c r="X925" s="164"/>
      <c r="Y925" s="164"/>
      <c r="Z925" s="164"/>
      <c r="AA925" s="174"/>
      <c r="AB925" s="164"/>
      <c r="AC925" s="174"/>
      <c r="AD925" s="184"/>
      <c r="AE925" s="190" t="str">
        <f t="shared" si="254"/>
        <v/>
      </c>
      <c r="AF925" s="190" t="str">
        <f t="shared" si="255"/>
        <v/>
      </c>
      <c r="AG925" s="190" t="str">
        <f t="shared" si="244"/>
        <v>D</v>
      </c>
      <c r="AH925" s="190">
        <f>IFERROR(VLOOKUP(Y925,SISP_Deflatores_e_INMs!B$4:F$49,3,FALSE),1)</f>
        <v>1</v>
      </c>
      <c r="AI925" s="190">
        <f>IFERROR(VLOOKUP(Y925,SISP_Deflatores_e_INMs!B$4:G$49,5,FALSE),1)</f>
        <v>1</v>
      </c>
      <c r="AJ925" s="191" t="str">
        <f t="shared" si="256"/>
        <v/>
      </c>
      <c r="AK925" s="237" t="str">
        <f t="shared" si="245"/>
        <v/>
      </c>
      <c r="AL925" s="237" t="str">
        <f t="shared" si="257"/>
        <v/>
      </c>
      <c r="AM925" s="192" t="e">
        <f t="shared" si="246"/>
        <v>#VALUE!</v>
      </c>
      <c r="AN925" s="193" t="e">
        <f t="shared" si="247"/>
        <v>#VALUE!</v>
      </c>
      <c r="AO925" s="193" t="e">
        <f t="shared" si="248"/>
        <v>#VALUE!</v>
      </c>
      <c r="AP925" s="193"/>
      <c r="AQ925" s="204"/>
      <c r="AR925" s="204"/>
      <c r="AS925" s="204"/>
      <c r="AT925" s="205"/>
      <c r="AU925"/>
    </row>
    <row r="926" spans="2:47" ht="15" customHeight="1" x14ac:dyDescent="0.25">
      <c r="B926" s="206"/>
      <c r="C926" s="185"/>
      <c r="D926" s="164"/>
      <c r="E926" s="174"/>
      <c r="F926" s="164"/>
      <c r="G926" s="174"/>
      <c r="H926" s="164"/>
      <c r="I926" s="174"/>
      <c r="J926" s="184"/>
      <c r="K926" s="186"/>
      <c r="L926" s="187" t="str">
        <f t="shared" si="249"/>
        <v/>
      </c>
      <c r="M926" s="187" t="str">
        <f t="shared" si="250"/>
        <v/>
      </c>
      <c r="N926" s="187" t="str">
        <f t="shared" si="242"/>
        <v>D</v>
      </c>
      <c r="O926" s="187" t="str">
        <f t="shared" si="251"/>
        <v>D</v>
      </c>
      <c r="P926" s="187">
        <f t="shared" si="252"/>
        <v>1</v>
      </c>
      <c r="Q926" s="187">
        <f>IFERROR(VLOOKUP(E926,Tabela_Deflator:E$43,5,FALSE),1)</f>
        <v>1</v>
      </c>
      <c r="R926" s="188" t="str">
        <f t="shared" si="253"/>
        <v/>
      </c>
      <c r="S926" s="237" t="str">
        <f t="shared" si="243"/>
        <v/>
      </c>
      <c r="T926" s="237" t="str">
        <f t="shared" si="258"/>
        <v/>
      </c>
      <c r="U926" s="189"/>
      <c r="V926" s="167"/>
      <c r="W926" s="165"/>
      <c r="X926" s="164"/>
      <c r="Y926" s="164"/>
      <c r="Z926" s="164"/>
      <c r="AA926" s="174"/>
      <c r="AB926" s="164"/>
      <c r="AC926" s="174"/>
      <c r="AD926" s="184"/>
      <c r="AE926" s="190" t="str">
        <f t="shared" si="254"/>
        <v/>
      </c>
      <c r="AF926" s="190" t="str">
        <f t="shared" si="255"/>
        <v/>
      </c>
      <c r="AG926" s="190" t="str">
        <f t="shared" si="244"/>
        <v>D</v>
      </c>
      <c r="AH926" s="190">
        <f>IFERROR(VLOOKUP(Y926,SISP_Deflatores_e_INMs!B$4:F$49,3,FALSE),1)</f>
        <v>1</v>
      </c>
      <c r="AI926" s="190">
        <f>IFERROR(VLOOKUP(Y926,SISP_Deflatores_e_INMs!B$4:G$49,5,FALSE),1)</f>
        <v>1</v>
      </c>
      <c r="AJ926" s="191" t="str">
        <f t="shared" si="256"/>
        <v/>
      </c>
      <c r="AK926" s="237" t="str">
        <f t="shared" si="245"/>
        <v/>
      </c>
      <c r="AL926" s="237" t="str">
        <f t="shared" si="257"/>
        <v/>
      </c>
      <c r="AM926" s="192" t="e">
        <f t="shared" si="246"/>
        <v>#VALUE!</v>
      </c>
      <c r="AN926" s="193" t="e">
        <f t="shared" si="247"/>
        <v>#VALUE!</v>
      </c>
      <c r="AO926" s="193" t="e">
        <f t="shared" si="248"/>
        <v>#VALUE!</v>
      </c>
      <c r="AP926" s="193"/>
      <c r="AQ926" s="204"/>
      <c r="AR926" s="204"/>
      <c r="AS926" s="204"/>
      <c r="AT926" s="205"/>
      <c r="AU926"/>
    </row>
    <row r="927" spans="2:47" ht="15" customHeight="1" x14ac:dyDescent="0.25">
      <c r="B927" s="206"/>
      <c r="C927" s="185"/>
      <c r="D927" s="164"/>
      <c r="E927" s="174"/>
      <c r="F927" s="164"/>
      <c r="G927" s="174"/>
      <c r="H927" s="164"/>
      <c r="I927" s="174"/>
      <c r="J927" s="184"/>
      <c r="K927" s="186"/>
      <c r="L927" s="187" t="str">
        <f t="shared" si="249"/>
        <v/>
      </c>
      <c r="M927" s="187" t="str">
        <f t="shared" si="250"/>
        <v/>
      </c>
      <c r="N927" s="187" t="str">
        <f t="shared" si="242"/>
        <v>D</v>
      </c>
      <c r="O927" s="187" t="str">
        <f t="shared" si="251"/>
        <v>D</v>
      </c>
      <c r="P927" s="187">
        <f t="shared" si="252"/>
        <v>1</v>
      </c>
      <c r="Q927" s="187">
        <f>IFERROR(VLOOKUP(E927,Tabela_Deflator:E$43,5,FALSE),1)</f>
        <v>1</v>
      </c>
      <c r="R927" s="188" t="str">
        <f t="shared" si="253"/>
        <v/>
      </c>
      <c r="S927" s="237" t="str">
        <f t="shared" si="243"/>
        <v/>
      </c>
      <c r="T927" s="237" t="str">
        <f t="shared" si="258"/>
        <v/>
      </c>
      <c r="U927" s="189"/>
      <c r="V927" s="167"/>
      <c r="W927" s="165"/>
      <c r="X927" s="164"/>
      <c r="Y927" s="164"/>
      <c r="Z927" s="164"/>
      <c r="AA927" s="174"/>
      <c r="AB927" s="164"/>
      <c r="AC927" s="174"/>
      <c r="AD927" s="184"/>
      <c r="AE927" s="190" t="str">
        <f t="shared" si="254"/>
        <v/>
      </c>
      <c r="AF927" s="190" t="str">
        <f t="shared" si="255"/>
        <v/>
      </c>
      <c r="AG927" s="190" t="str">
        <f t="shared" si="244"/>
        <v>D</v>
      </c>
      <c r="AH927" s="190">
        <f>IFERROR(VLOOKUP(Y927,SISP_Deflatores_e_INMs!B$4:F$49,3,FALSE),1)</f>
        <v>1</v>
      </c>
      <c r="AI927" s="190">
        <f>IFERROR(VLOOKUP(Y927,SISP_Deflatores_e_INMs!B$4:G$49,5,FALSE),1)</f>
        <v>1</v>
      </c>
      <c r="AJ927" s="191" t="str">
        <f t="shared" si="256"/>
        <v/>
      </c>
      <c r="AK927" s="237" t="str">
        <f t="shared" si="245"/>
        <v/>
      </c>
      <c r="AL927" s="237" t="str">
        <f t="shared" si="257"/>
        <v/>
      </c>
      <c r="AM927" s="192" t="e">
        <f t="shared" si="246"/>
        <v>#VALUE!</v>
      </c>
      <c r="AN927" s="193" t="e">
        <f t="shared" si="247"/>
        <v>#VALUE!</v>
      </c>
      <c r="AO927" s="193" t="e">
        <f t="shared" si="248"/>
        <v>#VALUE!</v>
      </c>
      <c r="AP927" s="193"/>
      <c r="AQ927" s="204"/>
      <c r="AR927" s="204"/>
      <c r="AS927" s="204"/>
      <c r="AT927" s="205"/>
      <c r="AU927"/>
    </row>
    <row r="928" spans="2:47" ht="15" customHeight="1" x14ac:dyDescent="0.25">
      <c r="B928" s="206"/>
      <c r="C928" s="185"/>
      <c r="D928" s="164"/>
      <c r="E928" s="174"/>
      <c r="F928" s="164"/>
      <c r="G928" s="174"/>
      <c r="H928" s="164"/>
      <c r="I928" s="174"/>
      <c r="J928" s="184"/>
      <c r="K928" s="186"/>
      <c r="L928" s="187" t="str">
        <f t="shared" si="249"/>
        <v/>
      </c>
      <c r="M928" s="187" t="str">
        <f t="shared" si="250"/>
        <v/>
      </c>
      <c r="N928" s="187" t="str">
        <f t="shared" si="242"/>
        <v>D</v>
      </c>
      <c r="O928" s="187" t="str">
        <f t="shared" si="251"/>
        <v>D</v>
      </c>
      <c r="P928" s="187">
        <f t="shared" si="252"/>
        <v>1</v>
      </c>
      <c r="Q928" s="187">
        <f>IFERROR(VLOOKUP(E928,Tabela_Deflator:E$43,5,FALSE),1)</f>
        <v>1</v>
      </c>
      <c r="R928" s="188" t="str">
        <f t="shared" si="253"/>
        <v/>
      </c>
      <c r="S928" s="237" t="str">
        <f t="shared" si="243"/>
        <v/>
      </c>
      <c r="T928" s="237" t="str">
        <f t="shared" si="258"/>
        <v/>
      </c>
      <c r="U928" s="189"/>
      <c r="V928" s="167"/>
      <c r="W928" s="165"/>
      <c r="X928" s="164"/>
      <c r="Y928" s="164"/>
      <c r="Z928" s="164"/>
      <c r="AA928" s="174"/>
      <c r="AB928" s="164"/>
      <c r="AC928" s="174"/>
      <c r="AD928" s="184"/>
      <c r="AE928" s="190" t="str">
        <f t="shared" si="254"/>
        <v/>
      </c>
      <c r="AF928" s="190" t="str">
        <f t="shared" si="255"/>
        <v/>
      </c>
      <c r="AG928" s="190" t="str">
        <f t="shared" si="244"/>
        <v>D</v>
      </c>
      <c r="AH928" s="190">
        <f>IFERROR(VLOOKUP(Y928,SISP_Deflatores_e_INMs!B$4:F$49,3,FALSE),1)</f>
        <v>1</v>
      </c>
      <c r="AI928" s="190">
        <f>IFERROR(VLOOKUP(Y928,SISP_Deflatores_e_INMs!B$4:G$49,5,FALSE),1)</f>
        <v>1</v>
      </c>
      <c r="AJ928" s="191" t="str">
        <f t="shared" si="256"/>
        <v/>
      </c>
      <c r="AK928" s="237" t="str">
        <f t="shared" si="245"/>
        <v/>
      </c>
      <c r="AL928" s="237" t="str">
        <f t="shared" si="257"/>
        <v/>
      </c>
      <c r="AM928" s="192" t="e">
        <f t="shared" si="246"/>
        <v>#VALUE!</v>
      </c>
      <c r="AN928" s="193" t="e">
        <f t="shared" si="247"/>
        <v>#VALUE!</v>
      </c>
      <c r="AO928" s="193" t="e">
        <f t="shared" si="248"/>
        <v>#VALUE!</v>
      </c>
      <c r="AP928" s="193"/>
      <c r="AQ928" s="204"/>
      <c r="AR928" s="204"/>
      <c r="AS928" s="204"/>
      <c r="AT928" s="205"/>
      <c r="AU928"/>
    </row>
    <row r="929" spans="1:47" ht="15" customHeight="1" x14ac:dyDescent="0.25">
      <c r="B929" s="206"/>
      <c r="C929" s="185"/>
      <c r="D929" s="164"/>
      <c r="E929" s="174"/>
      <c r="F929" s="164"/>
      <c r="G929" s="174"/>
      <c r="H929" s="164"/>
      <c r="I929" s="174"/>
      <c r="J929" s="184"/>
      <c r="K929" s="186"/>
      <c r="L929" s="187" t="str">
        <f t="shared" si="249"/>
        <v/>
      </c>
      <c r="M929" s="187" t="str">
        <f t="shared" si="250"/>
        <v/>
      </c>
      <c r="N929" s="187" t="str">
        <f t="shared" si="242"/>
        <v>D</v>
      </c>
      <c r="O929" s="187" t="str">
        <f t="shared" si="251"/>
        <v>D</v>
      </c>
      <c r="P929" s="187">
        <f t="shared" si="252"/>
        <v>1</v>
      </c>
      <c r="Q929" s="187">
        <f>IFERROR(VLOOKUP(E929,Tabela_Deflator:E$43,5,FALSE),1)</f>
        <v>1</v>
      </c>
      <c r="R929" s="188" t="str">
        <f t="shared" si="253"/>
        <v/>
      </c>
      <c r="S929" s="237" t="str">
        <f t="shared" si="243"/>
        <v/>
      </c>
      <c r="T929" s="237" t="str">
        <f t="shared" si="258"/>
        <v/>
      </c>
      <c r="U929" s="189"/>
      <c r="V929" s="167"/>
      <c r="W929" s="165"/>
      <c r="X929" s="164"/>
      <c r="Y929" s="164"/>
      <c r="Z929" s="164"/>
      <c r="AA929" s="174"/>
      <c r="AB929" s="164"/>
      <c r="AC929" s="174"/>
      <c r="AD929" s="184"/>
      <c r="AE929" s="190" t="str">
        <f t="shared" si="254"/>
        <v/>
      </c>
      <c r="AF929" s="190" t="str">
        <f t="shared" si="255"/>
        <v/>
      </c>
      <c r="AG929" s="190" t="str">
        <f t="shared" si="244"/>
        <v>D</v>
      </c>
      <c r="AH929" s="190">
        <f>IFERROR(VLOOKUP(Y929,SISP_Deflatores_e_INMs!B$4:F$49,3,FALSE),1)</f>
        <v>1</v>
      </c>
      <c r="AI929" s="190">
        <f>IFERROR(VLOOKUP(Y929,SISP_Deflatores_e_INMs!B$4:G$49,5,FALSE),1)</f>
        <v>1</v>
      </c>
      <c r="AJ929" s="191" t="str">
        <f t="shared" si="256"/>
        <v/>
      </c>
      <c r="AK929" s="237" t="str">
        <f t="shared" si="245"/>
        <v/>
      </c>
      <c r="AL929" s="237" t="str">
        <f t="shared" si="257"/>
        <v/>
      </c>
      <c r="AM929" s="192" t="e">
        <f t="shared" si="246"/>
        <v>#VALUE!</v>
      </c>
      <c r="AN929" s="193" t="e">
        <f t="shared" si="247"/>
        <v>#VALUE!</v>
      </c>
      <c r="AO929" s="193" t="e">
        <f t="shared" si="248"/>
        <v>#VALUE!</v>
      </c>
      <c r="AP929" s="193"/>
      <c r="AQ929" s="204"/>
      <c r="AR929" s="204"/>
      <c r="AS929" s="204"/>
      <c r="AT929" s="205"/>
      <c r="AU929"/>
    </row>
    <row r="930" spans="1:47" ht="15" customHeight="1" x14ac:dyDescent="0.25">
      <c r="B930" s="206"/>
      <c r="C930" s="185"/>
      <c r="D930" s="164"/>
      <c r="E930" s="174"/>
      <c r="F930" s="164"/>
      <c r="G930" s="174"/>
      <c r="H930" s="164"/>
      <c r="I930" s="174"/>
      <c r="J930" s="184"/>
      <c r="K930" s="186"/>
      <c r="L930" s="187" t="str">
        <f t="shared" si="249"/>
        <v/>
      </c>
      <c r="M930" s="187" t="str">
        <f t="shared" si="250"/>
        <v/>
      </c>
      <c r="N930" s="187" t="str">
        <f t="shared" si="242"/>
        <v>D</v>
      </c>
      <c r="O930" s="187" t="str">
        <f t="shared" si="251"/>
        <v>D</v>
      </c>
      <c r="P930" s="187">
        <f t="shared" si="252"/>
        <v>1</v>
      </c>
      <c r="Q930" s="187">
        <f>IFERROR(VLOOKUP(E930,Tabela_Deflator:E$43,5,FALSE),1)</f>
        <v>1</v>
      </c>
      <c r="R930" s="188" t="str">
        <f t="shared" si="253"/>
        <v/>
      </c>
      <c r="S930" s="237" t="str">
        <f t="shared" si="243"/>
        <v/>
      </c>
      <c r="T930" s="237" t="str">
        <f t="shared" si="258"/>
        <v/>
      </c>
      <c r="U930" s="189"/>
      <c r="V930" s="167"/>
      <c r="W930" s="165"/>
      <c r="X930" s="164"/>
      <c r="Y930" s="164"/>
      <c r="Z930" s="164"/>
      <c r="AA930" s="174"/>
      <c r="AB930" s="164"/>
      <c r="AC930" s="174"/>
      <c r="AD930" s="184"/>
      <c r="AE930" s="190" t="str">
        <f t="shared" si="254"/>
        <v/>
      </c>
      <c r="AF930" s="190" t="str">
        <f t="shared" si="255"/>
        <v/>
      </c>
      <c r="AG930" s="190" t="str">
        <f t="shared" si="244"/>
        <v>D</v>
      </c>
      <c r="AH930" s="190">
        <f>IFERROR(VLOOKUP(Y930,SISP_Deflatores_e_INMs!B$4:F$49,3,FALSE),1)</f>
        <v>1</v>
      </c>
      <c r="AI930" s="190">
        <f>IFERROR(VLOOKUP(Y930,SISP_Deflatores_e_INMs!B$4:G$49,5,FALSE),1)</f>
        <v>1</v>
      </c>
      <c r="AJ930" s="191" t="str">
        <f t="shared" si="256"/>
        <v/>
      </c>
      <c r="AK930" s="237" t="str">
        <f t="shared" si="245"/>
        <v/>
      </c>
      <c r="AL930" s="237" t="str">
        <f t="shared" si="257"/>
        <v/>
      </c>
      <c r="AM930" s="192" t="e">
        <f t="shared" si="246"/>
        <v>#VALUE!</v>
      </c>
      <c r="AN930" s="193" t="e">
        <f t="shared" si="247"/>
        <v>#VALUE!</v>
      </c>
      <c r="AO930" s="193" t="e">
        <f t="shared" si="248"/>
        <v>#VALUE!</v>
      </c>
      <c r="AP930" s="193"/>
      <c r="AQ930" s="204"/>
      <c r="AR930" s="204"/>
      <c r="AS930" s="204"/>
      <c r="AT930" s="205"/>
      <c r="AU930"/>
    </row>
    <row r="931" spans="1:47" ht="15" customHeight="1" x14ac:dyDescent="0.25">
      <c r="B931" s="206"/>
      <c r="C931" s="185"/>
      <c r="D931" s="164"/>
      <c r="E931" s="174"/>
      <c r="F931" s="164"/>
      <c r="G931" s="174"/>
      <c r="H931" s="164"/>
      <c r="I931" s="174"/>
      <c r="J931" s="184"/>
      <c r="K931" s="186"/>
      <c r="L931" s="187" t="str">
        <f t="shared" si="249"/>
        <v/>
      </c>
      <c r="M931" s="187" t="str">
        <f t="shared" si="250"/>
        <v/>
      </c>
      <c r="N931" s="187" t="str">
        <f t="shared" si="242"/>
        <v>D</v>
      </c>
      <c r="O931" s="187" t="str">
        <f t="shared" si="251"/>
        <v>D</v>
      </c>
      <c r="P931" s="187">
        <f t="shared" si="252"/>
        <v>1</v>
      </c>
      <c r="Q931" s="187">
        <f>IFERROR(VLOOKUP(E931,Tabela_Deflator:E$43,5,FALSE),1)</f>
        <v>1</v>
      </c>
      <c r="R931" s="188" t="str">
        <f t="shared" si="253"/>
        <v/>
      </c>
      <c r="S931" s="237" t="str">
        <f t="shared" si="243"/>
        <v/>
      </c>
      <c r="T931" s="237" t="str">
        <f t="shared" si="258"/>
        <v/>
      </c>
      <c r="U931" s="189"/>
      <c r="V931" s="167"/>
      <c r="W931" s="165"/>
      <c r="X931" s="164"/>
      <c r="Y931" s="164"/>
      <c r="Z931" s="164"/>
      <c r="AA931" s="174"/>
      <c r="AB931" s="164"/>
      <c r="AC931" s="174"/>
      <c r="AD931" s="184"/>
      <c r="AE931" s="190" t="str">
        <f t="shared" si="254"/>
        <v/>
      </c>
      <c r="AF931" s="190" t="str">
        <f t="shared" si="255"/>
        <v/>
      </c>
      <c r="AG931" s="190" t="str">
        <f t="shared" si="244"/>
        <v>D</v>
      </c>
      <c r="AH931" s="190">
        <f>IFERROR(VLOOKUP(Y931,SISP_Deflatores_e_INMs!B$4:F$49,3,FALSE),1)</f>
        <v>1</v>
      </c>
      <c r="AI931" s="190">
        <f>IFERROR(VLOOKUP(Y931,SISP_Deflatores_e_INMs!B$4:G$49,5,FALSE),1)</f>
        <v>1</v>
      </c>
      <c r="AJ931" s="191" t="str">
        <f t="shared" si="256"/>
        <v/>
      </c>
      <c r="AK931" s="237" t="str">
        <f t="shared" si="245"/>
        <v/>
      </c>
      <c r="AL931" s="237" t="str">
        <f t="shared" si="257"/>
        <v/>
      </c>
      <c r="AM931" s="192" t="e">
        <f t="shared" si="246"/>
        <v>#VALUE!</v>
      </c>
      <c r="AN931" s="193" t="e">
        <f t="shared" si="247"/>
        <v>#VALUE!</v>
      </c>
      <c r="AO931" s="193" t="e">
        <f t="shared" si="248"/>
        <v>#VALUE!</v>
      </c>
      <c r="AP931" s="193"/>
      <c r="AQ931" s="204"/>
      <c r="AR931" s="204"/>
      <c r="AS931" s="204"/>
      <c r="AT931" s="205"/>
      <c r="AU931"/>
    </row>
    <row r="932" spans="1:47" ht="15" customHeight="1" x14ac:dyDescent="0.25">
      <c r="B932" s="206"/>
      <c r="C932" s="185"/>
      <c r="D932" s="164"/>
      <c r="E932" s="174"/>
      <c r="F932" s="164"/>
      <c r="G932" s="174"/>
      <c r="H932" s="164"/>
      <c r="I932" s="174"/>
      <c r="J932" s="184"/>
      <c r="K932" s="186"/>
      <c r="L932" s="187" t="str">
        <f t="shared" si="249"/>
        <v/>
      </c>
      <c r="M932" s="187" t="str">
        <f t="shared" si="250"/>
        <v/>
      </c>
      <c r="N932" s="187" t="str">
        <f t="shared" si="242"/>
        <v>D</v>
      </c>
      <c r="O932" s="187" t="str">
        <f t="shared" si="251"/>
        <v>D</v>
      </c>
      <c r="P932" s="187">
        <f t="shared" si="252"/>
        <v>1</v>
      </c>
      <c r="Q932" s="187">
        <f>IFERROR(VLOOKUP(E932,Tabela_Deflator:E$43,5,FALSE),1)</f>
        <v>1</v>
      </c>
      <c r="R932" s="188" t="str">
        <f t="shared" si="253"/>
        <v/>
      </c>
      <c r="S932" s="237" t="str">
        <f t="shared" si="243"/>
        <v/>
      </c>
      <c r="T932" s="237" t="str">
        <f t="shared" si="258"/>
        <v/>
      </c>
      <c r="U932" s="189"/>
      <c r="V932" s="167"/>
      <c r="W932" s="165"/>
      <c r="X932" s="164"/>
      <c r="Y932" s="164"/>
      <c r="Z932" s="164"/>
      <c r="AA932" s="174"/>
      <c r="AB932" s="164"/>
      <c r="AC932" s="174"/>
      <c r="AD932" s="184"/>
      <c r="AE932" s="190" t="str">
        <f t="shared" si="254"/>
        <v/>
      </c>
      <c r="AF932" s="190" t="str">
        <f t="shared" si="255"/>
        <v/>
      </c>
      <c r="AG932" s="190" t="str">
        <f t="shared" si="244"/>
        <v>D</v>
      </c>
      <c r="AH932" s="190">
        <f>IFERROR(VLOOKUP(Y932,SISP_Deflatores_e_INMs!B$4:F$49,3,FALSE),1)</f>
        <v>1</v>
      </c>
      <c r="AI932" s="190">
        <f>IFERROR(VLOOKUP(Y932,SISP_Deflatores_e_INMs!B$4:G$49,5,FALSE),1)</f>
        <v>1</v>
      </c>
      <c r="AJ932" s="191" t="str">
        <f t="shared" si="256"/>
        <v/>
      </c>
      <c r="AK932" s="237" t="str">
        <f t="shared" si="245"/>
        <v/>
      </c>
      <c r="AL932" s="237" t="str">
        <f t="shared" si="257"/>
        <v/>
      </c>
      <c r="AM932" s="192" t="e">
        <f t="shared" si="246"/>
        <v>#VALUE!</v>
      </c>
      <c r="AN932" s="193" t="e">
        <f t="shared" si="247"/>
        <v>#VALUE!</v>
      </c>
      <c r="AO932" s="193" t="e">
        <f t="shared" si="248"/>
        <v>#VALUE!</v>
      </c>
      <c r="AP932" s="193"/>
      <c r="AQ932" s="204"/>
      <c r="AR932" s="204"/>
      <c r="AS932" s="204"/>
      <c r="AT932" s="205"/>
      <c r="AU932"/>
    </row>
    <row r="933" spans="1:47" ht="15" customHeight="1" x14ac:dyDescent="0.25">
      <c r="B933" s="206"/>
      <c r="C933" s="185"/>
      <c r="D933" s="164"/>
      <c r="E933" s="174"/>
      <c r="F933" s="164"/>
      <c r="G933" s="174"/>
      <c r="H933" s="164"/>
      <c r="I933" s="174"/>
      <c r="J933" s="184"/>
      <c r="K933" s="186"/>
      <c r="L933" s="187" t="str">
        <f t="shared" si="249"/>
        <v/>
      </c>
      <c r="M933" s="187" t="str">
        <f t="shared" si="250"/>
        <v/>
      </c>
      <c r="N933" s="187" t="str">
        <f t="shared" si="242"/>
        <v>D</v>
      </c>
      <c r="O933" s="187" t="str">
        <f t="shared" si="251"/>
        <v>D</v>
      </c>
      <c r="P933" s="187">
        <f t="shared" si="252"/>
        <v>1</v>
      </c>
      <c r="Q933" s="187">
        <f>IFERROR(VLOOKUP(E933,Tabela_Deflator:E$43,5,FALSE),1)</f>
        <v>1</v>
      </c>
      <c r="R933" s="188" t="str">
        <f t="shared" si="253"/>
        <v/>
      </c>
      <c r="S933" s="237" t="str">
        <f t="shared" si="243"/>
        <v/>
      </c>
      <c r="T933" s="237" t="str">
        <f t="shared" si="258"/>
        <v/>
      </c>
      <c r="U933" s="189"/>
      <c r="V933" s="167"/>
      <c r="W933" s="165"/>
      <c r="X933" s="164"/>
      <c r="Y933" s="164"/>
      <c r="Z933" s="164"/>
      <c r="AA933" s="174"/>
      <c r="AB933" s="164"/>
      <c r="AC933" s="174"/>
      <c r="AD933" s="184"/>
      <c r="AE933" s="190" t="str">
        <f t="shared" si="254"/>
        <v/>
      </c>
      <c r="AF933" s="190" t="str">
        <f t="shared" si="255"/>
        <v/>
      </c>
      <c r="AG933" s="190" t="str">
        <f t="shared" si="244"/>
        <v>D</v>
      </c>
      <c r="AH933" s="190">
        <f>IFERROR(VLOOKUP(Y933,SISP_Deflatores_e_INMs!B$4:F$49,3,FALSE),1)</f>
        <v>1</v>
      </c>
      <c r="AI933" s="190">
        <f>IFERROR(VLOOKUP(Y933,SISP_Deflatores_e_INMs!B$4:G$49,5,FALSE),1)</f>
        <v>1</v>
      </c>
      <c r="AJ933" s="191" t="str">
        <f t="shared" si="256"/>
        <v/>
      </c>
      <c r="AK933" s="237" t="str">
        <f t="shared" si="245"/>
        <v/>
      </c>
      <c r="AL933" s="237" t="str">
        <f t="shared" si="257"/>
        <v/>
      </c>
      <c r="AM933" s="192" t="e">
        <f t="shared" si="246"/>
        <v>#VALUE!</v>
      </c>
      <c r="AN933" s="193" t="e">
        <f t="shared" si="247"/>
        <v>#VALUE!</v>
      </c>
      <c r="AO933" s="193" t="e">
        <f t="shared" si="248"/>
        <v>#VALUE!</v>
      </c>
      <c r="AP933" s="193"/>
      <c r="AQ933" s="204"/>
      <c r="AR933" s="204"/>
      <c r="AS933" s="204"/>
      <c r="AT933" s="205"/>
      <c r="AU933"/>
    </row>
    <row r="934" spans="1:47" ht="15" customHeight="1" x14ac:dyDescent="0.25">
      <c r="B934" s="206"/>
      <c r="C934" s="185"/>
      <c r="D934" s="164"/>
      <c r="E934" s="174"/>
      <c r="F934" s="164"/>
      <c r="G934" s="174"/>
      <c r="H934" s="164"/>
      <c r="I934" s="174"/>
      <c r="J934" s="184"/>
      <c r="K934" s="186"/>
      <c r="L934" s="187" t="str">
        <f t="shared" si="249"/>
        <v/>
      </c>
      <c r="M934" s="187" t="str">
        <f t="shared" si="250"/>
        <v/>
      </c>
      <c r="N934" s="187" t="str">
        <f t="shared" si="242"/>
        <v>D</v>
      </c>
      <c r="O934" s="187" t="str">
        <f t="shared" si="251"/>
        <v>D</v>
      </c>
      <c r="P934" s="187">
        <f t="shared" si="252"/>
        <v>1</v>
      </c>
      <c r="Q934" s="187">
        <f>IFERROR(VLOOKUP(E934,Tabela_Deflator:E$43,5,FALSE),1)</f>
        <v>1</v>
      </c>
      <c r="R934" s="188" t="str">
        <f t="shared" si="253"/>
        <v/>
      </c>
      <c r="S934" s="237" t="str">
        <f t="shared" si="243"/>
        <v/>
      </c>
      <c r="T934" s="237" t="str">
        <f t="shared" si="258"/>
        <v/>
      </c>
      <c r="U934" s="189"/>
      <c r="V934" s="167"/>
      <c r="W934" s="165"/>
      <c r="X934" s="164"/>
      <c r="Y934" s="164"/>
      <c r="Z934" s="164"/>
      <c r="AA934" s="174"/>
      <c r="AB934" s="164"/>
      <c r="AC934" s="174"/>
      <c r="AD934" s="184"/>
      <c r="AE934" s="190" t="str">
        <f t="shared" si="254"/>
        <v/>
      </c>
      <c r="AF934" s="190" t="str">
        <f t="shared" si="255"/>
        <v/>
      </c>
      <c r="AG934" s="190" t="str">
        <f t="shared" si="244"/>
        <v>D</v>
      </c>
      <c r="AH934" s="190">
        <f>IFERROR(VLOOKUP(Y934,SISP_Deflatores_e_INMs!B$4:F$49,3,FALSE),1)</f>
        <v>1</v>
      </c>
      <c r="AI934" s="190">
        <f>IFERROR(VLOOKUP(Y934,SISP_Deflatores_e_INMs!B$4:G$49,5,FALSE),1)</f>
        <v>1</v>
      </c>
      <c r="AJ934" s="191" t="str">
        <f t="shared" si="256"/>
        <v/>
      </c>
      <c r="AK934" s="237" t="str">
        <f t="shared" si="245"/>
        <v/>
      </c>
      <c r="AL934" s="237" t="str">
        <f t="shared" si="257"/>
        <v/>
      </c>
      <c r="AM934" s="192" t="e">
        <f t="shared" si="246"/>
        <v>#VALUE!</v>
      </c>
      <c r="AN934" s="193" t="e">
        <f t="shared" si="247"/>
        <v>#VALUE!</v>
      </c>
      <c r="AO934" s="193" t="e">
        <f t="shared" si="248"/>
        <v>#VALUE!</v>
      </c>
      <c r="AP934" s="193"/>
      <c r="AQ934" s="166"/>
      <c r="AR934" s="166"/>
      <c r="AS934" s="166"/>
      <c r="AT934" s="168"/>
      <c r="AU934"/>
    </row>
    <row r="935" spans="1:47" ht="15" customHeight="1" x14ac:dyDescent="0.25">
      <c r="B935" s="206"/>
      <c r="C935" s="185"/>
      <c r="D935" s="164"/>
      <c r="E935" s="174"/>
      <c r="F935" s="164"/>
      <c r="G935" s="174"/>
      <c r="H935" s="164"/>
      <c r="I935" s="174"/>
      <c r="J935" s="184"/>
      <c r="K935" s="186"/>
      <c r="L935" s="187" t="str">
        <f t="shared" si="249"/>
        <v/>
      </c>
      <c r="M935" s="187" t="str">
        <f t="shared" si="250"/>
        <v/>
      </c>
      <c r="N935" s="187" t="str">
        <f t="shared" si="242"/>
        <v>D</v>
      </c>
      <c r="O935" s="187" t="str">
        <f t="shared" si="251"/>
        <v>D</v>
      </c>
      <c r="P935" s="187">
        <f t="shared" si="252"/>
        <v>1</v>
      </c>
      <c r="Q935" s="187">
        <f>IFERROR(VLOOKUP(E935,Tabela_Deflator:E$43,5,FALSE),1)</f>
        <v>1</v>
      </c>
      <c r="R935" s="188" t="str">
        <f t="shared" si="253"/>
        <v/>
      </c>
      <c r="S935" s="237" t="str">
        <f t="shared" si="243"/>
        <v/>
      </c>
      <c r="T935" s="237" t="str">
        <f t="shared" si="258"/>
        <v/>
      </c>
      <c r="U935" s="189"/>
      <c r="V935" s="167"/>
      <c r="W935" s="165"/>
      <c r="X935" s="164"/>
      <c r="Y935" s="164"/>
      <c r="Z935" s="164"/>
      <c r="AA935" s="174"/>
      <c r="AB935" s="164"/>
      <c r="AC935" s="174"/>
      <c r="AD935" s="184"/>
      <c r="AE935" s="190" t="str">
        <f t="shared" si="254"/>
        <v/>
      </c>
      <c r="AF935" s="190" t="str">
        <f t="shared" si="255"/>
        <v/>
      </c>
      <c r="AG935" s="190" t="str">
        <f t="shared" si="244"/>
        <v>D</v>
      </c>
      <c r="AH935" s="190">
        <f>IFERROR(VLOOKUP(Y935,SISP_Deflatores_e_INMs!B$4:F$49,3,FALSE),1)</f>
        <v>1</v>
      </c>
      <c r="AI935" s="190">
        <f>IFERROR(VLOOKUP(Y935,SISP_Deflatores_e_INMs!B$4:G$49,5,FALSE),1)</f>
        <v>1</v>
      </c>
      <c r="AJ935" s="191" t="str">
        <f t="shared" si="256"/>
        <v/>
      </c>
      <c r="AK935" s="237" t="str">
        <f t="shared" si="245"/>
        <v/>
      </c>
      <c r="AL935" s="237" t="str">
        <f t="shared" si="257"/>
        <v/>
      </c>
      <c r="AM935" s="192" t="e">
        <f t="shared" si="246"/>
        <v>#VALUE!</v>
      </c>
      <c r="AN935" s="193" t="e">
        <f t="shared" si="247"/>
        <v>#VALUE!</v>
      </c>
      <c r="AO935" s="193" t="e">
        <f t="shared" si="248"/>
        <v>#VALUE!</v>
      </c>
      <c r="AP935" s="193"/>
      <c r="AQ935" s="166"/>
      <c r="AR935" s="166"/>
      <c r="AS935" s="166"/>
      <c r="AT935" s="168"/>
      <c r="AU935"/>
    </row>
    <row r="936" spans="1:47" ht="15" customHeight="1" x14ac:dyDescent="0.25">
      <c r="B936" s="206"/>
      <c r="C936" s="185"/>
      <c r="D936" s="164"/>
      <c r="E936" s="174"/>
      <c r="F936" s="164"/>
      <c r="G936" s="174"/>
      <c r="H936" s="164"/>
      <c r="I936" s="174"/>
      <c r="J936" s="184"/>
      <c r="K936" s="186"/>
      <c r="L936" s="187" t="str">
        <f t="shared" si="249"/>
        <v/>
      </c>
      <c r="M936" s="187" t="str">
        <f t="shared" si="250"/>
        <v/>
      </c>
      <c r="N936" s="187" t="str">
        <f t="shared" si="242"/>
        <v>D</v>
      </c>
      <c r="O936" s="187" t="str">
        <f t="shared" si="251"/>
        <v>D</v>
      </c>
      <c r="P936" s="187">
        <f t="shared" si="252"/>
        <v>1</v>
      </c>
      <c r="Q936" s="187">
        <f>IFERROR(VLOOKUP(E936,Tabela_Deflator:E$43,5,FALSE),1)</f>
        <v>1</v>
      </c>
      <c r="R936" s="188" t="str">
        <f t="shared" si="253"/>
        <v/>
      </c>
      <c r="S936" s="237" t="str">
        <f t="shared" si="243"/>
        <v/>
      </c>
      <c r="T936" s="237" t="str">
        <f t="shared" si="258"/>
        <v/>
      </c>
      <c r="U936" s="189"/>
      <c r="V936" s="167"/>
      <c r="W936" s="165"/>
      <c r="X936" s="164"/>
      <c r="Y936" s="164"/>
      <c r="Z936" s="164"/>
      <c r="AA936" s="174"/>
      <c r="AB936" s="164"/>
      <c r="AC936" s="174"/>
      <c r="AD936" s="184"/>
      <c r="AE936" s="190" t="str">
        <f t="shared" si="254"/>
        <v/>
      </c>
      <c r="AF936" s="190" t="str">
        <f t="shared" si="255"/>
        <v/>
      </c>
      <c r="AG936" s="190" t="str">
        <f t="shared" si="244"/>
        <v>D</v>
      </c>
      <c r="AH936" s="190">
        <f>IFERROR(VLOOKUP(Y936,SISP_Deflatores_e_INMs!B$4:F$49,3,FALSE),1)</f>
        <v>1</v>
      </c>
      <c r="AI936" s="190">
        <f>IFERROR(VLOOKUP(Y936,SISP_Deflatores_e_INMs!B$4:G$49,5,FALSE),1)</f>
        <v>1</v>
      </c>
      <c r="AJ936" s="191" t="str">
        <f t="shared" si="256"/>
        <v/>
      </c>
      <c r="AK936" s="237" t="str">
        <f t="shared" si="245"/>
        <v/>
      </c>
      <c r="AL936" s="237" t="str">
        <f t="shared" si="257"/>
        <v/>
      </c>
      <c r="AM936" s="192" t="e">
        <f t="shared" si="246"/>
        <v>#VALUE!</v>
      </c>
      <c r="AN936" s="193" t="e">
        <f t="shared" si="247"/>
        <v>#VALUE!</v>
      </c>
      <c r="AO936" s="193" t="e">
        <f t="shared" si="248"/>
        <v>#VALUE!</v>
      </c>
      <c r="AP936" s="193"/>
      <c r="AQ936" s="204"/>
      <c r="AR936" s="204"/>
      <c r="AS936" s="204"/>
      <c r="AT936" s="204"/>
      <c r="AU936"/>
    </row>
    <row r="937" spans="1:47" ht="15" customHeight="1" x14ac:dyDescent="0.25">
      <c r="B937" s="206"/>
      <c r="C937" s="185"/>
      <c r="D937" s="164"/>
      <c r="E937" s="174"/>
      <c r="F937" s="164"/>
      <c r="G937" s="174"/>
      <c r="H937" s="164"/>
      <c r="I937" s="174"/>
      <c r="J937" s="184"/>
      <c r="K937" s="186"/>
      <c r="L937" s="187" t="str">
        <f t="shared" si="249"/>
        <v/>
      </c>
      <c r="M937" s="187" t="str">
        <f t="shared" si="250"/>
        <v/>
      </c>
      <c r="N937" s="187" t="str">
        <f t="shared" si="242"/>
        <v>D</v>
      </c>
      <c r="O937" s="187" t="str">
        <f t="shared" si="251"/>
        <v>D</v>
      </c>
      <c r="P937" s="187">
        <f t="shared" si="252"/>
        <v>1</v>
      </c>
      <c r="Q937" s="187">
        <f>IFERROR(VLOOKUP(E937,Tabela_Deflator:E$43,5,FALSE),1)</f>
        <v>1</v>
      </c>
      <c r="R937" s="188" t="str">
        <f t="shared" si="253"/>
        <v/>
      </c>
      <c r="S937" s="237" t="str">
        <f t="shared" si="243"/>
        <v/>
      </c>
      <c r="T937" s="237" t="str">
        <f t="shared" si="258"/>
        <v/>
      </c>
      <c r="U937" s="189"/>
      <c r="V937" s="167"/>
      <c r="W937" s="165"/>
      <c r="X937" s="164"/>
      <c r="Y937" s="164"/>
      <c r="Z937" s="164"/>
      <c r="AA937" s="174"/>
      <c r="AB937" s="164"/>
      <c r="AC937" s="174"/>
      <c r="AD937" s="184"/>
      <c r="AE937" s="190" t="str">
        <f t="shared" si="254"/>
        <v/>
      </c>
      <c r="AF937" s="190" t="str">
        <f t="shared" si="255"/>
        <v/>
      </c>
      <c r="AG937" s="190" t="str">
        <f t="shared" si="244"/>
        <v>D</v>
      </c>
      <c r="AH937" s="190">
        <f>IFERROR(VLOOKUP(Y937,SISP_Deflatores_e_INMs!B$4:F$49,3,FALSE),1)</f>
        <v>1</v>
      </c>
      <c r="AI937" s="190">
        <f>IFERROR(VLOOKUP(Y937,SISP_Deflatores_e_INMs!B$4:G$49,5,FALSE),1)</f>
        <v>1</v>
      </c>
      <c r="AJ937" s="191" t="str">
        <f t="shared" si="256"/>
        <v/>
      </c>
      <c r="AK937" s="237" t="str">
        <f t="shared" si="245"/>
        <v/>
      </c>
      <c r="AL937" s="237" t="str">
        <f t="shared" si="257"/>
        <v/>
      </c>
      <c r="AM937" s="192" t="e">
        <f t="shared" si="246"/>
        <v>#VALUE!</v>
      </c>
      <c r="AN937" s="193" t="e">
        <f t="shared" si="247"/>
        <v>#VALUE!</v>
      </c>
      <c r="AO937" s="193" t="e">
        <f t="shared" si="248"/>
        <v>#VALUE!</v>
      </c>
      <c r="AP937" s="193"/>
      <c r="AQ937" s="204"/>
      <c r="AR937" s="204"/>
      <c r="AS937" s="204"/>
      <c r="AT937" s="204"/>
      <c r="AU937"/>
    </row>
    <row r="938" spans="1:47" ht="15" customHeight="1" x14ac:dyDescent="0.25">
      <c r="B938" s="206"/>
      <c r="C938" s="185"/>
      <c r="D938" s="164"/>
      <c r="E938" s="174"/>
      <c r="F938" s="164"/>
      <c r="G938" s="174"/>
      <c r="H938" s="164"/>
      <c r="I938" s="174"/>
      <c r="J938" s="184"/>
      <c r="K938" s="186"/>
      <c r="L938" s="187" t="str">
        <f t="shared" si="249"/>
        <v/>
      </c>
      <c r="M938" s="187" t="str">
        <f t="shared" si="250"/>
        <v/>
      </c>
      <c r="N938" s="187" t="str">
        <f t="shared" si="242"/>
        <v>D</v>
      </c>
      <c r="O938" s="187" t="str">
        <f t="shared" si="251"/>
        <v>D</v>
      </c>
      <c r="P938" s="187">
        <f t="shared" si="252"/>
        <v>1</v>
      </c>
      <c r="Q938" s="187">
        <f>IFERROR(VLOOKUP(E938,Tabela_Deflator:E$43,5,FALSE),1)</f>
        <v>1</v>
      </c>
      <c r="R938" s="188" t="str">
        <f t="shared" si="253"/>
        <v/>
      </c>
      <c r="S938" s="237" t="str">
        <f t="shared" si="243"/>
        <v/>
      </c>
      <c r="T938" s="237" t="str">
        <f t="shared" si="258"/>
        <v/>
      </c>
      <c r="U938" s="189"/>
      <c r="V938" s="167"/>
      <c r="W938" s="165"/>
      <c r="X938" s="164"/>
      <c r="Y938" s="164"/>
      <c r="Z938" s="164"/>
      <c r="AA938" s="174"/>
      <c r="AB938" s="164"/>
      <c r="AC938" s="174"/>
      <c r="AD938" s="184"/>
      <c r="AE938" s="190" t="str">
        <f t="shared" si="254"/>
        <v/>
      </c>
      <c r="AF938" s="190" t="str">
        <f t="shared" si="255"/>
        <v/>
      </c>
      <c r="AG938" s="190" t="str">
        <f t="shared" si="244"/>
        <v>D</v>
      </c>
      <c r="AH938" s="190">
        <f>IFERROR(VLOOKUP(Y938,SISP_Deflatores_e_INMs!B$4:F$49,3,FALSE),1)</f>
        <v>1</v>
      </c>
      <c r="AI938" s="190">
        <f>IFERROR(VLOOKUP(Y938,SISP_Deflatores_e_INMs!B$4:G$49,5,FALSE),1)</f>
        <v>1</v>
      </c>
      <c r="AJ938" s="191" t="str">
        <f t="shared" si="256"/>
        <v/>
      </c>
      <c r="AK938" s="237" t="str">
        <f t="shared" si="245"/>
        <v/>
      </c>
      <c r="AL938" s="237" t="str">
        <f t="shared" si="257"/>
        <v/>
      </c>
      <c r="AM938" s="192" t="e">
        <f t="shared" si="246"/>
        <v>#VALUE!</v>
      </c>
      <c r="AN938" s="193" t="e">
        <f t="shared" si="247"/>
        <v>#VALUE!</v>
      </c>
      <c r="AO938" s="193" t="e">
        <f t="shared" si="248"/>
        <v>#VALUE!</v>
      </c>
      <c r="AP938" s="193"/>
      <c r="AQ938" s="204"/>
      <c r="AR938" s="204"/>
      <c r="AS938" s="204"/>
      <c r="AT938" s="204"/>
      <c r="AU938"/>
    </row>
    <row r="939" spans="1:47" ht="15" customHeight="1" x14ac:dyDescent="0.25">
      <c r="B939" s="206"/>
      <c r="C939" s="185"/>
      <c r="D939" s="164"/>
      <c r="E939" s="174"/>
      <c r="F939" s="164"/>
      <c r="G939" s="174"/>
      <c r="H939" s="164"/>
      <c r="I939" s="174"/>
      <c r="J939" s="184"/>
      <c r="K939" s="186"/>
      <c r="L939" s="187" t="str">
        <f t="shared" si="249"/>
        <v/>
      </c>
      <c r="M939" s="187" t="str">
        <f t="shared" si="250"/>
        <v/>
      </c>
      <c r="N939" s="187" t="str">
        <f t="shared" si="242"/>
        <v>D</v>
      </c>
      <c r="O939" s="187" t="str">
        <f t="shared" si="251"/>
        <v>D</v>
      </c>
      <c r="P939" s="187">
        <f t="shared" si="252"/>
        <v>1</v>
      </c>
      <c r="Q939" s="187">
        <f>IFERROR(VLOOKUP(E939,Tabela_Deflator:E$43,5,FALSE),1)</f>
        <v>1</v>
      </c>
      <c r="R939" s="188" t="str">
        <f t="shared" si="253"/>
        <v/>
      </c>
      <c r="S939" s="237" t="str">
        <f t="shared" si="243"/>
        <v/>
      </c>
      <c r="T939" s="237" t="str">
        <f t="shared" si="258"/>
        <v/>
      </c>
      <c r="U939" s="189"/>
      <c r="V939" s="167"/>
      <c r="W939" s="165"/>
      <c r="X939" s="164"/>
      <c r="Y939" s="164"/>
      <c r="Z939" s="164"/>
      <c r="AA939" s="174"/>
      <c r="AB939" s="164"/>
      <c r="AC939" s="174"/>
      <c r="AD939" s="184"/>
      <c r="AE939" s="190" t="str">
        <f t="shared" si="254"/>
        <v/>
      </c>
      <c r="AF939" s="190" t="str">
        <f t="shared" si="255"/>
        <v/>
      </c>
      <c r="AG939" s="190" t="str">
        <f t="shared" si="244"/>
        <v>D</v>
      </c>
      <c r="AH939" s="190">
        <f>IFERROR(VLOOKUP(Y939,SISP_Deflatores_e_INMs!B$4:F$49,3,FALSE),1)</f>
        <v>1</v>
      </c>
      <c r="AI939" s="190">
        <f>IFERROR(VLOOKUP(Y939,SISP_Deflatores_e_INMs!B$4:G$49,5,FALSE),1)</f>
        <v>1</v>
      </c>
      <c r="AJ939" s="191" t="str">
        <f t="shared" si="256"/>
        <v/>
      </c>
      <c r="AK939" s="237" t="str">
        <f t="shared" si="245"/>
        <v/>
      </c>
      <c r="AL939" s="237" t="str">
        <f t="shared" si="257"/>
        <v/>
      </c>
      <c r="AM939" s="192" t="e">
        <f t="shared" si="246"/>
        <v>#VALUE!</v>
      </c>
      <c r="AN939" s="193" t="e">
        <f t="shared" si="247"/>
        <v>#VALUE!</v>
      </c>
      <c r="AO939" s="193" t="e">
        <f t="shared" si="248"/>
        <v>#VALUE!</v>
      </c>
      <c r="AP939" s="193"/>
      <c r="AQ939" s="204"/>
      <c r="AR939" s="204"/>
      <c r="AS939" s="204"/>
      <c r="AT939" s="204"/>
      <c r="AU939"/>
    </row>
    <row r="940" spans="1:47" ht="15" customHeight="1" x14ac:dyDescent="0.25">
      <c r="B940" s="206"/>
      <c r="C940" s="185"/>
      <c r="D940" s="164"/>
      <c r="E940" s="174"/>
      <c r="F940" s="164"/>
      <c r="G940" s="174"/>
      <c r="H940" s="164"/>
      <c r="I940" s="174"/>
      <c r="J940" s="184"/>
      <c r="K940" s="186"/>
      <c r="L940" s="187" t="str">
        <f t="shared" si="249"/>
        <v/>
      </c>
      <c r="M940" s="187" t="str">
        <f t="shared" si="250"/>
        <v/>
      </c>
      <c r="N940" s="187" t="str">
        <f t="shared" si="242"/>
        <v>D</v>
      </c>
      <c r="O940" s="187" t="str">
        <f t="shared" si="251"/>
        <v>D</v>
      </c>
      <c r="P940" s="187">
        <f t="shared" si="252"/>
        <v>1</v>
      </c>
      <c r="Q940" s="187">
        <f>IFERROR(VLOOKUP(E940,Tabela_Deflator:E$43,5,FALSE),1)</f>
        <v>1</v>
      </c>
      <c r="R940" s="188" t="str">
        <f t="shared" si="253"/>
        <v/>
      </c>
      <c r="S940" s="237" t="str">
        <f t="shared" si="243"/>
        <v/>
      </c>
      <c r="T940" s="237" t="str">
        <f t="shared" si="258"/>
        <v/>
      </c>
      <c r="U940" s="189"/>
      <c r="V940" s="167"/>
      <c r="W940" s="165"/>
      <c r="X940" s="164"/>
      <c r="Y940" s="164"/>
      <c r="Z940" s="164"/>
      <c r="AA940" s="174"/>
      <c r="AB940" s="164"/>
      <c r="AC940" s="174"/>
      <c r="AD940" s="184"/>
      <c r="AE940" s="190" t="str">
        <f t="shared" si="254"/>
        <v/>
      </c>
      <c r="AF940" s="190" t="str">
        <f t="shared" si="255"/>
        <v/>
      </c>
      <c r="AG940" s="190" t="str">
        <f t="shared" si="244"/>
        <v>D</v>
      </c>
      <c r="AH940" s="190">
        <f>IFERROR(VLOOKUP(Y940,SISP_Deflatores_e_INMs!B$4:F$49,3,FALSE),1)</f>
        <v>1</v>
      </c>
      <c r="AI940" s="190">
        <f>IFERROR(VLOOKUP(Y940,SISP_Deflatores_e_INMs!B$4:G$49,5,FALSE),1)</f>
        <v>1</v>
      </c>
      <c r="AJ940" s="191" t="str">
        <f t="shared" si="256"/>
        <v/>
      </c>
      <c r="AK940" s="237" t="str">
        <f t="shared" si="245"/>
        <v/>
      </c>
      <c r="AL940" s="237" t="str">
        <f t="shared" si="257"/>
        <v/>
      </c>
      <c r="AM940" s="192" t="e">
        <f t="shared" si="246"/>
        <v>#VALUE!</v>
      </c>
      <c r="AN940" s="193" t="e">
        <f t="shared" si="247"/>
        <v>#VALUE!</v>
      </c>
      <c r="AO940" s="193" t="e">
        <f t="shared" si="248"/>
        <v>#VALUE!</v>
      </c>
      <c r="AP940" s="193"/>
      <c r="AQ940" s="204"/>
      <c r="AR940" s="204"/>
      <c r="AS940" s="204"/>
      <c r="AT940" s="204"/>
      <c r="AU940"/>
    </row>
    <row r="941" spans="1:47" x14ac:dyDescent="0.25">
      <c r="B941" s="206"/>
      <c r="C941" s="185"/>
      <c r="D941" s="164"/>
      <c r="E941" s="174"/>
      <c r="F941" s="164"/>
      <c r="G941" s="174"/>
      <c r="H941" s="164"/>
      <c r="I941" s="174"/>
      <c r="J941" s="184"/>
      <c r="K941" s="186"/>
      <c r="L941" s="187" t="str">
        <f t="shared" si="249"/>
        <v/>
      </c>
      <c r="M941" s="187" t="str">
        <f t="shared" si="250"/>
        <v/>
      </c>
      <c r="N941" s="187" t="str">
        <f t="shared" si="242"/>
        <v>D</v>
      </c>
      <c r="O941" s="187" t="str">
        <f t="shared" si="251"/>
        <v>D</v>
      </c>
      <c r="P941" s="187">
        <f t="shared" si="252"/>
        <v>1</v>
      </c>
      <c r="Q941" s="187">
        <f>IFERROR(VLOOKUP(E941,Tabela_Deflator:E$43,5,FALSE),1)</f>
        <v>1</v>
      </c>
      <c r="R941" s="188" t="str">
        <f t="shared" si="253"/>
        <v/>
      </c>
      <c r="S941" s="237" t="str">
        <f t="shared" si="243"/>
        <v/>
      </c>
      <c r="T941" s="237" t="str">
        <f t="shared" si="258"/>
        <v/>
      </c>
      <c r="U941" s="189"/>
      <c r="V941" s="167"/>
      <c r="W941" s="165"/>
      <c r="X941" s="164"/>
      <c r="Y941" s="164"/>
      <c r="Z941" s="164"/>
      <c r="AA941" s="174"/>
      <c r="AB941" s="164"/>
      <c r="AC941" s="174"/>
      <c r="AD941" s="184"/>
      <c r="AE941" s="190" t="str">
        <f t="shared" si="254"/>
        <v/>
      </c>
      <c r="AF941" s="190" t="str">
        <f t="shared" si="255"/>
        <v/>
      </c>
      <c r="AG941" s="190" t="str">
        <f t="shared" si="244"/>
        <v>D</v>
      </c>
      <c r="AH941" s="190">
        <f>IFERROR(VLOOKUP(Y941,SISP_Deflatores_e_INMs!B$4:F$49,3,FALSE),1)</f>
        <v>1</v>
      </c>
      <c r="AI941" s="190">
        <f>IFERROR(VLOOKUP(Y941,SISP_Deflatores_e_INMs!B$4:G$49,5,FALSE),1)</f>
        <v>1</v>
      </c>
      <c r="AJ941" s="191" t="str">
        <f t="shared" si="256"/>
        <v/>
      </c>
      <c r="AK941" s="237" t="str">
        <f t="shared" si="245"/>
        <v/>
      </c>
      <c r="AL941" s="237" t="str">
        <f t="shared" si="257"/>
        <v/>
      </c>
      <c r="AM941" s="192" t="e">
        <f t="shared" si="246"/>
        <v>#VALUE!</v>
      </c>
      <c r="AN941" s="193" t="e">
        <f t="shared" si="247"/>
        <v>#VALUE!</v>
      </c>
      <c r="AO941" s="193" t="e">
        <f t="shared" si="248"/>
        <v>#VALUE!</v>
      </c>
      <c r="AP941" s="193"/>
      <c r="AQ941" s="204"/>
      <c r="AR941" s="204"/>
      <c r="AS941" s="204"/>
      <c r="AT941" s="204"/>
      <c r="AU941"/>
    </row>
    <row r="942" spans="1:47" ht="15" customHeight="1" x14ac:dyDescent="0.25">
      <c r="A942" s="203"/>
      <c r="B942" s="235" t="s">
        <v>91</v>
      </c>
      <c r="C942" s="119"/>
      <c r="D942" s="119"/>
      <c r="E942" s="119"/>
      <c r="F942" s="119"/>
      <c r="G942" s="119"/>
      <c r="H942" s="119"/>
      <c r="I942" s="119"/>
      <c r="J942" s="119"/>
      <c r="K942" s="119"/>
      <c r="R942" s="158"/>
      <c r="S942" s="158"/>
      <c r="T942" s="158"/>
      <c r="U942" s="158"/>
      <c r="V942" s="158"/>
      <c r="W942" s="158"/>
      <c r="X942" s="158"/>
      <c r="Y942" s="160"/>
      <c r="Z942" s="158"/>
      <c r="AA942" s="158"/>
      <c r="AB942" s="158"/>
      <c r="AC942" s="160"/>
      <c r="AD942" s="158"/>
      <c r="AE942" s="158"/>
      <c r="AF942" s="158"/>
      <c r="AG942" s="158"/>
      <c r="AH942" s="158"/>
      <c r="AI942" s="158"/>
      <c r="AJ942" s="158"/>
      <c r="AK942" s="158"/>
      <c r="AL942" s="158"/>
      <c r="AM942" s="158"/>
      <c r="AQ942" s="160"/>
      <c r="AR942" s="158"/>
      <c r="AS942" s="160"/>
      <c r="AT942" s="160"/>
      <c r="AU942"/>
    </row>
  </sheetData>
  <sheetProtection algorithmName="SHA-512" hashValue="zrhcWPJ9JdB9NWKEjVcRXAMEracaeTZuok5MK2n8c+Xuljwf+r+63BDPmvYjzgLocfSMJKase64rDNfa41Yvmg==" saltValue="laq+uM7F/9Fhbv1QlRjm3A==" spinCount="100000" sheet="1" objects="1" scenarios="1" autoFilter="0"/>
  <autoFilter ref="B3:AT942" xr:uid="{00000000-0001-0000-0100-000000000000}"/>
  <dataConsolidate>
    <dataRefs count="1">
      <dataRef ref="B4:B48" r:id="rId1"/>
    </dataRefs>
  </dataConsolidate>
  <mergeCells count="3">
    <mergeCell ref="B2:T2"/>
    <mergeCell ref="D1:E1"/>
    <mergeCell ref="V2:AL2"/>
  </mergeCells>
  <phoneticPr fontId="45" type="noConversion"/>
  <conditionalFormatting sqref="AQ4:AQ941 J4:J941 AD4:AD941">
    <cfRule type="expression" dxfId="657" priority="23776">
      <formula>ISBLANK($X4)</formula>
    </cfRule>
  </conditionalFormatting>
  <conditionalFormatting sqref="AQ4:AQ941 J4:J941 AD4:AD941">
    <cfRule type="expression" dxfId="656" priority="24133">
      <formula>$X4="NOK"</formula>
    </cfRule>
  </conditionalFormatting>
  <conditionalFormatting sqref="AR12:AT935 AR4:AR11 AR936:AR941 AT936:AT941 AT4:AT11 AE4:AP941 C4:C941 K4:U941">
    <cfRule type="expression" dxfId="655" priority="24026">
      <formula>ISBLANK($V4)</formula>
    </cfRule>
  </conditionalFormatting>
  <conditionalFormatting sqref="P4:Q941 AR12:AT935 AR4:AR11 AR936:AR941 AT936:AT941 AT4:AT11 U4:U941 AE4:AP941 K4:L941 C4:C941">
    <cfRule type="expression" dxfId="654" priority="24249">
      <formula>$V4="NOK"</formula>
    </cfRule>
  </conditionalFormatting>
  <conditionalFormatting sqref="AV3:XFD3">
    <cfRule type="expression" dxfId="653" priority="25657">
      <formula>ISBLANK(#REF!)</formula>
    </cfRule>
    <cfRule type="expression" dxfId="652" priority="25658">
      <formula>$V$28="NOK"</formula>
    </cfRule>
    <cfRule type="expression" dxfId="651" priority="25659">
      <formula>#REF!&lt;&gt;#REF!</formula>
    </cfRule>
  </conditionalFormatting>
  <conditionalFormatting sqref="B4:B942 W4:W941">
    <cfRule type="expression" dxfId="650" priority="26182">
      <formula>ISBLANK($W4)</formula>
    </cfRule>
    <cfRule type="expression" dxfId="649" priority="26183">
      <formula>$W4="NOK"</formula>
    </cfRule>
  </conditionalFormatting>
  <conditionalFormatting sqref="J4:J941 AD4:AD941">
    <cfRule type="expression" dxfId="648" priority="23346">
      <formula>OR(E4="MI-4.7",E4= "DMP-4.11", E4 = "Comp.Arq-4.15")</formula>
    </cfRule>
  </conditionalFormatting>
  <conditionalFormatting sqref="D4:D941 F4:I941 X4:X941 Z4:AC941">
    <cfRule type="expression" dxfId="647" priority="23337">
      <formula>ISBLANK($W4)</formula>
    </cfRule>
  </conditionalFormatting>
  <conditionalFormatting sqref="D4:D941 F4:I941 X4:X941 Z4:AC941">
    <cfRule type="expression" dxfId="646" priority="23338">
      <formula>$W4="NOK"</formula>
    </cfRule>
  </conditionalFormatting>
  <conditionalFormatting sqref="F4:F941 H4:H941">
    <cfRule type="expression" dxfId="645" priority="23336">
      <formula>$D4 ="INM"</formula>
    </cfRule>
  </conditionalFormatting>
  <conditionalFormatting sqref="V4:V941">
    <cfRule type="expression" dxfId="644" priority="23320">
      <formula>$U4="NOK"</formula>
    </cfRule>
  </conditionalFormatting>
  <conditionalFormatting sqref="V4:V941">
    <cfRule type="expression" dxfId="643" priority="23321">
      <formula>ISBLANK($U4)</formula>
    </cfRule>
  </conditionalFormatting>
  <conditionalFormatting sqref="Z4:Z941 AB4:AB941">
    <cfRule type="expression" dxfId="642" priority="23310">
      <formula xml:space="preserve"> $X4 = "INM"</formula>
    </cfRule>
  </conditionalFormatting>
  <conditionalFormatting sqref="AQ935:AT935">
    <cfRule type="expression" dxfId="641" priority="10846">
      <formula>ISBLANK($V935)</formula>
    </cfRule>
  </conditionalFormatting>
  <conditionalFormatting sqref="AQ935:AT935">
    <cfRule type="expression" dxfId="640" priority="10840">
      <formula>ISBLANK($V935)</formula>
    </cfRule>
  </conditionalFormatting>
  <conditionalFormatting sqref="AQ935:AT935">
    <cfRule type="expression" dxfId="639" priority="10839">
      <formula>ISBLANK($V935)</formula>
    </cfRule>
  </conditionalFormatting>
  <conditionalFormatting sqref="AQ934:AT934">
    <cfRule type="expression" dxfId="638" priority="10838">
      <formula>ISBLANK($V934)</formula>
    </cfRule>
  </conditionalFormatting>
  <conditionalFormatting sqref="AQ935:AT935">
    <cfRule type="expression" dxfId="637" priority="10768">
      <formula>ISBLANK($V935)</formula>
    </cfRule>
  </conditionalFormatting>
  <conditionalFormatting sqref="AQ935:AT935">
    <cfRule type="expression" dxfId="636" priority="10767">
      <formula>ISBLANK($V935)</formula>
    </cfRule>
  </conditionalFormatting>
  <conditionalFormatting sqref="AQ934:AT934">
    <cfRule type="expression" dxfId="635" priority="10766">
      <formula>ISBLANK($V934)</formula>
    </cfRule>
  </conditionalFormatting>
  <conditionalFormatting sqref="AQ935:AT935">
    <cfRule type="expression" dxfId="634" priority="10761">
      <formula>ISBLANK($V935)</formula>
    </cfRule>
  </conditionalFormatting>
  <conditionalFormatting sqref="AQ934:AT934">
    <cfRule type="expression" dxfId="633" priority="10760">
      <formula>ISBLANK($V934)</formula>
    </cfRule>
  </conditionalFormatting>
  <conditionalFormatting sqref="AQ934:AT934">
    <cfRule type="expression" dxfId="632" priority="10759">
      <formula>ISBLANK($V934)</formula>
    </cfRule>
  </conditionalFormatting>
  <conditionalFormatting sqref="AQ933:AT933">
    <cfRule type="expression" dxfId="631" priority="10758">
      <formula>ISBLANK($V933)</formula>
    </cfRule>
  </conditionalFormatting>
  <conditionalFormatting sqref="AQ935:AT935">
    <cfRule type="expression" dxfId="630" priority="10640">
      <formula>ISBLANK($V935)</formula>
    </cfRule>
  </conditionalFormatting>
  <conditionalFormatting sqref="AQ935:AT935">
    <cfRule type="expression" dxfId="629" priority="10639">
      <formula>ISBLANK($V935)</formula>
    </cfRule>
  </conditionalFormatting>
  <conditionalFormatting sqref="AQ934:AT934">
    <cfRule type="expression" dxfId="628" priority="10638">
      <formula>ISBLANK($V934)</formula>
    </cfRule>
  </conditionalFormatting>
  <conditionalFormatting sqref="AQ935:AT935">
    <cfRule type="expression" dxfId="627" priority="10633">
      <formula>ISBLANK($V935)</formula>
    </cfRule>
  </conditionalFormatting>
  <conditionalFormatting sqref="AQ934:AT934">
    <cfRule type="expression" dxfId="626" priority="10632">
      <formula>ISBLANK($V934)</formula>
    </cfRule>
  </conditionalFormatting>
  <conditionalFormatting sqref="AQ934:AT934">
    <cfRule type="expression" dxfId="625" priority="10631">
      <formula>ISBLANK($V934)</formula>
    </cfRule>
  </conditionalFormatting>
  <conditionalFormatting sqref="AQ933:AT933">
    <cfRule type="expression" dxfId="624" priority="10630">
      <formula>ISBLANK($V933)</formula>
    </cfRule>
  </conditionalFormatting>
  <conditionalFormatting sqref="AQ935:AT935">
    <cfRule type="expression" dxfId="623" priority="10614">
      <formula>ISBLANK($V935)</formula>
    </cfRule>
  </conditionalFormatting>
  <conditionalFormatting sqref="AQ935:AT935">
    <cfRule type="expression" dxfId="622" priority="10609">
      <formula>ISBLANK($V935)</formula>
    </cfRule>
  </conditionalFormatting>
  <conditionalFormatting sqref="AQ934:AT934">
    <cfRule type="expression" dxfId="621" priority="10608">
      <formula>ISBLANK($V934)</formula>
    </cfRule>
  </conditionalFormatting>
  <conditionalFormatting sqref="AQ934:AT934">
    <cfRule type="expression" dxfId="620" priority="10607">
      <formula>ISBLANK($V934)</formula>
    </cfRule>
  </conditionalFormatting>
  <conditionalFormatting sqref="AQ933:AT933">
    <cfRule type="expression" dxfId="619" priority="10606">
      <formula>ISBLANK($V933)</formula>
    </cfRule>
  </conditionalFormatting>
  <conditionalFormatting sqref="AQ935:AT935">
    <cfRule type="expression" dxfId="618" priority="10602">
      <formula>ISBLANK($V935)</formula>
    </cfRule>
  </conditionalFormatting>
  <conditionalFormatting sqref="AQ934:AT934">
    <cfRule type="expression" dxfId="617" priority="10601">
      <formula>ISBLANK($V934)</formula>
    </cfRule>
  </conditionalFormatting>
  <conditionalFormatting sqref="AQ933:AT933">
    <cfRule type="expression" dxfId="616" priority="10600">
      <formula>ISBLANK($V933)</formula>
    </cfRule>
  </conditionalFormatting>
  <conditionalFormatting sqref="AQ933:AT933">
    <cfRule type="expression" dxfId="615" priority="10599">
      <formula>ISBLANK($V933)</formula>
    </cfRule>
  </conditionalFormatting>
  <conditionalFormatting sqref="AQ932:AT932">
    <cfRule type="expression" dxfId="614" priority="10598">
      <formula>ISBLANK($V932)</formula>
    </cfRule>
  </conditionalFormatting>
  <conditionalFormatting sqref="AQ935:AT935">
    <cfRule type="expression" dxfId="613" priority="10384">
      <formula>ISBLANK($V935)</formula>
    </cfRule>
  </conditionalFormatting>
  <conditionalFormatting sqref="AQ935:AT935">
    <cfRule type="expression" dxfId="612" priority="10383">
      <formula>ISBLANK($V935)</formula>
    </cfRule>
  </conditionalFormatting>
  <conditionalFormatting sqref="AQ934:AT934">
    <cfRule type="expression" dxfId="611" priority="10382">
      <formula>ISBLANK($V934)</formula>
    </cfRule>
  </conditionalFormatting>
  <conditionalFormatting sqref="AQ935:AT935">
    <cfRule type="expression" dxfId="610" priority="10377">
      <formula>ISBLANK($V935)</formula>
    </cfRule>
  </conditionalFormatting>
  <conditionalFormatting sqref="AQ934:AT934">
    <cfRule type="expression" dxfId="609" priority="10376">
      <formula>ISBLANK($V934)</formula>
    </cfRule>
  </conditionalFormatting>
  <conditionalFormatting sqref="AQ934:AT934">
    <cfRule type="expression" dxfId="608" priority="10375">
      <formula>ISBLANK($V934)</formula>
    </cfRule>
  </conditionalFormatting>
  <conditionalFormatting sqref="AQ933:AT933">
    <cfRule type="expression" dxfId="607" priority="10374">
      <formula>ISBLANK($V933)</formula>
    </cfRule>
  </conditionalFormatting>
  <conditionalFormatting sqref="AQ935:AT935">
    <cfRule type="expression" dxfId="606" priority="10358">
      <formula>ISBLANK($V935)</formula>
    </cfRule>
  </conditionalFormatting>
  <conditionalFormatting sqref="AQ935:AT935">
    <cfRule type="expression" dxfId="605" priority="10353">
      <formula>ISBLANK($V935)</formula>
    </cfRule>
  </conditionalFormatting>
  <conditionalFormatting sqref="AQ934:AT934">
    <cfRule type="expression" dxfId="604" priority="10352">
      <formula>ISBLANK($V934)</formula>
    </cfRule>
  </conditionalFormatting>
  <conditionalFormatting sqref="AQ934:AT934">
    <cfRule type="expression" dxfId="603" priority="10351">
      <formula>ISBLANK($V934)</formula>
    </cfRule>
  </conditionalFormatting>
  <conditionalFormatting sqref="AQ933:AT933">
    <cfRule type="expression" dxfId="602" priority="10350">
      <formula>ISBLANK($V933)</formula>
    </cfRule>
  </conditionalFormatting>
  <conditionalFormatting sqref="AQ935:AT935">
    <cfRule type="expression" dxfId="601" priority="10346">
      <formula>ISBLANK($V935)</formula>
    </cfRule>
  </conditionalFormatting>
  <conditionalFormatting sqref="AQ934:AT934">
    <cfRule type="expression" dxfId="600" priority="10345">
      <formula>ISBLANK($V934)</formula>
    </cfRule>
  </conditionalFormatting>
  <conditionalFormatting sqref="AQ933:AT933">
    <cfRule type="expression" dxfId="599" priority="10344">
      <formula>ISBLANK($V933)</formula>
    </cfRule>
  </conditionalFormatting>
  <conditionalFormatting sqref="AQ933:AT933">
    <cfRule type="expression" dxfId="598" priority="10343">
      <formula>ISBLANK($V933)</formula>
    </cfRule>
  </conditionalFormatting>
  <conditionalFormatting sqref="AQ932:AT932">
    <cfRule type="expression" dxfId="597" priority="10342">
      <formula>ISBLANK($V932)</formula>
    </cfRule>
  </conditionalFormatting>
  <conditionalFormatting sqref="AQ935:AT935">
    <cfRule type="expression" dxfId="596" priority="10326">
      <formula>ISBLANK($V935)</formula>
    </cfRule>
  </conditionalFormatting>
  <conditionalFormatting sqref="AQ935:AT935">
    <cfRule type="expression" dxfId="595" priority="10321">
      <formula>ISBLANK($V935)</formula>
    </cfRule>
  </conditionalFormatting>
  <conditionalFormatting sqref="AQ934:AT934">
    <cfRule type="expression" dxfId="594" priority="10320">
      <formula>ISBLANK($V934)</formula>
    </cfRule>
  </conditionalFormatting>
  <conditionalFormatting sqref="AQ934:AT934">
    <cfRule type="expression" dxfId="593" priority="10319">
      <formula>ISBLANK($V934)</formula>
    </cfRule>
  </conditionalFormatting>
  <conditionalFormatting sqref="AQ933:AT933">
    <cfRule type="expression" dxfId="592" priority="10318">
      <formula>ISBLANK($V933)</formula>
    </cfRule>
  </conditionalFormatting>
  <conditionalFormatting sqref="AQ935:AT935">
    <cfRule type="expression" dxfId="591" priority="10314">
      <formula>ISBLANK($V935)</formula>
    </cfRule>
  </conditionalFormatting>
  <conditionalFormatting sqref="AQ934:AT934">
    <cfRule type="expression" dxfId="590" priority="10313">
      <formula>ISBLANK($V934)</formula>
    </cfRule>
  </conditionalFormatting>
  <conditionalFormatting sqref="AQ933:AT933">
    <cfRule type="expression" dxfId="589" priority="10312">
      <formula>ISBLANK($V933)</formula>
    </cfRule>
  </conditionalFormatting>
  <conditionalFormatting sqref="AQ933:AT933">
    <cfRule type="expression" dxfId="588" priority="10311">
      <formula>ISBLANK($V933)</formula>
    </cfRule>
  </conditionalFormatting>
  <conditionalFormatting sqref="AQ932:AT932">
    <cfRule type="expression" dxfId="587" priority="10310">
      <formula>ISBLANK($V932)</formula>
    </cfRule>
  </conditionalFormatting>
  <conditionalFormatting sqref="AQ935:AT935">
    <cfRule type="expression" dxfId="586" priority="10302">
      <formula>ISBLANK($V935)</formula>
    </cfRule>
  </conditionalFormatting>
  <conditionalFormatting sqref="AQ935:AT935">
    <cfRule type="expression" dxfId="585" priority="10296">
      <formula>ISBLANK($V935)</formula>
    </cfRule>
  </conditionalFormatting>
  <conditionalFormatting sqref="AQ935:AT935">
    <cfRule type="expression" dxfId="584" priority="10295">
      <formula>ISBLANK($V935)</formula>
    </cfRule>
  </conditionalFormatting>
  <conditionalFormatting sqref="AQ934:AT934">
    <cfRule type="expression" dxfId="583" priority="10294">
      <formula>ISBLANK($V934)</formula>
    </cfRule>
  </conditionalFormatting>
  <conditionalFormatting sqref="AQ935:AT935">
    <cfRule type="expression" dxfId="582" priority="10290">
      <formula>ISBLANK($V935)</formula>
    </cfRule>
  </conditionalFormatting>
  <conditionalFormatting sqref="AQ934:AT934">
    <cfRule type="expression" dxfId="581" priority="10289">
      <formula>ISBLANK($V934)</formula>
    </cfRule>
  </conditionalFormatting>
  <conditionalFormatting sqref="AQ933:AT933">
    <cfRule type="expression" dxfId="580" priority="10288">
      <formula>ISBLANK($V933)</formula>
    </cfRule>
  </conditionalFormatting>
  <conditionalFormatting sqref="AQ933:AT933">
    <cfRule type="expression" dxfId="579" priority="10287">
      <formula>ISBLANK($V933)</formula>
    </cfRule>
  </conditionalFormatting>
  <conditionalFormatting sqref="AQ932:AT932">
    <cfRule type="expression" dxfId="578" priority="10286">
      <formula>ISBLANK($V932)</formula>
    </cfRule>
  </conditionalFormatting>
  <conditionalFormatting sqref="AQ935:AT935">
    <cfRule type="expression" dxfId="577" priority="10284">
      <formula>ISBLANK($V935)</formula>
    </cfRule>
  </conditionalFormatting>
  <conditionalFormatting sqref="AQ935:AT935">
    <cfRule type="expression" dxfId="576" priority="10283">
      <formula>ISBLANK($V935)</formula>
    </cfRule>
  </conditionalFormatting>
  <conditionalFormatting sqref="AQ934:AT934">
    <cfRule type="expression" dxfId="575" priority="10282">
      <formula>ISBLANK($V934)</formula>
    </cfRule>
  </conditionalFormatting>
  <conditionalFormatting sqref="AQ933:AT933">
    <cfRule type="expression" dxfId="574" priority="10281">
      <formula>ISBLANK($V933)</formula>
    </cfRule>
  </conditionalFormatting>
  <conditionalFormatting sqref="AQ932:AT932">
    <cfRule type="expression" dxfId="573" priority="10280">
      <formula>ISBLANK($V932)</formula>
    </cfRule>
  </conditionalFormatting>
  <conditionalFormatting sqref="AQ932:AT932">
    <cfRule type="expression" dxfId="572" priority="10279">
      <formula>ISBLANK($V932)</formula>
    </cfRule>
  </conditionalFormatting>
  <conditionalFormatting sqref="AQ931:AT931">
    <cfRule type="expression" dxfId="571" priority="10278">
      <formula>ISBLANK($V931)</formula>
    </cfRule>
  </conditionalFormatting>
  <conditionalFormatting sqref="AV941:XFD942">
    <cfRule type="expression" dxfId="570" priority="26082">
      <formula>ISBLANK(#REF!)</formula>
    </cfRule>
    <cfRule type="expression" dxfId="569" priority="26083">
      <formula>#REF!="NOK"</formula>
    </cfRule>
    <cfRule type="expression" dxfId="568" priority="26084">
      <formula>#REF!&lt;&gt;#REF!</formula>
    </cfRule>
  </conditionalFormatting>
  <conditionalFormatting sqref="AQ935:AT935">
    <cfRule type="expression" dxfId="567" priority="9797">
      <formula>ISBLANK($V935)</formula>
    </cfRule>
  </conditionalFormatting>
  <conditionalFormatting sqref="AQ935:AT935">
    <cfRule type="expression" dxfId="566" priority="9777">
      <formula>ISBLANK($V935)</formula>
    </cfRule>
  </conditionalFormatting>
  <conditionalFormatting sqref="AQ935:AT935">
    <cfRule type="expression" dxfId="565" priority="9771">
      <formula>ISBLANK($V935)</formula>
    </cfRule>
  </conditionalFormatting>
  <conditionalFormatting sqref="AQ935:AT935">
    <cfRule type="expression" dxfId="564" priority="9770">
      <formula>ISBLANK($V935)</formula>
    </cfRule>
  </conditionalFormatting>
  <conditionalFormatting sqref="AQ934:AT934">
    <cfRule type="expression" dxfId="563" priority="9769">
      <formula>ISBLANK($V934)</formula>
    </cfRule>
  </conditionalFormatting>
  <conditionalFormatting sqref="AQ935:AT935">
    <cfRule type="expression" dxfId="562" priority="9749">
      <formula>ISBLANK($V935)</formula>
    </cfRule>
  </conditionalFormatting>
  <conditionalFormatting sqref="AQ935:AT935">
    <cfRule type="expression" dxfId="561" priority="9743">
      <formula>ISBLANK($V935)</formula>
    </cfRule>
  </conditionalFormatting>
  <conditionalFormatting sqref="AQ935:AT935">
    <cfRule type="expression" dxfId="560" priority="9742">
      <formula>ISBLANK($V935)</formula>
    </cfRule>
  </conditionalFormatting>
  <conditionalFormatting sqref="AQ934:AT934">
    <cfRule type="expression" dxfId="559" priority="9741">
      <formula>ISBLANK($V934)</formula>
    </cfRule>
  </conditionalFormatting>
  <conditionalFormatting sqref="AQ935:AT935">
    <cfRule type="expression" dxfId="558" priority="9720">
      <formula>ISBLANK($V935)</formula>
    </cfRule>
  </conditionalFormatting>
  <conditionalFormatting sqref="AQ935:AT935">
    <cfRule type="expression" dxfId="557" priority="9719">
      <formula>ISBLANK($V935)</formula>
    </cfRule>
  </conditionalFormatting>
  <conditionalFormatting sqref="AQ934:AT934">
    <cfRule type="expression" dxfId="556" priority="9718">
      <formula>ISBLANK($V934)</formula>
    </cfRule>
  </conditionalFormatting>
  <conditionalFormatting sqref="AQ935:AT935">
    <cfRule type="expression" dxfId="555" priority="9713">
      <formula>ISBLANK($V935)</formula>
    </cfRule>
  </conditionalFormatting>
  <conditionalFormatting sqref="AQ934:AT934">
    <cfRule type="expression" dxfId="554" priority="9712">
      <formula>ISBLANK($V934)</formula>
    </cfRule>
  </conditionalFormatting>
  <conditionalFormatting sqref="AQ934:AT934">
    <cfRule type="expression" dxfId="553" priority="9711">
      <formula>ISBLANK($V934)</formula>
    </cfRule>
  </conditionalFormatting>
  <conditionalFormatting sqref="AQ933:AT933">
    <cfRule type="expression" dxfId="552" priority="9710">
      <formula>ISBLANK($V933)</formula>
    </cfRule>
  </conditionalFormatting>
  <conditionalFormatting sqref="AQ935:AT935">
    <cfRule type="expression" dxfId="551" priority="9690">
      <formula>ISBLANK($V935)</formula>
    </cfRule>
  </conditionalFormatting>
  <conditionalFormatting sqref="AQ935:AT935">
    <cfRule type="expression" dxfId="550" priority="9684">
      <formula>ISBLANK($V935)</formula>
    </cfRule>
  </conditionalFormatting>
  <conditionalFormatting sqref="AQ935:AT935">
    <cfRule type="expression" dxfId="549" priority="9683">
      <formula>ISBLANK($V935)</formula>
    </cfRule>
  </conditionalFormatting>
  <conditionalFormatting sqref="AQ934:AT934">
    <cfRule type="expression" dxfId="548" priority="9682">
      <formula>ISBLANK($V934)</formula>
    </cfRule>
  </conditionalFormatting>
  <conditionalFormatting sqref="AQ935:AT935">
    <cfRule type="expression" dxfId="547" priority="9661">
      <formula>ISBLANK($V935)</formula>
    </cfRule>
  </conditionalFormatting>
  <conditionalFormatting sqref="AQ935:AT935">
    <cfRule type="expression" dxfId="546" priority="9660">
      <formula>ISBLANK($V935)</formula>
    </cfRule>
  </conditionalFormatting>
  <conditionalFormatting sqref="AQ934:AT934">
    <cfRule type="expression" dxfId="545" priority="9659">
      <formula>ISBLANK($V934)</formula>
    </cfRule>
  </conditionalFormatting>
  <conditionalFormatting sqref="AQ935:AT935">
    <cfRule type="expression" dxfId="544" priority="9654">
      <formula>ISBLANK($V935)</formula>
    </cfRule>
  </conditionalFormatting>
  <conditionalFormatting sqref="AQ934:AT934">
    <cfRule type="expression" dxfId="543" priority="9653">
      <formula>ISBLANK($V934)</formula>
    </cfRule>
  </conditionalFormatting>
  <conditionalFormatting sqref="AQ934:AT934">
    <cfRule type="expression" dxfId="542" priority="9652">
      <formula>ISBLANK($V934)</formula>
    </cfRule>
  </conditionalFormatting>
  <conditionalFormatting sqref="AQ933:AT933">
    <cfRule type="expression" dxfId="541" priority="9651">
      <formula>ISBLANK($V933)</formula>
    </cfRule>
  </conditionalFormatting>
  <conditionalFormatting sqref="AQ935:AT935">
    <cfRule type="expression" dxfId="540" priority="9630">
      <formula>ISBLANK($V935)</formula>
    </cfRule>
  </conditionalFormatting>
  <conditionalFormatting sqref="AQ935:AT935">
    <cfRule type="expression" dxfId="539" priority="9629">
      <formula>ISBLANK($V935)</formula>
    </cfRule>
  </conditionalFormatting>
  <conditionalFormatting sqref="AQ934:AT934">
    <cfRule type="expression" dxfId="538" priority="9628">
      <formula>ISBLANK($V934)</formula>
    </cfRule>
  </conditionalFormatting>
  <conditionalFormatting sqref="AQ935:AT935">
    <cfRule type="expression" dxfId="537" priority="9623">
      <formula>ISBLANK($V935)</formula>
    </cfRule>
  </conditionalFormatting>
  <conditionalFormatting sqref="AQ934:AT934">
    <cfRule type="expression" dxfId="536" priority="9622">
      <formula>ISBLANK($V934)</formula>
    </cfRule>
  </conditionalFormatting>
  <conditionalFormatting sqref="AQ934:AT934">
    <cfRule type="expression" dxfId="535" priority="9621">
      <formula>ISBLANK($V934)</formula>
    </cfRule>
  </conditionalFormatting>
  <conditionalFormatting sqref="AQ933:AT933">
    <cfRule type="expression" dxfId="534" priority="9620">
      <formula>ISBLANK($V933)</formula>
    </cfRule>
  </conditionalFormatting>
  <conditionalFormatting sqref="AQ935:AT935">
    <cfRule type="expression" dxfId="533" priority="9604">
      <formula>ISBLANK($V935)</formula>
    </cfRule>
  </conditionalFormatting>
  <conditionalFormatting sqref="AQ935:AT935">
    <cfRule type="expression" dxfId="532" priority="9599">
      <formula>ISBLANK($V935)</formula>
    </cfRule>
  </conditionalFormatting>
  <conditionalFormatting sqref="AQ934:AT934">
    <cfRule type="expression" dxfId="531" priority="9598">
      <formula>ISBLANK($V934)</formula>
    </cfRule>
  </conditionalFormatting>
  <conditionalFormatting sqref="AQ934:AT934">
    <cfRule type="expression" dxfId="530" priority="9597">
      <formula>ISBLANK($V934)</formula>
    </cfRule>
  </conditionalFormatting>
  <conditionalFormatting sqref="AQ933:AT933">
    <cfRule type="expression" dxfId="529" priority="9596">
      <formula>ISBLANK($V933)</formula>
    </cfRule>
  </conditionalFormatting>
  <conditionalFormatting sqref="AQ935:AT935">
    <cfRule type="expression" dxfId="528" priority="9592">
      <formula>ISBLANK($V935)</formula>
    </cfRule>
  </conditionalFormatting>
  <conditionalFormatting sqref="AQ934:AT934">
    <cfRule type="expression" dxfId="527" priority="9591">
      <formula>ISBLANK($V934)</formula>
    </cfRule>
  </conditionalFormatting>
  <conditionalFormatting sqref="AQ933:AT933">
    <cfRule type="expression" dxfId="526" priority="9590">
      <formula>ISBLANK($V933)</formula>
    </cfRule>
  </conditionalFormatting>
  <conditionalFormatting sqref="AQ933:AT933">
    <cfRule type="expression" dxfId="525" priority="9589">
      <formula>ISBLANK($V933)</formula>
    </cfRule>
  </conditionalFormatting>
  <conditionalFormatting sqref="AQ932:AT932">
    <cfRule type="expression" dxfId="524" priority="9588">
      <formula>ISBLANK($V932)</formula>
    </cfRule>
  </conditionalFormatting>
  <conditionalFormatting sqref="AQ935:AT935">
    <cfRule type="expression" dxfId="523" priority="8858">
      <formula>ISBLANK($V935)</formula>
    </cfRule>
  </conditionalFormatting>
  <conditionalFormatting sqref="AQ935:AT935">
    <cfRule type="expression" dxfId="522" priority="8838">
      <formula>ISBLANK($V935)</formula>
    </cfRule>
  </conditionalFormatting>
  <conditionalFormatting sqref="AQ935:AT935">
    <cfRule type="expression" dxfId="521" priority="8832">
      <formula>ISBLANK($V935)</formula>
    </cfRule>
  </conditionalFormatting>
  <conditionalFormatting sqref="AQ935:AT935">
    <cfRule type="expression" dxfId="520" priority="8831">
      <formula>ISBLANK($V935)</formula>
    </cfRule>
  </conditionalFormatting>
  <conditionalFormatting sqref="AQ934:AT934">
    <cfRule type="expression" dxfId="519" priority="8830">
      <formula>ISBLANK($V934)</formula>
    </cfRule>
  </conditionalFormatting>
  <conditionalFormatting sqref="AQ935:AT935">
    <cfRule type="expression" dxfId="518" priority="8810">
      <formula>ISBLANK($V935)</formula>
    </cfRule>
  </conditionalFormatting>
  <conditionalFormatting sqref="AQ935:AT935">
    <cfRule type="expression" dxfId="517" priority="8804">
      <formula>ISBLANK($V935)</formula>
    </cfRule>
  </conditionalFormatting>
  <conditionalFormatting sqref="AQ935:AT935">
    <cfRule type="expression" dxfId="516" priority="8803">
      <formula>ISBLANK($V935)</formula>
    </cfRule>
  </conditionalFormatting>
  <conditionalFormatting sqref="AQ934:AT934">
    <cfRule type="expression" dxfId="515" priority="8802">
      <formula>ISBLANK($V934)</formula>
    </cfRule>
  </conditionalFormatting>
  <conditionalFormatting sqref="AQ935:AT935">
    <cfRule type="expression" dxfId="514" priority="8781">
      <formula>ISBLANK($V935)</formula>
    </cfRule>
  </conditionalFormatting>
  <conditionalFormatting sqref="AQ935:AT935">
    <cfRule type="expression" dxfId="513" priority="8780">
      <formula>ISBLANK($V935)</formula>
    </cfRule>
  </conditionalFormatting>
  <conditionalFormatting sqref="AQ934:AT934">
    <cfRule type="expression" dxfId="512" priority="8779">
      <formula>ISBLANK($V934)</formula>
    </cfRule>
  </conditionalFormatting>
  <conditionalFormatting sqref="AQ935:AT935">
    <cfRule type="expression" dxfId="511" priority="8774">
      <formula>ISBLANK($V935)</formula>
    </cfRule>
  </conditionalFormatting>
  <conditionalFormatting sqref="AQ934:AT934">
    <cfRule type="expression" dxfId="510" priority="8773">
      <formula>ISBLANK($V934)</formula>
    </cfRule>
  </conditionalFormatting>
  <conditionalFormatting sqref="AQ934:AT934">
    <cfRule type="expression" dxfId="509" priority="8772">
      <formula>ISBLANK($V934)</formula>
    </cfRule>
  </conditionalFormatting>
  <conditionalFormatting sqref="AQ933:AT933">
    <cfRule type="expression" dxfId="508" priority="8771">
      <formula>ISBLANK($V933)</formula>
    </cfRule>
  </conditionalFormatting>
  <conditionalFormatting sqref="AQ935:AT935">
    <cfRule type="expression" dxfId="507" priority="8751">
      <formula>ISBLANK($V935)</formula>
    </cfRule>
  </conditionalFormatting>
  <conditionalFormatting sqref="AQ935:AT935">
    <cfRule type="expression" dxfId="506" priority="8745">
      <formula>ISBLANK($V935)</formula>
    </cfRule>
  </conditionalFormatting>
  <conditionalFormatting sqref="AQ935:AT935">
    <cfRule type="expression" dxfId="505" priority="8744">
      <formula>ISBLANK($V935)</formula>
    </cfRule>
  </conditionalFormatting>
  <conditionalFormatting sqref="AQ934:AT934">
    <cfRule type="expression" dxfId="504" priority="8743">
      <formula>ISBLANK($V934)</formula>
    </cfRule>
  </conditionalFormatting>
  <conditionalFormatting sqref="AQ935:AT935">
    <cfRule type="expression" dxfId="503" priority="8722">
      <formula>ISBLANK($V935)</formula>
    </cfRule>
  </conditionalFormatting>
  <conditionalFormatting sqref="AQ935:AT935">
    <cfRule type="expression" dxfId="502" priority="8721">
      <formula>ISBLANK($V935)</formula>
    </cfRule>
  </conditionalFormatting>
  <conditionalFormatting sqref="AQ934:AT934">
    <cfRule type="expression" dxfId="501" priority="8720">
      <formula>ISBLANK($V934)</formula>
    </cfRule>
  </conditionalFormatting>
  <conditionalFormatting sqref="AQ935:AT935">
    <cfRule type="expression" dxfId="500" priority="8715">
      <formula>ISBLANK($V935)</formula>
    </cfRule>
  </conditionalFormatting>
  <conditionalFormatting sqref="AQ934:AT934">
    <cfRule type="expression" dxfId="499" priority="8714">
      <formula>ISBLANK($V934)</formula>
    </cfRule>
  </conditionalFormatting>
  <conditionalFormatting sqref="AQ934:AT934">
    <cfRule type="expression" dxfId="498" priority="8713">
      <formula>ISBLANK($V934)</formula>
    </cfRule>
  </conditionalFormatting>
  <conditionalFormatting sqref="AQ933:AT933">
    <cfRule type="expression" dxfId="497" priority="8712">
      <formula>ISBLANK($V933)</formula>
    </cfRule>
  </conditionalFormatting>
  <conditionalFormatting sqref="AQ935:AT935">
    <cfRule type="expression" dxfId="496" priority="8691">
      <formula>ISBLANK($V935)</formula>
    </cfRule>
  </conditionalFormatting>
  <conditionalFormatting sqref="AQ935:AT935">
    <cfRule type="expression" dxfId="495" priority="8690">
      <formula>ISBLANK($V935)</formula>
    </cfRule>
  </conditionalFormatting>
  <conditionalFormatting sqref="AQ934:AT934">
    <cfRule type="expression" dxfId="494" priority="8689">
      <formula>ISBLANK($V934)</formula>
    </cfRule>
  </conditionalFormatting>
  <conditionalFormatting sqref="AQ935:AT935">
    <cfRule type="expression" dxfId="493" priority="8684">
      <formula>ISBLANK($V935)</formula>
    </cfRule>
  </conditionalFormatting>
  <conditionalFormatting sqref="AQ934:AT934">
    <cfRule type="expression" dxfId="492" priority="8683">
      <formula>ISBLANK($V934)</formula>
    </cfRule>
  </conditionalFormatting>
  <conditionalFormatting sqref="AQ934:AT934">
    <cfRule type="expression" dxfId="491" priority="8682">
      <formula>ISBLANK($V934)</formula>
    </cfRule>
  </conditionalFormatting>
  <conditionalFormatting sqref="AQ933:AT933">
    <cfRule type="expression" dxfId="490" priority="8681">
      <formula>ISBLANK($V933)</formula>
    </cfRule>
  </conditionalFormatting>
  <conditionalFormatting sqref="AQ935:AT935">
    <cfRule type="expression" dxfId="489" priority="8665">
      <formula>ISBLANK($V935)</formula>
    </cfRule>
  </conditionalFormatting>
  <conditionalFormatting sqref="AQ935:AT935">
    <cfRule type="expression" dxfId="488" priority="8660">
      <formula>ISBLANK($V935)</formula>
    </cfRule>
  </conditionalFormatting>
  <conditionalFormatting sqref="AQ934:AT934">
    <cfRule type="expression" dxfId="487" priority="8659">
      <formula>ISBLANK($V934)</formula>
    </cfRule>
  </conditionalFormatting>
  <conditionalFormatting sqref="AQ934:AT934">
    <cfRule type="expression" dxfId="486" priority="8658">
      <formula>ISBLANK($V934)</formula>
    </cfRule>
  </conditionalFormatting>
  <conditionalFormatting sqref="AQ933:AT933">
    <cfRule type="expression" dxfId="485" priority="8657">
      <formula>ISBLANK($V933)</formula>
    </cfRule>
  </conditionalFormatting>
  <conditionalFormatting sqref="AQ935:AT935">
    <cfRule type="expression" dxfId="484" priority="8653">
      <formula>ISBLANK($V935)</formula>
    </cfRule>
  </conditionalFormatting>
  <conditionalFormatting sqref="AQ934:AT934">
    <cfRule type="expression" dxfId="483" priority="8652">
      <formula>ISBLANK($V934)</formula>
    </cfRule>
  </conditionalFormatting>
  <conditionalFormatting sqref="AQ933:AT933">
    <cfRule type="expression" dxfId="482" priority="8651">
      <formula>ISBLANK($V933)</formula>
    </cfRule>
  </conditionalFormatting>
  <conditionalFormatting sqref="AQ933:AT933">
    <cfRule type="expression" dxfId="481" priority="8650">
      <formula>ISBLANK($V933)</formula>
    </cfRule>
  </conditionalFormatting>
  <conditionalFormatting sqref="AQ932:AT932">
    <cfRule type="expression" dxfId="480" priority="8649">
      <formula>ISBLANK($V932)</formula>
    </cfRule>
  </conditionalFormatting>
  <conditionalFormatting sqref="AQ935:AT935">
    <cfRule type="expression" dxfId="479" priority="8602">
      <formula>ISBLANK($V935)</formula>
    </cfRule>
  </conditionalFormatting>
  <conditionalFormatting sqref="AQ935:AT935">
    <cfRule type="expression" dxfId="478" priority="8577">
      <formula>ISBLANK($V935)</formula>
    </cfRule>
  </conditionalFormatting>
  <conditionalFormatting sqref="AQ935:AT935">
    <cfRule type="expression" dxfId="477" priority="8557">
      <formula>ISBLANK($V935)</formula>
    </cfRule>
  </conditionalFormatting>
  <conditionalFormatting sqref="AQ935:AT935">
    <cfRule type="expression" dxfId="476" priority="8551">
      <formula>ISBLANK($V935)</formula>
    </cfRule>
  </conditionalFormatting>
  <conditionalFormatting sqref="AQ935:AT935">
    <cfRule type="expression" dxfId="475" priority="8550">
      <formula>ISBLANK($V935)</formula>
    </cfRule>
  </conditionalFormatting>
  <conditionalFormatting sqref="AQ934:AT934">
    <cfRule type="expression" dxfId="474" priority="8549">
      <formula>ISBLANK($V934)</formula>
    </cfRule>
  </conditionalFormatting>
  <conditionalFormatting sqref="AQ935:AT935">
    <cfRule type="expression" dxfId="473" priority="8524">
      <formula>ISBLANK($V935)</formula>
    </cfRule>
  </conditionalFormatting>
  <conditionalFormatting sqref="AQ935:AT935">
    <cfRule type="expression" dxfId="472" priority="8504">
      <formula>ISBLANK($V935)</formula>
    </cfRule>
  </conditionalFormatting>
  <conditionalFormatting sqref="AQ935:AT935">
    <cfRule type="expression" dxfId="471" priority="8498">
      <formula>ISBLANK($V935)</formula>
    </cfRule>
  </conditionalFormatting>
  <conditionalFormatting sqref="AQ935:AT935">
    <cfRule type="expression" dxfId="470" priority="8497">
      <formula>ISBLANK($V935)</formula>
    </cfRule>
  </conditionalFormatting>
  <conditionalFormatting sqref="AQ934:AT934">
    <cfRule type="expression" dxfId="469" priority="8496">
      <formula>ISBLANK($V934)</formula>
    </cfRule>
  </conditionalFormatting>
  <conditionalFormatting sqref="AQ935:AT935">
    <cfRule type="expression" dxfId="468" priority="8476">
      <formula>ISBLANK($V935)</formula>
    </cfRule>
  </conditionalFormatting>
  <conditionalFormatting sqref="AQ935:AT935">
    <cfRule type="expression" dxfId="467" priority="8470">
      <formula>ISBLANK($V935)</formula>
    </cfRule>
  </conditionalFormatting>
  <conditionalFormatting sqref="AQ935:AT935">
    <cfRule type="expression" dxfId="466" priority="8469">
      <formula>ISBLANK($V935)</formula>
    </cfRule>
  </conditionalFormatting>
  <conditionalFormatting sqref="AQ934:AT934">
    <cfRule type="expression" dxfId="465" priority="8468">
      <formula>ISBLANK($V934)</formula>
    </cfRule>
  </conditionalFormatting>
  <conditionalFormatting sqref="AQ935:AT935">
    <cfRule type="expression" dxfId="464" priority="8447">
      <formula>ISBLANK($V935)</formula>
    </cfRule>
  </conditionalFormatting>
  <conditionalFormatting sqref="AQ935:AT935">
    <cfRule type="expression" dxfId="463" priority="8446">
      <formula>ISBLANK($V935)</formula>
    </cfRule>
  </conditionalFormatting>
  <conditionalFormatting sqref="AQ934:AT934">
    <cfRule type="expression" dxfId="462" priority="8445">
      <formula>ISBLANK($V934)</formula>
    </cfRule>
  </conditionalFormatting>
  <conditionalFormatting sqref="AQ935:AT935">
    <cfRule type="expression" dxfId="461" priority="8440">
      <formula>ISBLANK($V935)</formula>
    </cfRule>
  </conditionalFormatting>
  <conditionalFormatting sqref="AQ934:AT934">
    <cfRule type="expression" dxfId="460" priority="8439">
      <formula>ISBLANK($V934)</formula>
    </cfRule>
  </conditionalFormatting>
  <conditionalFormatting sqref="AQ934:AT934">
    <cfRule type="expression" dxfId="459" priority="8438">
      <formula>ISBLANK($V934)</formula>
    </cfRule>
  </conditionalFormatting>
  <conditionalFormatting sqref="AQ933:AT933">
    <cfRule type="expression" dxfId="458" priority="8437">
      <formula>ISBLANK($V933)</formula>
    </cfRule>
  </conditionalFormatting>
  <conditionalFormatting sqref="AQ935:AT935">
    <cfRule type="expression" dxfId="457" priority="7199">
      <formula>ISBLANK($V935)</formula>
    </cfRule>
  </conditionalFormatting>
  <conditionalFormatting sqref="AQ935:AT935">
    <cfRule type="expression" dxfId="456" priority="7174">
      <formula>ISBLANK($V935)</formula>
    </cfRule>
  </conditionalFormatting>
  <conditionalFormatting sqref="AQ935:AT935">
    <cfRule type="expression" dxfId="455" priority="7154">
      <formula>ISBLANK($V935)</formula>
    </cfRule>
  </conditionalFormatting>
  <conditionalFormatting sqref="AQ935:AT935">
    <cfRule type="expression" dxfId="454" priority="7148">
      <formula>ISBLANK($V935)</formula>
    </cfRule>
  </conditionalFormatting>
  <conditionalFormatting sqref="AQ935:AT935">
    <cfRule type="expression" dxfId="453" priority="7147">
      <formula>ISBLANK($V935)</formula>
    </cfRule>
  </conditionalFormatting>
  <conditionalFormatting sqref="AQ934:AT934">
    <cfRule type="expression" dxfId="452" priority="7146">
      <formula>ISBLANK($V934)</formula>
    </cfRule>
  </conditionalFormatting>
  <conditionalFormatting sqref="AQ935:AT935">
    <cfRule type="expression" dxfId="451" priority="7121">
      <formula>ISBLANK($V935)</formula>
    </cfRule>
  </conditionalFormatting>
  <conditionalFormatting sqref="AQ935:AT935">
    <cfRule type="expression" dxfId="450" priority="7101">
      <formula>ISBLANK($V935)</formula>
    </cfRule>
  </conditionalFormatting>
  <conditionalFormatting sqref="AQ935:AT935">
    <cfRule type="expression" dxfId="449" priority="7095">
      <formula>ISBLANK($V935)</formula>
    </cfRule>
  </conditionalFormatting>
  <conditionalFormatting sqref="AQ935:AT935">
    <cfRule type="expression" dxfId="448" priority="7094">
      <formula>ISBLANK($V935)</formula>
    </cfRule>
  </conditionalFormatting>
  <conditionalFormatting sqref="AQ934:AT934">
    <cfRule type="expression" dxfId="447" priority="7093">
      <formula>ISBLANK($V934)</formula>
    </cfRule>
  </conditionalFormatting>
  <conditionalFormatting sqref="AQ935:AT935">
    <cfRule type="expression" dxfId="446" priority="7073">
      <formula>ISBLANK($V935)</formula>
    </cfRule>
  </conditionalFormatting>
  <conditionalFormatting sqref="AQ935:AT935">
    <cfRule type="expression" dxfId="445" priority="7067">
      <formula>ISBLANK($V935)</formula>
    </cfRule>
  </conditionalFormatting>
  <conditionalFormatting sqref="AQ935:AT935">
    <cfRule type="expression" dxfId="444" priority="7066">
      <formula>ISBLANK($V935)</formula>
    </cfRule>
  </conditionalFormatting>
  <conditionalFormatting sqref="AQ934:AT934">
    <cfRule type="expression" dxfId="443" priority="7065">
      <formula>ISBLANK($V934)</formula>
    </cfRule>
  </conditionalFormatting>
  <conditionalFormatting sqref="AQ935:AT935">
    <cfRule type="expression" dxfId="442" priority="7044">
      <formula>ISBLANK($V935)</formula>
    </cfRule>
  </conditionalFormatting>
  <conditionalFormatting sqref="AQ935:AT935">
    <cfRule type="expression" dxfId="441" priority="7043">
      <formula>ISBLANK($V935)</formula>
    </cfRule>
  </conditionalFormatting>
  <conditionalFormatting sqref="AQ934:AT934">
    <cfRule type="expression" dxfId="440" priority="7042">
      <formula>ISBLANK($V934)</formula>
    </cfRule>
  </conditionalFormatting>
  <conditionalFormatting sqref="AQ935:AT935">
    <cfRule type="expression" dxfId="439" priority="7037">
      <formula>ISBLANK($V935)</formula>
    </cfRule>
  </conditionalFormatting>
  <conditionalFormatting sqref="AQ934:AT934">
    <cfRule type="expression" dxfId="438" priority="7036">
      <formula>ISBLANK($V934)</formula>
    </cfRule>
  </conditionalFormatting>
  <conditionalFormatting sqref="AQ934:AT934">
    <cfRule type="expression" dxfId="437" priority="7035">
      <formula>ISBLANK($V934)</formula>
    </cfRule>
  </conditionalFormatting>
  <conditionalFormatting sqref="AQ933:AT933">
    <cfRule type="expression" dxfId="436" priority="7034">
      <formula>ISBLANK($V933)</formula>
    </cfRule>
  </conditionalFormatting>
  <conditionalFormatting sqref="AQ935:AT935">
    <cfRule type="expression" dxfId="435" priority="6949">
      <formula>ISBLANK($V935)</formula>
    </cfRule>
  </conditionalFormatting>
  <conditionalFormatting sqref="AQ935:AT935">
    <cfRule type="expression" dxfId="434" priority="6902">
      <formula>ISBLANK($V935)</formula>
    </cfRule>
  </conditionalFormatting>
  <conditionalFormatting sqref="AQ935:AT935">
    <cfRule type="expression" dxfId="433" priority="6877">
      <formula>ISBLANK($V935)</formula>
    </cfRule>
  </conditionalFormatting>
  <conditionalFormatting sqref="AQ935:AT935">
    <cfRule type="expression" dxfId="432" priority="6857">
      <formula>ISBLANK($V935)</formula>
    </cfRule>
  </conditionalFormatting>
  <conditionalFormatting sqref="AQ935:AT935">
    <cfRule type="expression" dxfId="431" priority="6851">
      <formula>ISBLANK($V935)</formula>
    </cfRule>
  </conditionalFormatting>
  <conditionalFormatting sqref="AQ935:AT935">
    <cfRule type="expression" dxfId="430" priority="6850">
      <formula>ISBLANK($V935)</formula>
    </cfRule>
  </conditionalFormatting>
  <conditionalFormatting sqref="AQ934:AT934">
    <cfRule type="expression" dxfId="429" priority="6849">
      <formula>ISBLANK($V934)</formula>
    </cfRule>
  </conditionalFormatting>
  <conditionalFormatting sqref="AQ935:AT935">
    <cfRule type="expression" dxfId="428" priority="6764">
      <formula>ISBLANK($V935)</formula>
    </cfRule>
  </conditionalFormatting>
  <conditionalFormatting sqref="AQ935:AT935">
    <cfRule type="expression" dxfId="427" priority="6717">
      <formula>ISBLANK($V935)</formula>
    </cfRule>
  </conditionalFormatting>
  <conditionalFormatting sqref="AQ935:AT935">
    <cfRule type="expression" dxfId="426" priority="6692">
      <formula>ISBLANK($V935)</formula>
    </cfRule>
  </conditionalFormatting>
  <conditionalFormatting sqref="AQ935:AT935">
    <cfRule type="expression" dxfId="425" priority="6672">
      <formula>ISBLANK($V935)</formula>
    </cfRule>
  </conditionalFormatting>
  <conditionalFormatting sqref="AQ935:AT935">
    <cfRule type="expression" dxfId="424" priority="6666">
      <formula>ISBLANK($V935)</formula>
    </cfRule>
  </conditionalFormatting>
  <conditionalFormatting sqref="AQ935:AT935">
    <cfRule type="expression" dxfId="423" priority="6665">
      <formula>ISBLANK($V935)</formula>
    </cfRule>
  </conditionalFormatting>
  <conditionalFormatting sqref="AQ934:AT934">
    <cfRule type="expression" dxfId="422" priority="6664">
      <formula>ISBLANK($V934)</formula>
    </cfRule>
  </conditionalFormatting>
  <conditionalFormatting sqref="AQ935:AT935">
    <cfRule type="expression" dxfId="421" priority="6515">
      <formula>ISBLANK($V935)</formula>
    </cfRule>
  </conditionalFormatting>
  <conditionalFormatting sqref="AQ935:AT935">
    <cfRule type="expression" dxfId="420" priority="3857">
      <formula>ISBLANK($V935)</formula>
    </cfRule>
  </conditionalFormatting>
  <conditionalFormatting sqref="AQ935:AT935">
    <cfRule type="expression" dxfId="419" priority="3856">
      <formula>ISBLANK($V935)</formula>
    </cfRule>
  </conditionalFormatting>
  <conditionalFormatting sqref="AQ934:AT934">
    <cfRule type="expression" dxfId="418" priority="3855">
      <formula>ISBLANK($V934)</formula>
    </cfRule>
  </conditionalFormatting>
  <conditionalFormatting sqref="AQ935:AT935">
    <cfRule type="expression" dxfId="417" priority="3850">
      <formula>ISBLANK($V935)</formula>
    </cfRule>
  </conditionalFormatting>
  <conditionalFormatting sqref="AQ934:AT934">
    <cfRule type="expression" dxfId="416" priority="3849">
      <formula>ISBLANK($V934)</formula>
    </cfRule>
  </conditionalFormatting>
  <conditionalFormatting sqref="AQ934:AT934">
    <cfRule type="expression" dxfId="415" priority="3848">
      <formula>ISBLANK($V934)</formula>
    </cfRule>
  </conditionalFormatting>
  <conditionalFormatting sqref="AQ933:AT933">
    <cfRule type="expression" dxfId="414" priority="3847">
      <formula>ISBLANK($V933)</formula>
    </cfRule>
  </conditionalFormatting>
  <conditionalFormatting sqref="AQ935:AT935">
    <cfRule type="expression" dxfId="413" priority="3832">
      <formula>ISBLANK($V935)</formula>
    </cfRule>
  </conditionalFormatting>
  <conditionalFormatting sqref="AQ935:AT935">
    <cfRule type="expression" dxfId="412" priority="3827">
      <formula>ISBLANK($V935)</formula>
    </cfRule>
  </conditionalFormatting>
  <conditionalFormatting sqref="AQ934:AT934">
    <cfRule type="expression" dxfId="411" priority="3826">
      <formula>ISBLANK($V934)</formula>
    </cfRule>
  </conditionalFormatting>
  <conditionalFormatting sqref="AQ934:AT934">
    <cfRule type="expression" dxfId="410" priority="3825">
      <formula>ISBLANK($V934)</formula>
    </cfRule>
  </conditionalFormatting>
  <conditionalFormatting sqref="AQ933:AT933">
    <cfRule type="expression" dxfId="409" priority="3824">
      <formula>ISBLANK($V933)</formula>
    </cfRule>
  </conditionalFormatting>
  <conditionalFormatting sqref="AQ935:AT935">
    <cfRule type="expression" dxfId="408" priority="3820">
      <formula>ISBLANK($V935)</formula>
    </cfRule>
  </conditionalFormatting>
  <conditionalFormatting sqref="AQ934:AT934">
    <cfRule type="expression" dxfId="407" priority="3819">
      <formula>ISBLANK($V934)</formula>
    </cfRule>
  </conditionalFormatting>
  <conditionalFormatting sqref="AQ933:AT933">
    <cfRule type="expression" dxfId="406" priority="3818">
      <formula>ISBLANK($V933)</formula>
    </cfRule>
  </conditionalFormatting>
  <conditionalFormatting sqref="AQ933:AT933">
    <cfRule type="expression" dxfId="405" priority="3817">
      <formula>ISBLANK($V933)</formula>
    </cfRule>
  </conditionalFormatting>
  <conditionalFormatting sqref="AQ932:AT932">
    <cfRule type="expression" dxfId="404" priority="3816">
      <formula>ISBLANK($V932)</formula>
    </cfRule>
  </conditionalFormatting>
  <conditionalFormatting sqref="AQ935:AT935">
    <cfRule type="expression" dxfId="403" priority="3801">
      <formula>ISBLANK($V935)</formula>
    </cfRule>
  </conditionalFormatting>
  <conditionalFormatting sqref="AQ935:AT935">
    <cfRule type="expression" dxfId="402" priority="3796">
      <formula>ISBLANK($V935)</formula>
    </cfRule>
  </conditionalFormatting>
  <conditionalFormatting sqref="AQ934:AT934">
    <cfRule type="expression" dxfId="401" priority="3795">
      <formula>ISBLANK($V934)</formula>
    </cfRule>
  </conditionalFormatting>
  <conditionalFormatting sqref="AQ934:AT934">
    <cfRule type="expression" dxfId="400" priority="3794">
      <formula>ISBLANK($V934)</formula>
    </cfRule>
  </conditionalFormatting>
  <conditionalFormatting sqref="AQ933:AT933">
    <cfRule type="expression" dxfId="399" priority="3793">
      <formula>ISBLANK($V933)</formula>
    </cfRule>
  </conditionalFormatting>
  <conditionalFormatting sqref="AQ935:AT935">
    <cfRule type="expression" dxfId="398" priority="3789">
      <formula>ISBLANK($V935)</formula>
    </cfRule>
  </conditionalFormatting>
  <conditionalFormatting sqref="AQ934:AT934">
    <cfRule type="expression" dxfId="397" priority="3788">
      <formula>ISBLANK($V934)</formula>
    </cfRule>
  </conditionalFormatting>
  <conditionalFormatting sqref="AQ933:AT933">
    <cfRule type="expression" dxfId="396" priority="3787">
      <formula>ISBLANK($V933)</formula>
    </cfRule>
  </conditionalFormatting>
  <conditionalFormatting sqref="AQ933:AT933">
    <cfRule type="expression" dxfId="395" priority="3786">
      <formula>ISBLANK($V933)</formula>
    </cfRule>
  </conditionalFormatting>
  <conditionalFormatting sqref="AQ932:AT932">
    <cfRule type="expression" dxfId="394" priority="3785">
      <formula>ISBLANK($V932)</formula>
    </cfRule>
  </conditionalFormatting>
  <conditionalFormatting sqref="AQ935:AT935">
    <cfRule type="expression" dxfId="393" priority="3777">
      <formula>ISBLANK($V935)</formula>
    </cfRule>
  </conditionalFormatting>
  <conditionalFormatting sqref="AQ935:AT935">
    <cfRule type="expression" dxfId="392" priority="3771">
      <formula>ISBLANK($V935)</formula>
    </cfRule>
  </conditionalFormatting>
  <conditionalFormatting sqref="AQ935:AT935">
    <cfRule type="expression" dxfId="391" priority="3770">
      <formula>ISBLANK($V935)</formula>
    </cfRule>
  </conditionalFormatting>
  <conditionalFormatting sqref="AQ934:AT934">
    <cfRule type="expression" dxfId="390" priority="3769">
      <formula>ISBLANK($V934)</formula>
    </cfRule>
  </conditionalFormatting>
  <conditionalFormatting sqref="AQ935:AT935">
    <cfRule type="expression" dxfId="389" priority="3765">
      <formula>ISBLANK($V935)</formula>
    </cfRule>
  </conditionalFormatting>
  <conditionalFormatting sqref="AQ934:AT934">
    <cfRule type="expression" dxfId="388" priority="3764">
      <formula>ISBLANK($V934)</formula>
    </cfRule>
  </conditionalFormatting>
  <conditionalFormatting sqref="AQ933:AT933">
    <cfRule type="expression" dxfId="387" priority="3763">
      <formula>ISBLANK($V933)</formula>
    </cfRule>
  </conditionalFormatting>
  <conditionalFormatting sqref="AQ933:AT933">
    <cfRule type="expression" dxfId="386" priority="3762">
      <formula>ISBLANK($V933)</formula>
    </cfRule>
  </conditionalFormatting>
  <conditionalFormatting sqref="AQ932:AT932">
    <cfRule type="expression" dxfId="385" priority="3761">
      <formula>ISBLANK($V932)</formula>
    </cfRule>
  </conditionalFormatting>
  <conditionalFormatting sqref="AQ935:AT935">
    <cfRule type="expression" dxfId="384" priority="3759">
      <formula>ISBLANK($V935)</formula>
    </cfRule>
  </conditionalFormatting>
  <conditionalFormatting sqref="AQ935:AT935">
    <cfRule type="expression" dxfId="383" priority="3758">
      <formula>ISBLANK($V935)</formula>
    </cfRule>
  </conditionalFormatting>
  <conditionalFormatting sqref="AQ934:AT934">
    <cfRule type="expression" dxfId="382" priority="3757">
      <formula>ISBLANK($V934)</formula>
    </cfRule>
  </conditionalFormatting>
  <conditionalFormatting sqref="AQ933:AT933">
    <cfRule type="expression" dxfId="381" priority="3756">
      <formula>ISBLANK($V933)</formula>
    </cfRule>
  </conditionalFormatting>
  <conditionalFormatting sqref="AQ932:AT932">
    <cfRule type="expression" dxfId="380" priority="3755">
      <formula>ISBLANK($V932)</formula>
    </cfRule>
  </conditionalFormatting>
  <conditionalFormatting sqref="AQ932:AT932">
    <cfRule type="expression" dxfId="379" priority="3754">
      <formula>ISBLANK($V932)</formula>
    </cfRule>
  </conditionalFormatting>
  <conditionalFormatting sqref="AQ931:AT931">
    <cfRule type="expression" dxfId="378" priority="3753">
      <formula>ISBLANK($V931)</formula>
    </cfRule>
  </conditionalFormatting>
  <conditionalFormatting sqref="AQ935:AT935">
    <cfRule type="expression" dxfId="377" priority="3738">
      <formula>ISBLANK($V935)</formula>
    </cfRule>
  </conditionalFormatting>
  <conditionalFormatting sqref="AQ935:AT935">
    <cfRule type="expression" dxfId="376" priority="3733">
      <formula>ISBLANK($V935)</formula>
    </cfRule>
  </conditionalFormatting>
  <conditionalFormatting sqref="AQ934:AT934">
    <cfRule type="expression" dxfId="375" priority="3732">
      <formula>ISBLANK($V934)</formula>
    </cfRule>
  </conditionalFormatting>
  <conditionalFormatting sqref="AQ934:AT934">
    <cfRule type="expression" dxfId="374" priority="3731">
      <formula>ISBLANK($V934)</formula>
    </cfRule>
  </conditionalFormatting>
  <conditionalFormatting sqref="AQ933:AT933">
    <cfRule type="expression" dxfId="373" priority="3730">
      <formula>ISBLANK($V933)</formula>
    </cfRule>
  </conditionalFormatting>
  <conditionalFormatting sqref="AQ935:AT935">
    <cfRule type="expression" dxfId="372" priority="3726">
      <formula>ISBLANK($V935)</formula>
    </cfRule>
  </conditionalFormatting>
  <conditionalFormatting sqref="AQ934:AT934">
    <cfRule type="expression" dxfId="371" priority="3725">
      <formula>ISBLANK($V934)</formula>
    </cfRule>
  </conditionalFormatting>
  <conditionalFormatting sqref="AQ933:AT933">
    <cfRule type="expression" dxfId="370" priority="3724">
      <formula>ISBLANK($V933)</formula>
    </cfRule>
  </conditionalFormatting>
  <conditionalFormatting sqref="AQ933:AT933">
    <cfRule type="expression" dxfId="369" priority="3723">
      <formula>ISBLANK($V933)</formula>
    </cfRule>
  </conditionalFormatting>
  <conditionalFormatting sqref="AQ932:AT932">
    <cfRule type="expression" dxfId="368" priority="3722">
      <formula>ISBLANK($V932)</formula>
    </cfRule>
  </conditionalFormatting>
  <conditionalFormatting sqref="AQ935:AT935">
    <cfRule type="expression" dxfId="367" priority="3714">
      <formula>ISBLANK($V935)</formula>
    </cfRule>
  </conditionalFormatting>
  <conditionalFormatting sqref="AQ935:AT935">
    <cfRule type="expression" dxfId="366" priority="3708">
      <formula>ISBLANK($V935)</formula>
    </cfRule>
  </conditionalFormatting>
  <conditionalFormatting sqref="AQ935:AT935">
    <cfRule type="expression" dxfId="365" priority="3707">
      <formula>ISBLANK($V935)</formula>
    </cfRule>
  </conditionalFormatting>
  <conditionalFormatting sqref="AQ934:AT934">
    <cfRule type="expression" dxfId="364" priority="3706">
      <formula>ISBLANK($V934)</formula>
    </cfRule>
  </conditionalFormatting>
  <conditionalFormatting sqref="AQ935:AT935">
    <cfRule type="expression" dxfId="363" priority="3702">
      <formula>ISBLANK($V935)</formula>
    </cfRule>
  </conditionalFormatting>
  <conditionalFormatting sqref="AQ934:AT934">
    <cfRule type="expression" dxfId="362" priority="3701">
      <formula>ISBLANK($V934)</formula>
    </cfRule>
  </conditionalFormatting>
  <conditionalFormatting sqref="AQ933:AT933">
    <cfRule type="expression" dxfId="361" priority="3700">
      <formula>ISBLANK($V933)</formula>
    </cfRule>
  </conditionalFormatting>
  <conditionalFormatting sqref="AQ933:AT933">
    <cfRule type="expression" dxfId="360" priority="3699">
      <formula>ISBLANK($V933)</formula>
    </cfRule>
  </conditionalFormatting>
  <conditionalFormatting sqref="AQ932:AT932">
    <cfRule type="expression" dxfId="359" priority="3698">
      <formula>ISBLANK($V932)</formula>
    </cfRule>
  </conditionalFormatting>
  <conditionalFormatting sqref="AQ935:AT935">
    <cfRule type="expression" dxfId="358" priority="3696">
      <formula>ISBLANK($V935)</formula>
    </cfRule>
  </conditionalFormatting>
  <conditionalFormatting sqref="AQ935:AT935">
    <cfRule type="expression" dxfId="357" priority="3695">
      <formula>ISBLANK($V935)</formula>
    </cfRule>
  </conditionalFormatting>
  <conditionalFormatting sqref="AQ934:AT934">
    <cfRule type="expression" dxfId="356" priority="3694">
      <formula>ISBLANK($V934)</formula>
    </cfRule>
  </conditionalFormatting>
  <conditionalFormatting sqref="AQ933:AT933">
    <cfRule type="expression" dxfId="355" priority="3693">
      <formula>ISBLANK($V933)</formula>
    </cfRule>
  </conditionalFormatting>
  <conditionalFormatting sqref="AQ932:AT932">
    <cfRule type="expression" dxfId="354" priority="3692">
      <formula>ISBLANK($V932)</formula>
    </cfRule>
  </conditionalFormatting>
  <conditionalFormatting sqref="AQ932:AT932">
    <cfRule type="expression" dxfId="353" priority="3691">
      <formula>ISBLANK($V932)</formula>
    </cfRule>
  </conditionalFormatting>
  <conditionalFormatting sqref="AQ931:AT931">
    <cfRule type="expression" dxfId="352" priority="3690">
      <formula>ISBLANK($V931)</formula>
    </cfRule>
  </conditionalFormatting>
  <conditionalFormatting sqref="AQ935:AT935">
    <cfRule type="expression" dxfId="351" priority="3682">
      <formula>ISBLANK($V935)</formula>
    </cfRule>
  </conditionalFormatting>
  <conditionalFormatting sqref="AQ935:AT935">
    <cfRule type="expression" dxfId="350" priority="3676">
      <formula>ISBLANK($V935)</formula>
    </cfRule>
  </conditionalFormatting>
  <conditionalFormatting sqref="AQ935:AT935">
    <cfRule type="expression" dxfId="349" priority="3675">
      <formula>ISBLANK($V935)</formula>
    </cfRule>
  </conditionalFormatting>
  <conditionalFormatting sqref="AQ934:AT934">
    <cfRule type="expression" dxfId="348" priority="3674">
      <formula>ISBLANK($V934)</formula>
    </cfRule>
  </conditionalFormatting>
  <conditionalFormatting sqref="AQ935:AT935">
    <cfRule type="expression" dxfId="347" priority="3670">
      <formula>ISBLANK($V935)</formula>
    </cfRule>
  </conditionalFormatting>
  <conditionalFormatting sqref="AQ934:AT934">
    <cfRule type="expression" dxfId="346" priority="3669">
      <formula>ISBLANK($V934)</formula>
    </cfRule>
  </conditionalFormatting>
  <conditionalFormatting sqref="AQ933:AT933">
    <cfRule type="expression" dxfId="345" priority="3668">
      <formula>ISBLANK($V933)</formula>
    </cfRule>
  </conditionalFormatting>
  <conditionalFormatting sqref="AQ933:AT933">
    <cfRule type="expression" dxfId="344" priority="3667">
      <formula>ISBLANK($V933)</formula>
    </cfRule>
  </conditionalFormatting>
  <conditionalFormatting sqref="AQ932:AT932">
    <cfRule type="expression" dxfId="343" priority="3666">
      <formula>ISBLANK($V932)</formula>
    </cfRule>
  </conditionalFormatting>
  <conditionalFormatting sqref="AQ935:AT935">
    <cfRule type="expression" dxfId="342" priority="3664">
      <formula>ISBLANK($V935)</formula>
    </cfRule>
  </conditionalFormatting>
  <conditionalFormatting sqref="AQ935:AT935">
    <cfRule type="expression" dxfId="341" priority="3663">
      <formula>ISBLANK($V935)</formula>
    </cfRule>
  </conditionalFormatting>
  <conditionalFormatting sqref="AQ934:AT934">
    <cfRule type="expression" dxfId="340" priority="3662">
      <formula>ISBLANK($V934)</formula>
    </cfRule>
  </conditionalFormatting>
  <conditionalFormatting sqref="AQ933:AT933">
    <cfRule type="expression" dxfId="339" priority="3661">
      <formula>ISBLANK($V933)</formula>
    </cfRule>
  </conditionalFormatting>
  <conditionalFormatting sqref="AQ932:AT932">
    <cfRule type="expression" dxfId="338" priority="3660">
      <formula>ISBLANK($V932)</formula>
    </cfRule>
  </conditionalFormatting>
  <conditionalFormatting sqref="AQ932:AT932">
    <cfRule type="expression" dxfId="337" priority="3659">
      <formula>ISBLANK($V932)</formula>
    </cfRule>
  </conditionalFormatting>
  <conditionalFormatting sqref="AQ931:AT931">
    <cfRule type="expression" dxfId="336" priority="3658">
      <formula>ISBLANK($V931)</formula>
    </cfRule>
  </conditionalFormatting>
  <conditionalFormatting sqref="AQ935:AT935">
    <cfRule type="expression" dxfId="335" priority="3652">
      <formula>ISBLANK($V935)</formula>
    </cfRule>
  </conditionalFormatting>
  <conditionalFormatting sqref="AQ935:AT935">
    <cfRule type="expression" dxfId="334" priority="3651">
      <formula>ISBLANK($V935)</formula>
    </cfRule>
  </conditionalFormatting>
  <conditionalFormatting sqref="AQ934:AT934">
    <cfRule type="expression" dxfId="333" priority="3650">
      <formula>ISBLANK($V934)</formula>
    </cfRule>
  </conditionalFormatting>
  <conditionalFormatting sqref="AQ935:AT935">
    <cfRule type="expression" dxfId="332" priority="3645">
      <formula>ISBLANK($V935)</formula>
    </cfRule>
  </conditionalFormatting>
  <conditionalFormatting sqref="AQ934:AT934">
    <cfRule type="expression" dxfId="331" priority="3644">
      <formula>ISBLANK($V934)</formula>
    </cfRule>
  </conditionalFormatting>
  <conditionalFormatting sqref="AQ934:AT934">
    <cfRule type="expression" dxfId="330" priority="3643">
      <formula>ISBLANK($V934)</formula>
    </cfRule>
  </conditionalFormatting>
  <conditionalFormatting sqref="AQ933:AT933">
    <cfRule type="expression" dxfId="329" priority="3642">
      <formula>ISBLANK($V933)</formula>
    </cfRule>
  </conditionalFormatting>
  <conditionalFormatting sqref="AQ935:AT935">
    <cfRule type="expression" dxfId="328" priority="3640">
      <formula>ISBLANK($V935)</formula>
    </cfRule>
  </conditionalFormatting>
  <conditionalFormatting sqref="AQ935:AT935">
    <cfRule type="expression" dxfId="327" priority="3639">
      <formula>ISBLANK($V935)</formula>
    </cfRule>
  </conditionalFormatting>
  <conditionalFormatting sqref="AQ934:AT934">
    <cfRule type="expression" dxfId="326" priority="3638">
      <formula>ISBLANK($V934)</formula>
    </cfRule>
  </conditionalFormatting>
  <conditionalFormatting sqref="AQ933:AT933">
    <cfRule type="expression" dxfId="325" priority="3637">
      <formula>ISBLANK($V933)</formula>
    </cfRule>
  </conditionalFormatting>
  <conditionalFormatting sqref="AQ932:AT932">
    <cfRule type="expression" dxfId="324" priority="3636">
      <formula>ISBLANK($V932)</formula>
    </cfRule>
  </conditionalFormatting>
  <conditionalFormatting sqref="AQ932:AT932">
    <cfRule type="expression" dxfId="323" priority="3635">
      <formula>ISBLANK($V932)</formula>
    </cfRule>
  </conditionalFormatting>
  <conditionalFormatting sqref="AQ931:AT931">
    <cfRule type="expression" dxfId="322" priority="3634">
      <formula>ISBLANK($V931)</formula>
    </cfRule>
  </conditionalFormatting>
  <conditionalFormatting sqref="AQ935:AT935">
    <cfRule type="expression" dxfId="321" priority="3633">
      <formula>ISBLANK($V935)</formula>
    </cfRule>
  </conditionalFormatting>
  <conditionalFormatting sqref="AQ934:AT934">
    <cfRule type="expression" dxfId="320" priority="3632">
      <formula>ISBLANK($V934)</formula>
    </cfRule>
  </conditionalFormatting>
  <conditionalFormatting sqref="AQ934:AT934">
    <cfRule type="expression" dxfId="319" priority="3631">
      <formula>ISBLANK($V934)</formula>
    </cfRule>
  </conditionalFormatting>
  <conditionalFormatting sqref="AQ933:AT933">
    <cfRule type="expression" dxfId="318" priority="3630">
      <formula>ISBLANK($V933)</formula>
    </cfRule>
  </conditionalFormatting>
  <conditionalFormatting sqref="AQ932:AT932">
    <cfRule type="expression" dxfId="317" priority="3629">
      <formula>ISBLANK($V932)</formula>
    </cfRule>
  </conditionalFormatting>
  <conditionalFormatting sqref="AQ931:AT931">
    <cfRule type="expression" dxfId="316" priority="3628">
      <formula>ISBLANK($V931)</formula>
    </cfRule>
  </conditionalFormatting>
  <conditionalFormatting sqref="AQ931:AT931">
    <cfRule type="expression" dxfId="315" priority="3627">
      <formula>ISBLANK($V931)</formula>
    </cfRule>
  </conditionalFormatting>
  <conditionalFormatting sqref="AQ930:AT930">
    <cfRule type="expression" dxfId="314" priority="3626">
      <formula>ISBLANK($V930)</formula>
    </cfRule>
  </conditionalFormatting>
  <conditionalFormatting sqref="AQ935:AT935">
    <cfRule type="expression" dxfId="313" priority="3609">
      <formula>ISBLANK($V935)</formula>
    </cfRule>
  </conditionalFormatting>
  <conditionalFormatting sqref="AQ935:AT935">
    <cfRule type="expression" dxfId="312" priority="3603">
      <formula>ISBLANK($V935)</formula>
    </cfRule>
  </conditionalFormatting>
  <conditionalFormatting sqref="AQ935:AT935">
    <cfRule type="expression" dxfId="311" priority="3602">
      <formula>ISBLANK($V935)</formula>
    </cfRule>
  </conditionalFormatting>
  <conditionalFormatting sqref="AQ934:AT934">
    <cfRule type="expression" dxfId="310" priority="3601">
      <formula>ISBLANK($V934)</formula>
    </cfRule>
  </conditionalFormatting>
  <conditionalFormatting sqref="AQ935:AT935">
    <cfRule type="expression" dxfId="309" priority="3583">
      <formula>ISBLANK($V935)</formula>
    </cfRule>
  </conditionalFormatting>
  <conditionalFormatting sqref="AQ935:AT935">
    <cfRule type="expression" dxfId="308" priority="3582">
      <formula>ISBLANK($V935)</formula>
    </cfRule>
  </conditionalFormatting>
  <conditionalFormatting sqref="AQ934:AT934">
    <cfRule type="expression" dxfId="307" priority="3581">
      <formula>ISBLANK($V934)</formula>
    </cfRule>
  </conditionalFormatting>
  <conditionalFormatting sqref="AQ935:AT935">
    <cfRule type="expression" dxfId="306" priority="3576">
      <formula>ISBLANK($V935)</formula>
    </cfRule>
  </conditionalFormatting>
  <conditionalFormatting sqref="AQ934:AT934">
    <cfRule type="expression" dxfId="305" priority="3575">
      <formula>ISBLANK($V934)</formula>
    </cfRule>
  </conditionalFormatting>
  <conditionalFormatting sqref="AQ934:AT934">
    <cfRule type="expression" dxfId="304" priority="3574">
      <formula>ISBLANK($V934)</formula>
    </cfRule>
  </conditionalFormatting>
  <conditionalFormatting sqref="AQ933:AT933">
    <cfRule type="expression" dxfId="303" priority="3573">
      <formula>ISBLANK($V933)</formula>
    </cfRule>
  </conditionalFormatting>
  <conditionalFormatting sqref="AQ935:AT935">
    <cfRule type="expression" dxfId="302" priority="3555">
      <formula>ISBLANK($V935)</formula>
    </cfRule>
  </conditionalFormatting>
  <conditionalFormatting sqref="AQ935:AT935">
    <cfRule type="expression" dxfId="301" priority="3554">
      <formula>ISBLANK($V935)</formula>
    </cfRule>
  </conditionalFormatting>
  <conditionalFormatting sqref="AQ934:AT934">
    <cfRule type="expression" dxfId="300" priority="3553">
      <formula>ISBLANK($V934)</formula>
    </cfRule>
  </conditionalFormatting>
  <conditionalFormatting sqref="AQ935:AT935">
    <cfRule type="expression" dxfId="299" priority="3548">
      <formula>ISBLANK($V935)</formula>
    </cfRule>
  </conditionalFormatting>
  <conditionalFormatting sqref="AQ934:AT934">
    <cfRule type="expression" dxfId="298" priority="3547">
      <formula>ISBLANK($V934)</formula>
    </cfRule>
  </conditionalFormatting>
  <conditionalFormatting sqref="AQ934:AT934">
    <cfRule type="expression" dxfId="297" priority="3546">
      <formula>ISBLANK($V934)</formula>
    </cfRule>
  </conditionalFormatting>
  <conditionalFormatting sqref="AQ933:AT933">
    <cfRule type="expression" dxfId="296" priority="3545">
      <formula>ISBLANK($V933)</formula>
    </cfRule>
  </conditionalFormatting>
  <conditionalFormatting sqref="AQ935:AT935">
    <cfRule type="expression" dxfId="295" priority="3530">
      <formula>ISBLANK($V935)</formula>
    </cfRule>
  </conditionalFormatting>
  <conditionalFormatting sqref="AQ935:AT935">
    <cfRule type="expression" dxfId="294" priority="3525">
      <formula>ISBLANK($V935)</formula>
    </cfRule>
  </conditionalFormatting>
  <conditionalFormatting sqref="AQ934:AT934">
    <cfRule type="expression" dxfId="293" priority="3524">
      <formula>ISBLANK($V934)</formula>
    </cfRule>
  </conditionalFormatting>
  <conditionalFormatting sqref="AQ934:AT934">
    <cfRule type="expression" dxfId="292" priority="3523">
      <formula>ISBLANK($V934)</formula>
    </cfRule>
  </conditionalFormatting>
  <conditionalFormatting sqref="AQ933:AT933">
    <cfRule type="expression" dxfId="291" priority="3522">
      <formula>ISBLANK($V933)</formula>
    </cfRule>
  </conditionalFormatting>
  <conditionalFormatting sqref="AQ935:AT935">
    <cfRule type="expression" dxfId="290" priority="3518">
      <formula>ISBLANK($V935)</formula>
    </cfRule>
  </conditionalFormatting>
  <conditionalFormatting sqref="AQ934:AT934">
    <cfRule type="expression" dxfId="289" priority="3517">
      <formula>ISBLANK($V934)</formula>
    </cfRule>
  </conditionalFormatting>
  <conditionalFormatting sqref="AQ933:AT933">
    <cfRule type="expression" dxfId="288" priority="3516">
      <formula>ISBLANK($V933)</formula>
    </cfRule>
  </conditionalFormatting>
  <conditionalFormatting sqref="AQ933:AT933">
    <cfRule type="expression" dxfId="287" priority="3515">
      <formula>ISBLANK($V933)</formula>
    </cfRule>
  </conditionalFormatting>
  <conditionalFormatting sqref="AQ932:AT932">
    <cfRule type="expression" dxfId="286" priority="3514">
      <formula>ISBLANK($V932)</formula>
    </cfRule>
  </conditionalFormatting>
  <conditionalFormatting sqref="AQ935:AT935">
    <cfRule type="expression" dxfId="285" priority="3496">
      <formula>ISBLANK($V935)</formula>
    </cfRule>
  </conditionalFormatting>
  <conditionalFormatting sqref="AQ935:AT935">
    <cfRule type="expression" dxfId="284" priority="3495">
      <formula>ISBLANK($V935)</formula>
    </cfRule>
  </conditionalFormatting>
  <conditionalFormatting sqref="AQ934:AT934">
    <cfRule type="expression" dxfId="283" priority="3494">
      <formula>ISBLANK($V934)</formula>
    </cfRule>
  </conditionalFormatting>
  <conditionalFormatting sqref="AQ935:AT935">
    <cfRule type="expression" dxfId="282" priority="3489">
      <formula>ISBLANK($V935)</formula>
    </cfRule>
  </conditionalFormatting>
  <conditionalFormatting sqref="AQ934:AT934">
    <cfRule type="expression" dxfId="281" priority="3488">
      <formula>ISBLANK($V934)</formula>
    </cfRule>
  </conditionalFormatting>
  <conditionalFormatting sqref="AQ934:AT934">
    <cfRule type="expression" dxfId="280" priority="3487">
      <formula>ISBLANK($V934)</formula>
    </cfRule>
  </conditionalFormatting>
  <conditionalFormatting sqref="AQ933:AT933">
    <cfRule type="expression" dxfId="279" priority="3486">
      <formula>ISBLANK($V933)</formula>
    </cfRule>
  </conditionalFormatting>
  <conditionalFormatting sqref="AQ935:AT935">
    <cfRule type="expression" dxfId="278" priority="3471">
      <formula>ISBLANK($V935)</formula>
    </cfRule>
  </conditionalFormatting>
  <conditionalFormatting sqref="AQ935:AT935">
    <cfRule type="expression" dxfId="277" priority="3466">
      <formula>ISBLANK($V935)</formula>
    </cfRule>
  </conditionalFormatting>
  <conditionalFormatting sqref="AQ934:AT934">
    <cfRule type="expression" dxfId="276" priority="3465">
      <formula>ISBLANK($V934)</formula>
    </cfRule>
  </conditionalFormatting>
  <conditionalFormatting sqref="AQ934:AT934">
    <cfRule type="expression" dxfId="275" priority="3464">
      <formula>ISBLANK($V934)</formula>
    </cfRule>
  </conditionalFormatting>
  <conditionalFormatting sqref="AQ933:AT933">
    <cfRule type="expression" dxfId="274" priority="3463">
      <formula>ISBLANK($V933)</formula>
    </cfRule>
  </conditionalFormatting>
  <conditionalFormatting sqref="AQ935:AT935">
    <cfRule type="expression" dxfId="273" priority="3459">
      <formula>ISBLANK($V935)</formula>
    </cfRule>
  </conditionalFormatting>
  <conditionalFormatting sqref="AQ934:AT934">
    <cfRule type="expression" dxfId="272" priority="3458">
      <formula>ISBLANK($V934)</formula>
    </cfRule>
  </conditionalFormatting>
  <conditionalFormatting sqref="AQ933:AT933">
    <cfRule type="expression" dxfId="271" priority="3457">
      <formula>ISBLANK($V933)</formula>
    </cfRule>
  </conditionalFormatting>
  <conditionalFormatting sqref="AQ933:AT933">
    <cfRule type="expression" dxfId="270" priority="3456">
      <formula>ISBLANK($V933)</formula>
    </cfRule>
  </conditionalFormatting>
  <conditionalFormatting sqref="AQ932:AT932">
    <cfRule type="expression" dxfId="269" priority="3455">
      <formula>ISBLANK($V932)</formula>
    </cfRule>
  </conditionalFormatting>
  <conditionalFormatting sqref="AQ935:AT935">
    <cfRule type="expression" dxfId="268" priority="3440">
      <formula>ISBLANK($V935)</formula>
    </cfRule>
  </conditionalFormatting>
  <conditionalFormatting sqref="AQ935:AT935">
    <cfRule type="expression" dxfId="267" priority="3435">
      <formula>ISBLANK($V935)</formula>
    </cfRule>
  </conditionalFormatting>
  <conditionalFormatting sqref="AQ934:AT934">
    <cfRule type="expression" dxfId="266" priority="3434">
      <formula>ISBLANK($V934)</formula>
    </cfRule>
  </conditionalFormatting>
  <conditionalFormatting sqref="AQ934:AT934">
    <cfRule type="expression" dxfId="265" priority="3433">
      <formula>ISBLANK($V934)</formula>
    </cfRule>
  </conditionalFormatting>
  <conditionalFormatting sqref="AQ933:AT933">
    <cfRule type="expression" dxfId="264" priority="3432">
      <formula>ISBLANK($V933)</formula>
    </cfRule>
  </conditionalFormatting>
  <conditionalFormatting sqref="AQ935:AT935">
    <cfRule type="expression" dxfId="263" priority="3428">
      <formula>ISBLANK($V935)</formula>
    </cfRule>
  </conditionalFormatting>
  <conditionalFormatting sqref="AQ934:AT934">
    <cfRule type="expression" dxfId="262" priority="3427">
      <formula>ISBLANK($V934)</formula>
    </cfRule>
  </conditionalFormatting>
  <conditionalFormatting sqref="AQ933:AT933">
    <cfRule type="expression" dxfId="261" priority="3426">
      <formula>ISBLANK($V933)</formula>
    </cfRule>
  </conditionalFormatting>
  <conditionalFormatting sqref="AQ933:AT933">
    <cfRule type="expression" dxfId="260" priority="3425">
      <formula>ISBLANK($V933)</formula>
    </cfRule>
  </conditionalFormatting>
  <conditionalFormatting sqref="AQ932:AT932">
    <cfRule type="expression" dxfId="259" priority="3424">
      <formula>ISBLANK($V932)</formula>
    </cfRule>
  </conditionalFormatting>
  <conditionalFormatting sqref="AQ935:AT935">
    <cfRule type="expression" dxfId="258" priority="3416">
      <formula>ISBLANK($V935)</formula>
    </cfRule>
  </conditionalFormatting>
  <conditionalFormatting sqref="AQ935:AT935">
    <cfRule type="expression" dxfId="257" priority="3410">
      <formula>ISBLANK($V935)</formula>
    </cfRule>
  </conditionalFormatting>
  <conditionalFormatting sqref="AQ935:AT935">
    <cfRule type="expression" dxfId="256" priority="3409">
      <formula>ISBLANK($V935)</formula>
    </cfRule>
  </conditionalFormatting>
  <conditionalFormatting sqref="AQ934:AT934">
    <cfRule type="expression" dxfId="255" priority="3408">
      <formula>ISBLANK($V934)</formula>
    </cfRule>
  </conditionalFormatting>
  <conditionalFormatting sqref="AQ935:AT935">
    <cfRule type="expression" dxfId="254" priority="3404">
      <formula>ISBLANK($V935)</formula>
    </cfRule>
  </conditionalFormatting>
  <conditionalFormatting sqref="AQ934:AT934">
    <cfRule type="expression" dxfId="253" priority="3403">
      <formula>ISBLANK($V934)</formula>
    </cfRule>
  </conditionalFormatting>
  <conditionalFormatting sqref="AQ933:AT933">
    <cfRule type="expression" dxfId="252" priority="3402">
      <formula>ISBLANK($V933)</formula>
    </cfRule>
  </conditionalFormatting>
  <conditionalFormatting sqref="AQ933:AT933">
    <cfRule type="expression" dxfId="251" priority="3401">
      <formula>ISBLANK($V933)</formula>
    </cfRule>
  </conditionalFormatting>
  <conditionalFormatting sqref="AQ932:AT932">
    <cfRule type="expression" dxfId="250" priority="3400">
      <formula>ISBLANK($V932)</formula>
    </cfRule>
  </conditionalFormatting>
  <conditionalFormatting sqref="AQ935:AT935">
    <cfRule type="expression" dxfId="249" priority="3398">
      <formula>ISBLANK($V935)</formula>
    </cfRule>
  </conditionalFormatting>
  <conditionalFormatting sqref="AQ935:AT935">
    <cfRule type="expression" dxfId="248" priority="3397">
      <formula>ISBLANK($V935)</formula>
    </cfRule>
  </conditionalFormatting>
  <conditionalFormatting sqref="AQ934:AT934">
    <cfRule type="expression" dxfId="247" priority="3396">
      <formula>ISBLANK($V934)</formula>
    </cfRule>
  </conditionalFormatting>
  <conditionalFormatting sqref="AQ933:AT933">
    <cfRule type="expression" dxfId="246" priority="3395">
      <formula>ISBLANK($V933)</formula>
    </cfRule>
  </conditionalFormatting>
  <conditionalFormatting sqref="AQ932:AT932">
    <cfRule type="expression" dxfId="245" priority="3394">
      <formula>ISBLANK($V932)</formula>
    </cfRule>
  </conditionalFormatting>
  <conditionalFormatting sqref="AQ932:AT932">
    <cfRule type="expression" dxfId="244" priority="3393">
      <formula>ISBLANK($V932)</formula>
    </cfRule>
  </conditionalFormatting>
  <conditionalFormatting sqref="AQ931:AT931">
    <cfRule type="expression" dxfId="243" priority="3392">
      <formula>ISBLANK($V931)</formula>
    </cfRule>
  </conditionalFormatting>
  <conditionalFormatting sqref="AQ935:AT935">
    <cfRule type="expression" dxfId="242" priority="3375">
      <formula>ISBLANK($V935)</formula>
    </cfRule>
  </conditionalFormatting>
  <conditionalFormatting sqref="AQ935:AT935">
    <cfRule type="expression" dxfId="241" priority="3369">
      <formula>ISBLANK($V935)</formula>
    </cfRule>
  </conditionalFormatting>
  <conditionalFormatting sqref="AQ935:AT935">
    <cfRule type="expression" dxfId="240" priority="3368">
      <formula>ISBLANK($V935)</formula>
    </cfRule>
  </conditionalFormatting>
  <conditionalFormatting sqref="AQ934:AT934">
    <cfRule type="expression" dxfId="239" priority="3367">
      <formula>ISBLANK($V934)</formula>
    </cfRule>
  </conditionalFormatting>
  <conditionalFormatting sqref="AQ935:AT935">
    <cfRule type="expression" dxfId="238" priority="3349">
      <formula>ISBLANK($V935)</formula>
    </cfRule>
  </conditionalFormatting>
  <conditionalFormatting sqref="AQ935:AT935">
    <cfRule type="expression" dxfId="237" priority="3348">
      <formula>ISBLANK($V935)</formula>
    </cfRule>
  </conditionalFormatting>
  <conditionalFormatting sqref="AQ934:AT934">
    <cfRule type="expression" dxfId="236" priority="3347">
      <formula>ISBLANK($V934)</formula>
    </cfRule>
  </conditionalFormatting>
  <conditionalFormatting sqref="AQ935:AT935">
    <cfRule type="expression" dxfId="235" priority="3342">
      <formula>ISBLANK($V935)</formula>
    </cfRule>
  </conditionalFormatting>
  <conditionalFormatting sqref="AQ934:AT934">
    <cfRule type="expression" dxfId="234" priority="3341">
      <formula>ISBLANK($V934)</formula>
    </cfRule>
  </conditionalFormatting>
  <conditionalFormatting sqref="AQ934:AT934">
    <cfRule type="expression" dxfId="233" priority="3340">
      <formula>ISBLANK($V934)</formula>
    </cfRule>
  </conditionalFormatting>
  <conditionalFormatting sqref="AQ933:AT933">
    <cfRule type="expression" dxfId="232" priority="3339">
      <formula>ISBLANK($V933)</formula>
    </cfRule>
  </conditionalFormatting>
  <conditionalFormatting sqref="AQ935:AT935">
    <cfRule type="expression" dxfId="231" priority="3321">
      <formula>ISBLANK($V935)</formula>
    </cfRule>
  </conditionalFormatting>
  <conditionalFormatting sqref="AQ935:AT935">
    <cfRule type="expression" dxfId="230" priority="3320">
      <formula>ISBLANK($V935)</formula>
    </cfRule>
  </conditionalFormatting>
  <conditionalFormatting sqref="AQ934:AT934">
    <cfRule type="expression" dxfId="229" priority="3319">
      <formula>ISBLANK($V934)</formula>
    </cfRule>
  </conditionalFormatting>
  <conditionalFormatting sqref="AQ935:AT935">
    <cfRule type="expression" dxfId="228" priority="3314">
      <formula>ISBLANK($V935)</formula>
    </cfRule>
  </conditionalFormatting>
  <conditionalFormatting sqref="AQ934:AT934">
    <cfRule type="expression" dxfId="227" priority="3313">
      <formula>ISBLANK($V934)</formula>
    </cfRule>
  </conditionalFormatting>
  <conditionalFormatting sqref="AQ934:AT934">
    <cfRule type="expression" dxfId="226" priority="3312">
      <formula>ISBLANK($V934)</formula>
    </cfRule>
  </conditionalFormatting>
  <conditionalFormatting sqref="AQ933:AT933">
    <cfRule type="expression" dxfId="225" priority="3311">
      <formula>ISBLANK($V933)</formula>
    </cfRule>
  </conditionalFormatting>
  <conditionalFormatting sqref="AQ935:AT935">
    <cfRule type="expression" dxfId="224" priority="3296">
      <formula>ISBLANK($V935)</formula>
    </cfRule>
  </conditionalFormatting>
  <conditionalFormatting sqref="AQ935:AT935">
    <cfRule type="expression" dxfId="223" priority="3291">
      <formula>ISBLANK($V935)</formula>
    </cfRule>
  </conditionalFormatting>
  <conditionalFormatting sqref="AQ934:AT934">
    <cfRule type="expression" dxfId="222" priority="3290">
      <formula>ISBLANK($V934)</formula>
    </cfRule>
  </conditionalFormatting>
  <conditionalFormatting sqref="AQ934:AT934">
    <cfRule type="expression" dxfId="221" priority="3289">
      <formula>ISBLANK($V934)</formula>
    </cfRule>
  </conditionalFormatting>
  <conditionalFormatting sqref="AQ933:AT933">
    <cfRule type="expression" dxfId="220" priority="3288">
      <formula>ISBLANK($V933)</formula>
    </cfRule>
  </conditionalFormatting>
  <conditionalFormatting sqref="AQ935:AT935">
    <cfRule type="expression" dxfId="219" priority="3284">
      <formula>ISBLANK($V935)</formula>
    </cfRule>
  </conditionalFormatting>
  <conditionalFormatting sqref="AQ934:AT934">
    <cfRule type="expression" dxfId="218" priority="3283">
      <formula>ISBLANK($V934)</formula>
    </cfRule>
  </conditionalFormatting>
  <conditionalFormatting sqref="AQ933:AT933">
    <cfRule type="expression" dxfId="217" priority="3282">
      <formula>ISBLANK($V933)</formula>
    </cfRule>
  </conditionalFormatting>
  <conditionalFormatting sqref="AQ933:AT933">
    <cfRule type="expression" dxfId="216" priority="3281">
      <formula>ISBLANK($V933)</formula>
    </cfRule>
  </conditionalFormatting>
  <conditionalFormatting sqref="AQ932:AT932">
    <cfRule type="expression" dxfId="215" priority="3280">
      <formula>ISBLANK($V932)</formula>
    </cfRule>
  </conditionalFormatting>
  <conditionalFormatting sqref="AQ935:AT935">
    <cfRule type="expression" dxfId="214" priority="3262">
      <formula>ISBLANK($V935)</formula>
    </cfRule>
  </conditionalFormatting>
  <conditionalFormatting sqref="AQ935:AT935">
    <cfRule type="expression" dxfId="213" priority="3261">
      <formula>ISBLANK($V935)</formula>
    </cfRule>
  </conditionalFormatting>
  <conditionalFormatting sqref="AQ934:AT934">
    <cfRule type="expression" dxfId="212" priority="3260">
      <formula>ISBLANK($V934)</formula>
    </cfRule>
  </conditionalFormatting>
  <conditionalFormatting sqref="AQ935:AT935">
    <cfRule type="expression" dxfId="211" priority="3255">
      <formula>ISBLANK($V935)</formula>
    </cfRule>
  </conditionalFormatting>
  <conditionalFormatting sqref="AQ934:AT934">
    <cfRule type="expression" dxfId="210" priority="3254">
      <formula>ISBLANK($V934)</formula>
    </cfRule>
  </conditionalFormatting>
  <conditionalFormatting sqref="AQ934:AT934">
    <cfRule type="expression" dxfId="209" priority="3253">
      <formula>ISBLANK($V934)</formula>
    </cfRule>
  </conditionalFormatting>
  <conditionalFormatting sqref="AQ933:AT933">
    <cfRule type="expression" dxfId="208" priority="3252">
      <formula>ISBLANK($V933)</formula>
    </cfRule>
  </conditionalFormatting>
  <conditionalFormatting sqref="AQ935:AT935">
    <cfRule type="expression" dxfId="207" priority="3237">
      <formula>ISBLANK($V935)</formula>
    </cfRule>
  </conditionalFormatting>
  <conditionalFormatting sqref="AQ935:AT935">
    <cfRule type="expression" dxfId="206" priority="3232">
      <formula>ISBLANK($V935)</formula>
    </cfRule>
  </conditionalFormatting>
  <conditionalFormatting sqref="AQ934:AT934">
    <cfRule type="expression" dxfId="205" priority="3231">
      <formula>ISBLANK($V934)</formula>
    </cfRule>
  </conditionalFormatting>
  <conditionalFormatting sqref="AQ934:AT934">
    <cfRule type="expression" dxfId="204" priority="3230">
      <formula>ISBLANK($V934)</formula>
    </cfRule>
  </conditionalFormatting>
  <conditionalFormatting sqref="AQ933:AT933">
    <cfRule type="expression" dxfId="203" priority="3229">
      <formula>ISBLANK($V933)</formula>
    </cfRule>
  </conditionalFormatting>
  <conditionalFormatting sqref="AQ935:AT935">
    <cfRule type="expression" dxfId="202" priority="3225">
      <formula>ISBLANK($V935)</formula>
    </cfRule>
  </conditionalFormatting>
  <conditionalFormatting sqref="AQ934:AT934">
    <cfRule type="expression" dxfId="201" priority="3224">
      <formula>ISBLANK($V934)</formula>
    </cfRule>
  </conditionalFormatting>
  <conditionalFormatting sqref="AQ933:AT933">
    <cfRule type="expression" dxfId="200" priority="3223">
      <formula>ISBLANK($V933)</formula>
    </cfRule>
  </conditionalFormatting>
  <conditionalFormatting sqref="AQ933:AT933">
    <cfRule type="expression" dxfId="199" priority="3222">
      <formula>ISBLANK($V933)</formula>
    </cfRule>
  </conditionalFormatting>
  <conditionalFormatting sqref="AQ932:AT932">
    <cfRule type="expression" dxfId="198" priority="3221">
      <formula>ISBLANK($V932)</formula>
    </cfRule>
  </conditionalFormatting>
  <conditionalFormatting sqref="AQ935:AT935">
    <cfRule type="expression" dxfId="197" priority="3206">
      <formula>ISBLANK($V935)</formula>
    </cfRule>
  </conditionalFormatting>
  <conditionalFormatting sqref="AQ935:AT935">
    <cfRule type="expression" dxfId="196" priority="3201">
      <formula>ISBLANK($V935)</formula>
    </cfRule>
  </conditionalFormatting>
  <conditionalFormatting sqref="AQ934:AT934">
    <cfRule type="expression" dxfId="195" priority="3200">
      <formula>ISBLANK($V934)</formula>
    </cfRule>
  </conditionalFormatting>
  <conditionalFormatting sqref="AQ934:AT934">
    <cfRule type="expression" dxfId="194" priority="3199">
      <formula>ISBLANK($V934)</formula>
    </cfRule>
  </conditionalFormatting>
  <conditionalFormatting sqref="AQ933:AT933">
    <cfRule type="expression" dxfId="193" priority="3198">
      <formula>ISBLANK($V933)</formula>
    </cfRule>
  </conditionalFormatting>
  <conditionalFormatting sqref="AQ935:AT935">
    <cfRule type="expression" dxfId="192" priority="3194">
      <formula>ISBLANK($V935)</formula>
    </cfRule>
  </conditionalFormatting>
  <conditionalFormatting sqref="AQ934:AT934">
    <cfRule type="expression" dxfId="191" priority="3193">
      <formula>ISBLANK($V934)</formula>
    </cfRule>
  </conditionalFormatting>
  <conditionalFormatting sqref="AQ933:AT933">
    <cfRule type="expression" dxfId="190" priority="3192">
      <formula>ISBLANK($V933)</formula>
    </cfRule>
  </conditionalFormatting>
  <conditionalFormatting sqref="AQ933:AT933">
    <cfRule type="expression" dxfId="189" priority="3191">
      <formula>ISBLANK($V933)</formula>
    </cfRule>
  </conditionalFormatting>
  <conditionalFormatting sqref="AQ932:AT932">
    <cfRule type="expression" dxfId="188" priority="3190">
      <formula>ISBLANK($V932)</formula>
    </cfRule>
  </conditionalFormatting>
  <conditionalFormatting sqref="AQ935:AT935">
    <cfRule type="expression" dxfId="187" priority="3182">
      <formula>ISBLANK($V935)</formula>
    </cfRule>
  </conditionalFormatting>
  <conditionalFormatting sqref="AQ935:AT935">
    <cfRule type="expression" dxfId="186" priority="3176">
      <formula>ISBLANK($V935)</formula>
    </cfRule>
  </conditionalFormatting>
  <conditionalFormatting sqref="AQ935:AT935">
    <cfRule type="expression" dxfId="185" priority="3175">
      <formula>ISBLANK($V935)</formula>
    </cfRule>
  </conditionalFormatting>
  <conditionalFormatting sqref="AQ934:AT934">
    <cfRule type="expression" dxfId="184" priority="3174">
      <formula>ISBLANK($V934)</formula>
    </cfRule>
  </conditionalFormatting>
  <conditionalFormatting sqref="AQ935:AT935">
    <cfRule type="expression" dxfId="183" priority="3170">
      <formula>ISBLANK($V935)</formula>
    </cfRule>
  </conditionalFormatting>
  <conditionalFormatting sqref="AQ934:AT934">
    <cfRule type="expression" dxfId="182" priority="3169">
      <formula>ISBLANK($V934)</formula>
    </cfRule>
  </conditionalFormatting>
  <conditionalFormatting sqref="AQ933:AT933">
    <cfRule type="expression" dxfId="181" priority="3168">
      <formula>ISBLANK($V933)</formula>
    </cfRule>
  </conditionalFormatting>
  <conditionalFormatting sqref="AQ933:AT933">
    <cfRule type="expression" dxfId="180" priority="3167">
      <formula>ISBLANK($V933)</formula>
    </cfRule>
  </conditionalFormatting>
  <conditionalFormatting sqref="AQ932:AT932">
    <cfRule type="expression" dxfId="179" priority="3166">
      <formula>ISBLANK($V932)</formula>
    </cfRule>
  </conditionalFormatting>
  <conditionalFormatting sqref="AQ935:AT935">
    <cfRule type="expression" dxfId="178" priority="3164">
      <formula>ISBLANK($V935)</formula>
    </cfRule>
  </conditionalFormatting>
  <conditionalFormatting sqref="AQ935:AT935">
    <cfRule type="expression" dxfId="177" priority="3163">
      <formula>ISBLANK($V935)</formula>
    </cfRule>
  </conditionalFormatting>
  <conditionalFormatting sqref="AQ934:AT934">
    <cfRule type="expression" dxfId="176" priority="3162">
      <formula>ISBLANK($V934)</formula>
    </cfRule>
  </conditionalFormatting>
  <conditionalFormatting sqref="AQ933:AT933">
    <cfRule type="expression" dxfId="175" priority="3161">
      <formula>ISBLANK($V933)</formula>
    </cfRule>
  </conditionalFormatting>
  <conditionalFormatting sqref="AQ932:AT932">
    <cfRule type="expression" dxfId="174" priority="3160">
      <formula>ISBLANK($V932)</formula>
    </cfRule>
  </conditionalFormatting>
  <conditionalFormatting sqref="AQ932:AT932">
    <cfRule type="expression" dxfId="173" priority="3159">
      <formula>ISBLANK($V932)</formula>
    </cfRule>
  </conditionalFormatting>
  <conditionalFormatting sqref="AQ931:AT931">
    <cfRule type="expression" dxfId="172" priority="3158">
      <formula>ISBLANK($V931)</formula>
    </cfRule>
  </conditionalFormatting>
  <conditionalFormatting sqref="AQ935:AT935">
    <cfRule type="expression" dxfId="171" priority="3136">
      <formula>ISBLANK($V935)</formula>
    </cfRule>
  </conditionalFormatting>
  <conditionalFormatting sqref="AQ935:AT935">
    <cfRule type="expression" dxfId="170" priority="3119">
      <formula>ISBLANK($V935)</formula>
    </cfRule>
  </conditionalFormatting>
  <conditionalFormatting sqref="AQ935:AT935">
    <cfRule type="expression" dxfId="169" priority="3113">
      <formula>ISBLANK($V935)</formula>
    </cfRule>
  </conditionalFormatting>
  <conditionalFormatting sqref="AQ935:AT935">
    <cfRule type="expression" dxfId="168" priority="3112">
      <formula>ISBLANK($V935)</formula>
    </cfRule>
  </conditionalFormatting>
  <conditionalFormatting sqref="AQ934:AT934">
    <cfRule type="expression" dxfId="167" priority="3111">
      <formula>ISBLANK($V934)</formula>
    </cfRule>
  </conditionalFormatting>
  <conditionalFormatting sqref="AQ935:AT935">
    <cfRule type="expression" dxfId="166" priority="3094">
      <formula>ISBLANK($V935)</formula>
    </cfRule>
  </conditionalFormatting>
  <conditionalFormatting sqref="AQ935:AT935">
    <cfRule type="expression" dxfId="165" priority="3088">
      <formula>ISBLANK($V935)</formula>
    </cfRule>
  </conditionalFormatting>
  <conditionalFormatting sqref="AQ935:AT935">
    <cfRule type="expression" dxfId="164" priority="3087">
      <formula>ISBLANK($V935)</formula>
    </cfRule>
  </conditionalFormatting>
  <conditionalFormatting sqref="AQ934:AT934">
    <cfRule type="expression" dxfId="163" priority="3086">
      <formula>ISBLANK($V934)</formula>
    </cfRule>
  </conditionalFormatting>
  <conditionalFormatting sqref="AQ935:AT935">
    <cfRule type="expression" dxfId="162" priority="3068">
      <formula>ISBLANK($V935)</formula>
    </cfRule>
  </conditionalFormatting>
  <conditionalFormatting sqref="AQ935:AT935">
    <cfRule type="expression" dxfId="161" priority="3067">
      <formula>ISBLANK($V935)</formula>
    </cfRule>
  </conditionalFormatting>
  <conditionalFormatting sqref="AQ934:AT934">
    <cfRule type="expression" dxfId="160" priority="3066">
      <formula>ISBLANK($V934)</formula>
    </cfRule>
  </conditionalFormatting>
  <conditionalFormatting sqref="AQ935:AT935">
    <cfRule type="expression" dxfId="159" priority="3061">
      <formula>ISBLANK($V935)</formula>
    </cfRule>
  </conditionalFormatting>
  <conditionalFormatting sqref="AQ934:AT934">
    <cfRule type="expression" dxfId="158" priority="3060">
      <formula>ISBLANK($V934)</formula>
    </cfRule>
  </conditionalFormatting>
  <conditionalFormatting sqref="AQ934:AT934">
    <cfRule type="expression" dxfId="157" priority="3059">
      <formula>ISBLANK($V934)</formula>
    </cfRule>
  </conditionalFormatting>
  <conditionalFormatting sqref="AQ933:AT933">
    <cfRule type="expression" dxfId="156" priority="3058">
      <formula>ISBLANK($V933)</formula>
    </cfRule>
  </conditionalFormatting>
  <conditionalFormatting sqref="AQ935:AT935">
    <cfRule type="expression" dxfId="155" priority="3041">
      <formula>ISBLANK($V935)</formula>
    </cfRule>
  </conditionalFormatting>
  <conditionalFormatting sqref="AQ935:AT935">
    <cfRule type="expression" dxfId="154" priority="3035">
      <formula>ISBLANK($V935)</formula>
    </cfRule>
  </conditionalFormatting>
  <conditionalFormatting sqref="AQ935:AT935">
    <cfRule type="expression" dxfId="153" priority="3034">
      <formula>ISBLANK($V935)</formula>
    </cfRule>
  </conditionalFormatting>
  <conditionalFormatting sqref="AQ934:AT934">
    <cfRule type="expression" dxfId="152" priority="3033">
      <formula>ISBLANK($V934)</formula>
    </cfRule>
  </conditionalFormatting>
  <conditionalFormatting sqref="AQ935:AT935">
    <cfRule type="expression" dxfId="151" priority="3015">
      <formula>ISBLANK($V935)</formula>
    </cfRule>
  </conditionalFormatting>
  <conditionalFormatting sqref="AQ935:AT935">
    <cfRule type="expression" dxfId="150" priority="3014">
      <formula>ISBLANK($V935)</formula>
    </cfRule>
  </conditionalFormatting>
  <conditionalFormatting sqref="AQ934:AT934">
    <cfRule type="expression" dxfId="149" priority="3013">
      <formula>ISBLANK($V934)</formula>
    </cfRule>
  </conditionalFormatting>
  <conditionalFormatting sqref="AQ935:AT935">
    <cfRule type="expression" dxfId="148" priority="3008">
      <formula>ISBLANK($V935)</formula>
    </cfRule>
  </conditionalFormatting>
  <conditionalFormatting sqref="AQ934:AT934">
    <cfRule type="expression" dxfId="147" priority="3007">
      <formula>ISBLANK($V934)</formula>
    </cfRule>
  </conditionalFormatting>
  <conditionalFormatting sqref="AQ934:AT934">
    <cfRule type="expression" dxfId="146" priority="3006">
      <formula>ISBLANK($V934)</formula>
    </cfRule>
  </conditionalFormatting>
  <conditionalFormatting sqref="AQ933:AT933">
    <cfRule type="expression" dxfId="145" priority="3005">
      <formula>ISBLANK($V933)</formula>
    </cfRule>
  </conditionalFormatting>
  <conditionalFormatting sqref="AQ935:AT935">
    <cfRule type="expression" dxfId="144" priority="2987">
      <formula>ISBLANK($V935)</formula>
    </cfRule>
  </conditionalFormatting>
  <conditionalFormatting sqref="AQ935:AT935">
    <cfRule type="expression" dxfId="143" priority="2986">
      <formula>ISBLANK($V935)</formula>
    </cfRule>
  </conditionalFormatting>
  <conditionalFormatting sqref="AQ934:AT934">
    <cfRule type="expression" dxfId="142" priority="2985">
      <formula>ISBLANK($V934)</formula>
    </cfRule>
  </conditionalFormatting>
  <conditionalFormatting sqref="AQ935:AT935">
    <cfRule type="expression" dxfId="141" priority="2980">
      <formula>ISBLANK($V935)</formula>
    </cfRule>
  </conditionalFormatting>
  <conditionalFormatting sqref="AQ934:AT934">
    <cfRule type="expression" dxfId="140" priority="2979">
      <formula>ISBLANK($V934)</formula>
    </cfRule>
  </conditionalFormatting>
  <conditionalFormatting sqref="AQ934:AT934">
    <cfRule type="expression" dxfId="139" priority="2978">
      <formula>ISBLANK($V934)</formula>
    </cfRule>
  </conditionalFormatting>
  <conditionalFormatting sqref="AQ933:AT933">
    <cfRule type="expression" dxfId="138" priority="2977">
      <formula>ISBLANK($V933)</formula>
    </cfRule>
  </conditionalFormatting>
  <conditionalFormatting sqref="AQ935:AT935">
    <cfRule type="expression" dxfId="137" priority="2962">
      <formula>ISBLANK($V935)</formula>
    </cfRule>
  </conditionalFormatting>
  <conditionalFormatting sqref="AQ935:AT935">
    <cfRule type="expression" dxfId="136" priority="2957">
      <formula>ISBLANK($V935)</formula>
    </cfRule>
  </conditionalFormatting>
  <conditionalFormatting sqref="AQ934:AT934">
    <cfRule type="expression" dxfId="135" priority="2956">
      <formula>ISBLANK($V934)</formula>
    </cfRule>
  </conditionalFormatting>
  <conditionalFormatting sqref="AQ934:AT934">
    <cfRule type="expression" dxfId="134" priority="2955">
      <formula>ISBLANK($V934)</formula>
    </cfRule>
  </conditionalFormatting>
  <conditionalFormatting sqref="AQ933:AT933">
    <cfRule type="expression" dxfId="133" priority="2954">
      <formula>ISBLANK($V933)</formula>
    </cfRule>
  </conditionalFormatting>
  <conditionalFormatting sqref="AQ935:AT935">
    <cfRule type="expression" dxfId="132" priority="2950">
      <formula>ISBLANK($V935)</formula>
    </cfRule>
  </conditionalFormatting>
  <conditionalFormatting sqref="AQ934:AT934">
    <cfRule type="expression" dxfId="131" priority="2949">
      <formula>ISBLANK($V934)</formula>
    </cfRule>
  </conditionalFormatting>
  <conditionalFormatting sqref="AQ933:AT933">
    <cfRule type="expression" dxfId="130" priority="2948">
      <formula>ISBLANK($V933)</formula>
    </cfRule>
  </conditionalFormatting>
  <conditionalFormatting sqref="AQ933:AT933">
    <cfRule type="expression" dxfId="129" priority="2947">
      <formula>ISBLANK($V933)</formula>
    </cfRule>
  </conditionalFormatting>
  <conditionalFormatting sqref="AQ932:AT932">
    <cfRule type="expression" dxfId="128" priority="2946">
      <formula>ISBLANK($V932)</formula>
    </cfRule>
  </conditionalFormatting>
  <conditionalFormatting sqref="AQ935:AT935">
    <cfRule type="expression" dxfId="127" priority="2924">
      <formula>ISBLANK($V935)</formula>
    </cfRule>
  </conditionalFormatting>
  <conditionalFormatting sqref="AQ935:AT935">
    <cfRule type="expression" dxfId="126" priority="2907">
      <formula>ISBLANK($V935)</formula>
    </cfRule>
  </conditionalFormatting>
  <conditionalFormatting sqref="AQ935:AT935">
    <cfRule type="expression" dxfId="125" priority="2901">
      <formula>ISBLANK($V935)</formula>
    </cfRule>
  </conditionalFormatting>
  <conditionalFormatting sqref="AQ935:AT935">
    <cfRule type="expression" dxfId="124" priority="2900">
      <formula>ISBLANK($V935)</formula>
    </cfRule>
  </conditionalFormatting>
  <conditionalFormatting sqref="AQ934:AT934">
    <cfRule type="expression" dxfId="123" priority="2899">
      <formula>ISBLANK($V934)</formula>
    </cfRule>
  </conditionalFormatting>
  <conditionalFormatting sqref="AQ935:AT935">
    <cfRule type="expression" dxfId="122" priority="2882">
      <formula>ISBLANK($V935)</formula>
    </cfRule>
  </conditionalFormatting>
  <conditionalFormatting sqref="AQ935:AT935">
    <cfRule type="expression" dxfId="121" priority="2876">
      <formula>ISBLANK($V935)</formula>
    </cfRule>
  </conditionalFormatting>
  <conditionalFormatting sqref="AQ935:AT935">
    <cfRule type="expression" dxfId="120" priority="2875">
      <formula>ISBLANK($V935)</formula>
    </cfRule>
  </conditionalFormatting>
  <conditionalFormatting sqref="AQ934:AT934">
    <cfRule type="expression" dxfId="119" priority="2874">
      <formula>ISBLANK($V934)</formula>
    </cfRule>
  </conditionalFormatting>
  <conditionalFormatting sqref="AQ935:AT935">
    <cfRule type="expression" dxfId="118" priority="2856">
      <formula>ISBLANK($V935)</formula>
    </cfRule>
  </conditionalFormatting>
  <conditionalFormatting sqref="AQ935:AT935">
    <cfRule type="expression" dxfId="117" priority="2855">
      <formula>ISBLANK($V935)</formula>
    </cfRule>
  </conditionalFormatting>
  <conditionalFormatting sqref="AQ934:AT934">
    <cfRule type="expression" dxfId="116" priority="2854">
      <formula>ISBLANK($V934)</formula>
    </cfRule>
  </conditionalFormatting>
  <conditionalFormatting sqref="AQ935:AT935">
    <cfRule type="expression" dxfId="115" priority="2849">
      <formula>ISBLANK($V935)</formula>
    </cfRule>
  </conditionalFormatting>
  <conditionalFormatting sqref="AQ934:AT934">
    <cfRule type="expression" dxfId="114" priority="2848">
      <formula>ISBLANK($V934)</formula>
    </cfRule>
  </conditionalFormatting>
  <conditionalFormatting sqref="AQ934:AT934">
    <cfRule type="expression" dxfId="113" priority="2847">
      <formula>ISBLANK($V934)</formula>
    </cfRule>
  </conditionalFormatting>
  <conditionalFormatting sqref="AQ933:AT933">
    <cfRule type="expression" dxfId="112" priority="2846">
      <formula>ISBLANK($V933)</formula>
    </cfRule>
  </conditionalFormatting>
  <conditionalFormatting sqref="AQ935:AT935">
    <cfRule type="expression" dxfId="111" priority="2829">
      <formula>ISBLANK($V935)</formula>
    </cfRule>
  </conditionalFormatting>
  <conditionalFormatting sqref="AQ935:AT935">
    <cfRule type="expression" dxfId="110" priority="2823">
      <formula>ISBLANK($V935)</formula>
    </cfRule>
  </conditionalFormatting>
  <conditionalFormatting sqref="AQ935:AT935">
    <cfRule type="expression" dxfId="109" priority="2822">
      <formula>ISBLANK($V935)</formula>
    </cfRule>
  </conditionalFormatting>
  <conditionalFormatting sqref="AQ934:AT934">
    <cfRule type="expression" dxfId="108" priority="2821">
      <formula>ISBLANK($V934)</formula>
    </cfRule>
  </conditionalFormatting>
  <conditionalFormatting sqref="AQ935:AT935">
    <cfRule type="expression" dxfId="107" priority="2803">
      <formula>ISBLANK($V935)</formula>
    </cfRule>
  </conditionalFormatting>
  <conditionalFormatting sqref="AQ935:AT935">
    <cfRule type="expression" dxfId="106" priority="2802">
      <formula>ISBLANK($V935)</formula>
    </cfRule>
  </conditionalFormatting>
  <conditionalFormatting sqref="AQ934:AT934">
    <cfRule type="expression" dxfId="105" priority="2801">
      <formula>ISBLANK($V934)</formula>
    </cfRule>
  </conditionalFormatting>
  <conditionalFormatting sqref="AQ935:AT935">
    <cfRule type="expression" dxfId="104" priority="2796">
      <formula>ISBLANK($V935)</formula>
    </cfRule>
  </conditionalFormatting>
  <conditionalFormatting sqref="AQ934:AT934">
    <cfRule type="expression" dxfId="103" priority="2795">
      <formula>ISBLANK($V934)</formula>
    </cfRule>
  </conditionalFormatting>
  <conditionalFormatting sqref="AQ934:AT934">
    <cfRule type="expression" dxfId="102" priority="2794">
      <formula>ISBLANK($V934)</formula>
    </cfRule>
  </conditionalFormatting>
  <conditionalFormatting sqref="AQ933:AT933">
    <cfRule type="expression" dxfId="101" priority="2793">
      <formula>ISBLANK($V933)</formula>
    </cfRule>
  </conditionalFormatting>
  <conditionalFormatting sqref="AQ935:AT935">
    <cfRule type="expression" dxfId="100" priority="2775">
      <formula>ISBLANK($V935)</formula>
    </cfRule>
  </conditionalFormatting>
  <conditionalFormatting sqref="AQ935:AT935">
    <cfRule type="expression" dxfId="99" priority="2774">
      <formula>ISBLANK($V935)</formula>
    </cfRule>
  </conditionalFormatting>
  <conditionalFormatting sqref="AQ934:AT934">
    <cfRule type="expression" dxfId="98" priority="2773">
      <formula>ISBLANK($V934)</formula>
    </cfRule>
  </conditionalFormatting>
  <conditionalFormatting sqref="AQ935:AT935">
    <cfRule type="expression" dxfId="97" priority="2768">
      <formula>ISBLANK($V935)</formula>
    </cfRule>
  </conditionalFormatting>
  <conditionalFormatting sqref="AQ934:AT934">
    <cfRule type="expression" dxfId="96" priority="2767">
      <formula>ISBLANK($V934)</formula>
    </cfRule>
  </conditionalFormatting>
  <conditionalFormatting sqref="AQ934:AT934">
    <cfRule type="expression" dxfId="95" priority="2766">
      <formula>ISBLANK($V934)</formula>
    </cfRule>
  </conditionalFormatting>
  <conditionalFormatting sqref="AQ933:AT933">
    <cfRule type="expression" dxfId="94" priority="2765">
      <formula>ISBLANK($V933)</formula>
    </cfRule>
  </conditionalFormatting>
  <conditionalFormatting sqref="AQ935:AT935">
    <cfRule type="expression" dxfId="93" priority="2750">
      <formula>ISBLANK($V935)</formula>
    </cfRule>
  </conditionalFormatting>
  <conditionalFormatting sqref="AQ935:AT935">
    <cfRule type="expression" dxfId="92" priority="2745">
      <formula>ISBLANK($V935)</formula>
    </cfRule>
  </conditionalFormatting>
  <conditionalFormatting sqref="AQ934:AT934">
    <cfRule type="expression" dxfId="91" priority="2744">
      <formula>ISBLANK($V934)</formula>
    </cfRule>
  </conditionalFormatting>
  <conditionalFormatting sqref="AQ934:AT934">
    <cfRule type="expression" dxfId="90" priority="2743">
      <formula>ISBLANK($V934)</formula>
    </cfRule>
  </conditionalFormatting>
  <conditionalFormatting sqref="AQ933:AT933">
    <cfRule type="expression" dxfId="89" priority="2742">
      <formula>ISBLANK($V933)</formula>
    </cfRule>
  </conditionalFormatting>
  <conditionalFormatting sqref="AQ935:AT935">
    <cfRule type="expression" dxfId="88" priority="2738">
      <formula>ISBLANK($V935)</formula>
    </cfRule>
  </conditionalFormatting>
  <conditionalFormatting sqref="AQ934:AT934">
    <cfRule type="expression" dxfId="87" priority="2737">
      <formula>ISBLANK($V934)</formula>
    </cfRule>
  </conditionalFormatting>
  <conditionalFormatting sqref="AQ933:AT933">
    <cfRule type="expression" dxfId="86" priority="2736">
      <formula>ISBLANK($V933)</formula>
    </cfRule>
  </conditionalFormatting>
  <conditionalFormatting sqref="AQ933:AT933">
    <cfRule type="expression" dxfId="85" priority="2735">
      <formula>ISBLANK($V933)</formula>
    </cfRule>
  </conditionalFormatting>
  <conditionalFormatting sqref="AQ932:AT932">
    <cfRule type="expression" dxfId="84" priority="2734">
      <formula>ISBLANK($V932)</formula>
    </cfRule>
  </conditionalFormatting>
  <conditionalFormatting sqref="AQ935:AT935">
    <cfRule type="expression" dxfId="83" priority="2696">
      <formula>ISBLANK($V935)</formula>
    </cfRule>
  </conditionalFormatting>
  <conditionalFormatting sqref="AQ935:AT935">
    <cfRule type="expression" dxfId="82" priority="2674">
      <formula>ISBLANK($V935)</formula>
    </cfRule>
  </conditionalFormatting>
  <conditionalFormatting sqref="AQ935:AT935">
    <cfRule type="expression" dxfId="81" priority="2657">
      <formula>ISBLANK($V935)</formula>
    </cfRule>
  </conditionalFormatting>
  <conditionalFormatting sqref="AQ935:AT935">
    <cfRule type="expression" dxfId="80" priority="2651">
      <formula>ISBLANK($V935)</formula>
    </cfRule>
  </conditionalFormatting>
  <conditionalFormatting sqref="AQ935:AT935">
    <cfRule type="expression" dxfId="79" priority="2650">
      <formula>ISBLANK($V935)</formula>
    </cfRule>
  </conditionalFormatting>
  <conditionalFormatting sqref="AQ934:AT934">
    <cfRule type="expression" dxfId="78" priority="2649">
      <formula>ISBLANK($V934)</formula>
    </cfRule>
  </conditionalFormatting>
  <conditionalFormatting sqref="AQ935:AT935">
    <cfRule type="expression" dxfId="77" priority="2627">
      <formula>ISBLANK($V935)</formula>
    </cfRule>
  </conditionalFormatting>
  <conditionalFormatting sqref="AQ935:AT935">
    <cfRule type="expression" dxfId="76" priority="2610">
      <formula>ISBLANK($V935)</formula>
    </cfRule>
  </conditionalFormatting>
  <conditionalFormatting sqref="AQ935:AT935">
    <cfRule type="expression" dxfId="75" priority="2604">
      <formula>ISBLANK($V935)</formula>
    </cfRule>
  </conditionalFormatting>
  <conditionalFormatting sqref="AQ935:AT935">
    <cfRule type="expression" dxfId="74" priority="2603">
      <formula>ISBLANK($V935)</formula>
    </cfRule>
  </conditionalFormatting>
  <conditionalFormatting sqref="AQ934:AT934">
    <cfRule type="expression" dxfId="73" priority="2602">
      <formula>ISBLANK($V934)</formula>
    </cfRule>
  </conditionalFormatting>
  <conditionalFormatting sqref="AQ935:AT935">
    <cfRule type="expression" dxfId="72" priority="2585">
      <formula>ISBLANK($V935)</formula>
    </cfRule>
  </conditionalFormatting>
  <conditionalFormatting sqref="AQ935:AT935">
    <cfRule type="expression" dxfId="71" priority="2579">
      <formula>ISBLANK($V935)</formula>
    </cfRule>
  </conditionalFormatting>
  <conditionalFormatting sqref="AQ935:AT935">
    <cfRule type="expression" dxfId="70" priority="2578">
      <formula>ISBLANK($V935)</formula>
    </cfRule>
  </conditionalFormatting>
  <conditionalFormatting sqref="AQ934:AT934">
    <cfRule type="expression" dxfId="69" priority="2577">
      <formula>ISBLANK($V934)</formula>
    </cfRule>
  </conditionalFormatting>
  <conditionalFormatting sqref="AQ935:AT935">
    <cfRule type="expression" dxfId="68" priority="2559">
      <formula>ISBLANK($V935)</formula>
    </cfRule>
  </conditionalFormatting>
  <conditionalFormatting sqref="AQ935:AT935">
    <cfRule type="expression" dxfId="67" priority="2558">
      <formula>ISBLANK($V935)</formula>
    </cfRule>
  </conditionalFormatting>
  <conditionalFormatting sqref="AQ934:AT934">
    <cfRule type="expression" dxfId="66" priority="2557">
      <formula>ISBLANK($V934)</formula>
    </cfRule>
  </conditionalFormatting>
  <conditionalFormatting sqref="AQ935:AT935">
    <cfRule type="expression" dxfId="65" priority="2552">
      <formula>ISBLANK($V935)</formula>
    </cfRule>
  </conditionalFormatting>
  <conditionalFormatting sqref="AQ934:AT934">
    <cfRule type="expression" dxfId="64" priority="2551">
      <formula>ISBLANK($V934)</formula>
    </cfRule>
  </conditionalFormatting>
  <conditionalFormatting sqref="AQ934:AT934">
    <cfRule type="expression" dxfId="63" priority="2550">
      <formula>ISBLANK($V934)</formula>
    </cfRule>
  </conditionalFormatting>
  <conditionalFormatting sqref="AQ933:AT933">
    <cfRule type="expression" dxfId="62" priority="2549">
      <formula>ISBLANK($V933)</formula>
    </cfRule>
  </conditionalFormatting>
  <conditionalFormatting sqref="AQ935:AT935">
    <cfRule type="expression" dxfId="61" priority="2511">
      <formula>ISBLANK($V935)</formula>
    </cfRule>
  </conditionalFormatting>
  <conditionalFormatting sqref="AQ935:AT935">
    <cfRule type="expression" dxfId="60" priority="2489">
      <formula>ISBLANK($V935)</formula>
    </cfRule>
  </conditionalFormatting>
  <conditionalFormatting sqref="AQ935:AT935">
    <cfRule type="expression" dxfId="59" priority="2472">
      <formula>ISBLANK($V935)</formula>
    </cfRule>
  </conditionalFormatting>
  <conditionalFormatting sqref="AQ935:AT935">
    <cfRule type="expression" dxfId="58" priority="2466">
      <formula>ISBLANK($V935)</formula>
    </cfRule>
  </conditionalFormatting>
  <conditionalFormatting sqref="AQ935:AT935">
    <cfRule type="expression" dxfId="57" priority="2465">
      <formula>ISBLANK($V935)</formula>
    </cfRule>
  </conditionalFormatting>
  <conditionalFormatting sqref="AQ934:AT934">
    <cfRule type="expression" dxfId="56" priority="2464">
      <formula>ISBLANK($V934)</formula>
    </cfRule>
  </conditionalFormatting>
  <conditionalFormatting sqref="AQ935:AT935">
    <cfRule type="expression" dxfId="55" priority="2442">
      <formula>ISBLANK($V935)</formula>
    </cfRule>
  </conditionalFormatting>
  <conditionalFormatting sqref="AQ935:AT935">
    <cfRule type="expression" dxfId="54" priority="2425">
      <formula>ISBLANK($V935)</formula>
    </cfRule>
  </conditionalFormatting>
  <conditionalFormatting sqref="AQ935:AT935">
    <cfRule type="expression" dxfId="53" priority="2419">
      <formula>ISBLANK($V935)</formula>
    </cfRule>
  </conditionalFormatting>
  <conditionalFormatting sqref="AQ935:AT935">
    <cfRule type="expression" dxfId="52" priority="2418">
      <formula>ISBLANK($V935)</formula>
    </cfRule>
  </conditionalFormatting>
  <conditionalFormatting sqref="AQ934:AT934">
    <cfRule type="expression" dxfId="51" priority="2417">
      <formula>ISBLANK($V934)</formula>
    </cfRule>
  </conditionalFormatting>
  <conditionalFormatting sqref="AQ935:AT935">
    <cfRule type="expression" dxfId="50" priority="2400">
      <formula>ISBLANK($V935)</formula>
    </cfRule>
  </conditionalFormatting>
  <conditionalFormatting sqref="AQ935:AT935">
    <cfRule type="expression" dxfId="49" priority="2394">
      <formula>ISBLANK($V935)</formula>
    </cfRule>
  </conditionalFormatting>
  <conditionalFormatting sqref="AQ935:AT935">
    <cfRule type="expression" dxfId="48" priority="2393">
      <formula>ISBLANK($V935)</formula>
    </cfRule>
  </conditionalFormatting>
  <conditionalFormatting sqref="AQ934:AT934">
    <cfRule type="expression" dxfId="47" priority="2392">
      <formula>ISBLANK($V934)</formula>
    </cfRule>
  </conditionalFormatting>
  <conditionalFormatting sqref="AQ935:AT935">
    <cfRule type="expression" dxfId="46" priority="2374">
      <formula>ISBLANK($V935)</formula>
    </cfRule>
  </conditionalFormatting>
  <conditionalFormatting sqref="AQ935:AT935">
    <cfRule type="expression" dxfId="45" priority="2373">
      <formula>ISBLANK($V935)</formula>
    </cfRule>
  </conditionalFormatting>
  <conditionalFormatting sqref="AQ934:AT934">
    <cfRule type="expression" dxfId="44" priority="2372">
      <formula>ISBLANK($V934)</formula>
    </cfRule>
  </conditionalFormatting>
  <conditionalFormatting sqref="AQ935:AT935">
    <cfRule type="expression" dxfId="43" priority="2367">
      <formula>ISBLANK($V935)</formula>
    </cfRule>
  </conditionalFormatting>
  <conditionalFormatting sqref="AQ934:AT934">
    <cfRule type="expression" dxfId="42" priority="2366">
      <formula>ISBLANK($V934)</formula>
    </cfRule>
  </conditionalFormatting>
  <conditionalFormatting sqref="AQ934:AT934">
    <cfRule type="expression" dxfId="41" priority="2365">
      <formula>ISBLANK($V934)</formula>
    </cfRule>
  </conditionalFormatting>
  <conditionalFormatting sqref="AQ933:AT933">
    <cfRule type="expression" dxfId="40" priority="2364">
      <formula>ISBLANK($V933)</formula>
    </cfRule>
  </conditionalFormatting>
  <conditionalFormatting sqref="AQ935:AT935">
    <cfRule type="expression" dxfId="39" priority="2300">
      <formula>ISBLANK($V935)</formula>
    </cfRule>
  </conditionalFormatting>
  <conditionalFormatting sqref="AQ935:AT935">
    <cfRule type="expression" dxfId="38" priority="2262">
      <formula>ISBLANK($V935)</formula>
    </cfRule>
  </conditionalFormatting>
  <conditionalFormatting sqref="AQ935:AT935">
    <cfRule type="expression" dxfId="37" priority="2240">
      <formula>ISBLANK($V935)</formula>
    </cfRule>
  </conditionalFormatting>
  <conditionalFormatting sqref="AQ935:AT935">
    <cfRule type="expression" dxfId="36" priority="2223">
      <formula>ISBLANK($V935)</formula>
    </cfRule>
  </conditionalFormatting>
  <conditionalFormatting sqref="AQ935:AT935">
    <cfRule type="expression" dxfId="35" priority="2217">
      <formula>ISBLANK($V935)</formula>
    </cfRule>
  </conditionalFormatting>
  <conditionalFormatting sqref="AQ935:AT935">
    <cfRule type="expression" dxfId="34" priority="2216">
      <formula>ISBLANK($V935)</formula>
    </cfRule>
  </conditionalFormatting>
  <conditionalFormatting sqref="AQ934:AT934">
    <cfRule type="expression" dxfId="33" priority="2215">
      <formula>ISBLANK($V934)</formula>
    </cfRule>
  </conditionalFormatting>
  <conditionalFormatting sqref="AS9:AS11">
    <cfRule type="expression" dxfId="32" priority="41">
      <formula>ISBLANK($X9)</formula>
    </cfRule>
  </conditionalFormatting>
  <conditionalFormatting sqref="AS9:AS11">
    <cfRule type="expression" dxfId="31" priority="42">
      <formula>$X9="NOK"</formula>
    </cfRule>
  </conditionalFormatting>
  <conditionalFormatting sqref="AS936:AS937">
    <cfRule type="expression" dxfId="30" priority="39">
      <formula>ISBLANK($X936)</formula>
    </cfRule>
  </conditionalFormatting>
  <conditionalFormatting sqref="AS936:AS937">
    <cfRule type="expression" dxfId="29" priority="40">
      <formula>$X936="NOK"</formula>
    </cfRule>
  </conditionalFormatting>
  <conditionalFormatting sqref="AS938:AS939">
    <cfRule type="expression" dxfId="28" priority="37">
      <formula>ISBLANK($X938)</formula>
    </cfRule>
  </conditionalFormatting>
  <conditionalFormatting sqref="AS938:AS939">
    <cfRule type="expression" dxfId="27" priority="38">
      <formula>$X938="NOK"</formula>
    </cfRule>
  </conditionalFormatting>
  <conditionalFormatting sqref="AS940:AS941">
    <cfRule type="expression" dxfId="26" priority="35">
      <formula>ISBLANK($X940)</formula>
    </cfRule>
  </conditionalFormatting>
  <conditionalFormatting sqref="AS940:AS941">
    <cfRule type="expression" dxfId="25" priority="36">
      <formula>$X940="NOK"</formula>
    </cfRule>
  </conditionalFormatting>
  <conditionalFormatting sqref="AS4:AS8">
    <cfRule type="expression" dxfId="24" priority="7">
      <formula>ISBLANK($X4)</formula>
    </cfRule>
  </conditionalFormatting>
  <conditionalFormatting sqref="AS4:AS8">
    <cfRule type="expression" dxfId="23" priority="8">
      <formula>$X4="NOK"</formula>
    </cfRule>
  </conditionalFormatting>
  <conditionalFormatting sqref="AV4:XFD940 AV1:XFD2">
    <cfRule type="expression" dxfId="22" priority="26164">
      <formula>ISBLANK($T2)</formula>
    </cfRule>
    <cfRule type="expression" dxfId="21" priority="26165">
      <formula>$T2="NOK"</formula>
    </cfRule>
    <cfRule type="expression" dxfId="20" priority="26166">
      <formula>$M2&lt;&gt;$AB2</formula>
    </cfRule>
  </conditionalFormatting>
  <conditionalFormatting sqref="Y4:Y941">
    <cfRule type="expression" dxfId="19" priority="26176">
      <formula>ISBLANK($W5)</formula>
    </cfRule>
    <cfRule type="expression" dxfId="18" priority="26177">
      <formula>$W5="NOK"</formula>
    </cfRule>
    <cfRule type="expression" dxfId="17" priority="26178">
      <formula>$K5&lt;&gt;$AD5</formula>
    </cfRule>
  </conditionalFormatting>
  <conditionalFormatting sqref="B4:B942">
    <cfRule type="expression" dxfId="16" priority="23377">
      <formula>T4 &lt;&gt; IF(X4="INM",(1*AH4)*AD4,AK4*AH4)</formula>
    </cfRule>
  </conditionalFormatting>
  <conditionalFormatting sqref="B4:B942">
    <cfRule type="expression" dxfId="15" priority="23376">
      <formula xml:space="preserve"> D4&lt;&gt;X4</formula>
    </cfRule>
  </conditionalFormatting>
  <conditionalFormatting sqref="E4:E941">
    <cfRule type="expression" dxfId="14" priority="4">
      <formula>AND(UPPER(TRIM($D4))="INM", ISERROR(MATCH(E4, Tabela_INM, 0)))</formula>
    </cfRule>
    <cfRule type="expression" dxfId="13" priority="5">
      <formula>ISBLANK($W4)</formula>
    </cfRule>
  </conditionalFormatting>
  <conditionalFormatting sqref="E4:E941">
    <cfRule type="expression" dxfId="12" priority="6">
      <formula>$W4="NOK"</formula>
    </cfRule>
  </conditionalFormatting>
  <conditionalFormatting sqref="E4:E941">
    <cfRule type="expression" dxfId="11" priority="3">
      <formula>AND(UPPER(TRIM($D4))&lt;&gt;"INM", ISNUMBER(MATCH(E4, Tabela_INM, 0)))</formula>
    </cfRule>
  </conditionalFormatting>
  <conditionalFormatting sqref="Y4:Y941">
    <cfRule type="expression" dxfId="10" priority="1">
      <formula>AND(UPPER(TRIM($X4))="INM", ISERROR(MATCH(Y4, Tabela_INM, 0)))</formula>
    </cfRule>
    <cfRule type="expression" dxfId="9" priority="2">
      <formula>AND(UPPER(TRIM($X4))&lt;&gt;"INM", ISNUMBER(MATCH(Y4, Tabela_INM, 0)))</formula>
    </cfRule>
  </conditionalFormatting>
  <dataValidations count="5">
    <dataValidation type="list" allowBlank="1" showErrorMessage="1" sqref="V4:V941" xr:uid="{00000000-0002-0000-0100-000003000000}">
      <formula1>"OK,NOK"</formula1>
    </dataValidation>
    <dataValidation type="list" allowBlank="1" showErrorMessage="1" sqref="W4:W941" xr:uid="{00000000-0002-0000-0100-000004000000}">
      <formula1>"N/A,Acréscimo,Alteração Requisitos - Incluir Função,Alteração Requisitos - Alterar Função,Alteração Interface,Desistência - Incluir Função,Desistência - Alterar Função,Desistência - Excluir Função"</formula1>
    </dataValidation>
    <dataValidation type="list" allowBlank="1" showErrorMessage="1" sqref="D4:D941 X4:X941" xr:uid="{479F692C-F815-435E-83EF-7D0692890B47}">
      <formula1>Tabela_Tipo</formula1>
    </dataValidation>
    <dataValidation type="list" allowBlank="1" showInputMessage="1" showErrorMessage="1" errorTitle="Código inválido para o Tipo" error="Quando o Tipo for INM, só é permitido: MI-4.7, DMP-4.11, Comp.Arq-4.15" sqref="E4:E941" xr:uid="{F538E8BE-BD98-4BC7-BAAE-BB51C1AB0CBD}">
      <formula1>IF(UPPER(TRIM($D4))="INM",Tabela_INM,Tabela_Sem_INM)</formula1>
    </dataValidation>
    <dataValidation type="list" allowBlank="1" showInputMessage="1" showErrorMessage="1" sqref="Y4:Y941" xr:uid="{D836568F-536C-4159-8045-136F108455DA}">
      <formula1>IF(UPPER(TRIM($X4))="INM",Tabela_INM,Tabela_Sem_INM)</formula1>
    </dataValidation>
  </dataValidations>
  <pageMargins left="0.39370078740157483" right="0.39370078740157483" top="1.0629921259842521" bottom="0.78740157480314965" header="0" footer="0"/>
  <pageSetup paperSize="9" orientation="landscape"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64C87-5113-4485-8A34-53BC610BE4D6}">
  <sheetPr codeName="Planilha6"/>
  <dimension ref="B1:AF944"/>
  <sheetViews>
    <sheetView showGridLines="0" showRowColHeaders="0" zoomScaleNormal="100" workbookViewId="0">
      <selection activeCell="D5" sqref="D5:E5"/>
    </sheetView>
  </sheetViews>
  <sheetFormatPr defaultRowHeight="15" x14ac:dyDescent="0.25"/>
  <cols>
    <col min="1" max="1" width="3.7109375" customWidth="1"/>
    <col min="3" max="3" width="6.28515625" customWidth="1"/>
    <col min="4" max="4" width="4.28515625" customWidth="1"/>
    <col min="5" max="5" width="5.7109375" customWidth="1"/>
    <col min="6" max="6" width="3.7109375" customWidth="1"/>
    <col min="7" max="7" width="5.7109375" customWidth="1"/>
    <col min="8" max="8" width="3.7109375" customWidth="1"/>
    <col min="9" max="9" width="5.7109375" customWidth="1"/>
    <col min="10" max="10" width="3.7109375" customWidth="1"/>
    <col min="11" max="11" width="5.7109375" customWidth="1"/>
    <col min="12" max="12" width="3.7109375" customWidth="1"/>
    <col min="13" max="13" width="5.7109375" customWidth="1"/>
    <col min="14" max="14" width="3.7109375" customWidth="1"/>
    <col min="15" max="15" width="5.7109375" customWidth="1"/>
    <col min="16" max="16" width="3.7109375" customWidth="1"/>
    <col min="17" max="17" width="5.7109375" customWidth="1"/>
    <col min="18" max="18" width="3.7109375" customWidth="1"/>
    <col min="19" max="19" width="5.7109375" customWidth="1"/>
    <col min="21" max="21" width="6.28515625" customWidth="1"/>
    <col min="22" max="22" width="2.7109375" customWidth="1"/>
    <col min="23" max="31" width="8.7109375" customWidth="1"/>
  </cols>
  <sheetData>
    <row r="1" spans="2:32" ht="40.15" customHeight="1" x14ac:dyDescent="0.25"/>
    <row r="2" spans="2:32" ht="24.6" customHeight="1" thickBot="1" x14ac:dyDescent="0.3">
      <c r="B2" s="358" t="s">
        <v>92</v>
      </c>
      <c r="C2" s="358"/>
      <c r="D2" s="358"/>
      <c r="E2" s="358"/>
      <c r="F2" s="358"/>
      <c r="G2" s="358"/>
      <c r="H2" s="358"/>
      <c r="I2" s="358"/>
      <c r="J2" s="358"/>
      <c r="K2" s="358"/>
      <c r="L2" s="358"/>
      <c r="M2" s="358"/>
      <c r="N2" s="358"/>
      <c r="O2" s="358"/>
      <c r="P2" s="358"/>
      <c r="Q2" s="358"/>
      <c r="R2" s="358"/>
      <c r="S2" s="358"/>
      <c r="T2" s="358"/>
      <c r="U2" s="358"/>
      <c r="W2" s="349" t="s">
        <v>93</v>
      </c>
      <c r="X2" s="350"/>
      <c r="Y2" s="350"/>
      <c r="Z2" s="350"/>
      <c r="AA2" s="350"/>
      <c r="AB2" s="350"/>
      <c r="AC2" s="350"/>
      <c r="AD2" s="350"/>
      <c r="AE2" s="350"/>
      <c r="AF2" s="301"/>
    </row>
    <row r="3" spans="2:32" ht="60" customHeight="1" thickBot="1" x14ac:dyDescent="0.3">
      <c r="B3" s="222"/>
      <c r="C3" s="222"/>
      <c r="D3" s="355" t="s">
        <v>94</v>
      </c>
      <c r="E3" s="356"/>
      <c r="F3" s="357" t="s">
        <v>95</v>
      </c>
      <c r="G3" s="356"/>
      <c r="H3" s="357" t="s">
        <v>96</v>
      </c>
      <c r="I3" s="356"/>
      <c r="J3" s="357" t="s">
        <v>97</v>
      </c>
      <c r="K3" s="356"/>
      <c r="L3" s="357" t="s">
        <v>98</v>
      </c>
      <c r="M3" s="356"/>
      <c r="N3" s="357" t="s">
        <v>99</v>
      </c>
      <c r="O3" s="356"/>
      <c r="P3" s="357" t="s">
        <v>100</v>
      </c>
      <c r="Q3" s="356"/>
      <c r="R3" s="357" t="s">
        <v>101</v>
      </c>
      <c r="S3" s="356"/>
      <c r="T3" s="222"/>
      <c r="U3" s="222"/>
      <c r="W3" s="229" t="s">
        <v>81</v>
      </c>
      <c r="X3" s="230" t="str">
        <f>D5</f>
        <v>Requisitos</v>
      </c>
      <c r="Y3" s="230" t="str">
        <f>F5</f>
        <v>Analise</v>
      </c>
      <c r="Z3" s="230" t="str">
        <f>H5</f>
        <v>Desenvolvimento</v>
      </c>
      <c r="AA3" s="230" t="str">
        <f>J5</f>
        <v>Implantação</v>
      </c>
      <c r="AB3" s="230" t="str">
        <f>L5</f>
        <v>Teste</v>
      </c>
      <c r="AC3" s="230" t="str">
        <f>N5</f>
        <v>Homologação</v>
      </c>
      <c r="AD3" s="230" t="str">
        <f>P5</f>
        <v>Gestão Do Projeto</v>
      </c>
      <c r="AE3" s="230" t="str">
        <f>R5</f>
        <v>Ger. Config. Software</v>
      </c>
      <c r="AF3" s="231" t="s">
        <v>102</v>
      </c>
    </row>
    <row r="4" spans="2:32" ht="60" customHeight="1" thickBot="1" x14ac:dyDescent="0.35">
      <c r="B4" s="359" t="s">
        <v>103</v>
      </c>
      <c r="C4" s="360"/>
      <c r="D4" s="353">
        <v>0.1</v>
      </c>
      <c r="E4" s="352"/>
      <c r="F4" s="351">
        <v>0.23</v>
      </c>
      <c r="G4" s="352"/>
      <c r="H4" s="351">
        <v>0.3</v>
      </c>
      <c r="I4" s="352"/>
      <c r="J4" s="351">
        <v>0.04</v>
      </c>
      <c r="K4" s="352"/>
      <c r="L4" s="351">
        <v>0.1</v>
      </c>
      <c r="M4" s="352"/>
      <c r="N4" s="351">
        <v>0.05</v>
      </c>
      <c r="O4" s="352"/>
      <c r="P4" s="351">
        <v>0.15</v>
      </c>
      <c r="Q4" s="352"/>
      <c r="R4" s="351">
        <v>0.03</v>
      </c>
      <c r="S4" s="352"/>
      <c r="T4" s="361">
        <f>SUM(D4:S4)</f>
        <v>1</v>
      </c>
      <c r="U4" s="362"/>
      <c r="W4" s="213">
        <f>SUM(C6:C943)</f>
        <v>4.2</v>
      </c>
      <c r="X4" s="214">
        <f>SUM(E6:E943)</f>
        <v>0</v>
      </c>
      <c r="Y4" s="214">
        <f>SUM(G6:G943)</f>
        <v>0</v>
      </c>
      <c r="Z4" s="214">
        <f>SUM(I6:I943)</f>
        <v>0</v>
      </c>
      <c r="AA4" s="214">
        <f>SUM(K6:K943)</f>
        <v>0</v>
      </c>
      <c r="AB4" s="214">
        <f>SUM(M6:M943)</f>
        <v>0</v>
      </c>
      <c r="AC4" s="214">
        <f>SUM(O6:O943)</f>
        <v>0</v>
      </c>
      <c r="AD4" s="214">
        <f>SUM(Q6:Q943)</f>
        <v>0</v>
      </c>
      <c r="AE4" s="214">
        <f>SUM(S6:S943)</f>
        <v>0</v>
      </c>
      <c r="AF4" s="215">
        <f>SUM(X4:AE4)</f>
        <v>0</v>
      </c>
    </row>
    <row r="5" spans="2:32" ht="57" customHeight="1" thickBot="1" x14ac:dyDescent="0.3">
      <c r="B5" s="208" t="s">
        <v>63</v>
      </c>
      <c r="C5" s="209" t="s">
        <v>81</v>
      </c>
      <c r="D5" s="354" t="s">
        <v>104</v>
      </c>
      <c r="E5" s="354"/>
      <c r="F5" s="354" t="s">
        <v>105</v>
      </c>
      <c r="G5" s="354"/>
      <c r="H5" s="354" t="s">
        <v>106</v>
      </c>
      <c r="I5" s="354"/>
      <c r="J5" s="354" t="s">
        <v>107</v>
      </c>
      <c r="K5" s="354"/>
      <c r="L5" s="354" t="s">
        <v>108</v>
      </c>
      <c r="M5" s="354"/>
      <c r="N5" s="354" t="s">
        <v>109</v>
      </c>
      <c r="O5" s="354"/>
      <c r="P5" s="354" t="s">
        <v>110</v>
      </c>
      <c r="Q5" s="354"/>
      <c r="R5" s="354" t="s">
        <v>111</v>
      </c>
      <c r="S5" s="354"/>
      <c r="T5" s="209" t="s">
        <v>112</v>
      </c>
      <c r="U5" s="210" t="s">
        <v>113</v>
      </c>
      <c r="W5" s="123"/>
      <c r="X5" s="346" t="s">
        <v>114</v>
      </c>
      <c r="Y5" s="347"/>
      <c r="Z5" s="347"/>
      <c r="AA5" s="347"/>
      <c r="AB5" s="347"/>
      <c r="AC5" s="347"/>
      <c r="AD5" s="347"/>
      <c r="AE5" s="348"/>
      <c r="AF5" s="123"/>
    </row>
    <row r="6" spans="2:32" x14ac:dyDescent="0.25">
      <c r="B6" s="241">
        <f>IF(Contagem!B4=0,"",Contagem!B4)</f>
        <v>370622</v>
      </c>
      <c r="C6" s="242">
        <f>IF(Contagem!T4 &gt; 0,Contagem!T4,"")</f>
        <v>2.4</v>
      </c>
      <c r="D6" s="207"/>
      <c r="E6" s="211" t="str">
        <f>IFERROR(IF(AND($D$4&lt;&gt; 0,D6="Sim", $C6 &gt; 0),$C6*$D$4,""),0)</f>
        <v/>
      </c>
      <c r="F6" s="207"/>
      <c r="G6" s="211" t="str">
        <f>IFERROR(IF(AND($F$4&lt;&gt; 0,F6="Sim", $C6 &gt; 0),$C6*$F$4,""),0)</f>
        <v/>
      </c>
      <c r="H6" s="207"/>
      <c r="I6" s="211" t="str">
        <f>IFERROR(IF(AND($H$4&lt;&gt; 0,H6="Sim", $C6 &gt; 0),$C6*$H$4,""),0)</f>
        <v/>
      </c>
      <c r="J6" s="207"/>
      <c r="K6" s="211" t="str">
        <f>IFERROR(IF(AND($J$4&lt;&gt; 0,J6="Sim", $C6 &gt; 0),$C6*$J$4,""),0)</f>
        <v/>
      </c>
      <c r="L6" s="207"/>
      <c r="M6" s="211" t="str">
        <f>IFERROR(IF(AND($L$4&lt;&gt; 0,L6="Sim", $C6 &gt; 0),$C6*$L$4,""),0)</f>
        <v/>
      </c>
      <c r="N6" s="207"/>
      <c r="O6" s="211" t="str">
        <f>IFERROR(IF(AND($N$4&lt;&gt; 0,N6="Sim", $C6 &gt; 0),$C6*$N$4,""),0)</f>
        <v/>
      </c>
      <c r="P6" s="207"/>
      <c r="Q6" s="211" t="str">
        <f>IFERROR(IF(AND($P$4&lt;&gt; 0,P6="Sim", $C6 &gt; 0),$C6*$P$4,""),0)</f>
        <v/>
      </c>
      <c r="R6" s="207"/>
      <c r="S6" s="211" t="str">
        <f>IFERROR(IF(AND($R$4&lt;&gt; 0,R6="Sim", $C6 &gt; 0),$C6*$R$4,""),0)</f>
        <v/>
      </c>
      <c r="T6" s="272" t="str">
        <f>IFERROR(U6/C6,"")</f>
        <v/>
      </c>
      <c r="U6" s="212" t="str">
        <f>IF(SUM(E6,G6,I6,K6,M6,O6,Q6,S6) &gt; 0,SUM(E6,G6,I6,K6,M6,O6,Q6,S6),"")</f>
        <v/>
      </c>
      <c r="X6" s="238" t="s">
        <v>94</v>
      </c>
      <c r="Y6" s="239" t="s">
        <v>95</v>
      </c>
      <c r="Z6" s="239" t="s">
        <v>96</v>
      </c>
      <c r="AA6" s="239" t="s">
        <v>97</v>
      </c>
      <c r="AB6" s="239" t="s">
        <v>98</v>
      </c>
      <c r="AC6" s="239" t="s">
        <v>99</v>
      </c>
      <c r="AD6" s="239" t="s">
        <v>100</v>
      </c>
      <c r="AE6" s="240" t="s">
        <v>101</v>
      </c>
    </row>
    <row r="7" spans="2:32" ht="15.75" thickBot="1" x14ac:dyDescent="0.3">
      <c r="B7" s="241">
        <f>IF(Contagem!B5=0,"",Contagem!B5)</f>
        <v>370622</v>
      </c>
      <c r="C7" s="242">
        <f>IF(Contagem!T5 &gt; 0,Contagem!T5,"")</f>
        <v>0.6</v>
      </c>
      <c r="D7" s="207"/>
      <c r="E7" s="211" t="str">
        <f t="shared" ref="E7:E70" si="0">IFERROR(IF(AND($D$4&lt;&gt; 0,D7="Sim", $C7 &gt; 0),$C7*$D$4,""),0)</f>
        <v/>
      </c>
      <c r="F7" s="207"/>
      <c r="G7" s="211" t="str">
        <f t="shared" ref="G7:G70" si="1">IFERROR(IF(AND($F$4&lt;&gt; 0,F7="Sim", $C7 &gt; 0),$C7*$F$4,""),0)</f>
        <v/>
      </c>
      <c r="H7" s="207"/>
      <c r="I7" s="211" t="str">
        <f t="shared" ref="I7:I70" si="2">IFERROR(IF(AND($H$4&lt;&gt; 0,H7="Sim", $C7 &gt; 0),$C7*$H$4,""),0)</f>
        <v/>
      </c>
      <c r="J7" s="207"/>
      <c r="K7" s="211" t="str">
        <f t="shared" ref="K7:K70" si="3">IFERROR(IF(AND($J$4&lt;&gt; 0,J7="Sim", $C7 &gt; 0),$C7*$J$4,""),0)</f>
        <v/>
      </c>
      <c r="L7" s="207"/>
      <c r="M7" s="211" t="str">
        <f t="shared" ref="M7:M70" si="4">IFERROR(IF(AND($L$4&lt;&gt; 0,L7="Sim", $C7 &gt; 0),$C7*$L$4,""),0)</f>
        <v/>
      </c>
      <c r="N7" s="207"/>
      <c r="O7" s="211" t="str">
        <f t="shared" ref="O7:O70" si="5">IFERROR(IF(AND($N$4&lt;&gt; 0,N7="Sim", $C7 &gt; 0),$C7*$N$4,""),0)</f>
        <v/>
      </c>
      <c r="P7" s="207"/>
      <c r="Q7" s="211" t="str">
        <f t="shared" ref="Q7:Q70" si="6">IFERROR(IF(AND($P$4&lt;&gt; 0,P7="Sim", $C7 &gt; 0),$C7*$P$4,""),0)</f>
        <v/>
      </c>
      <c r="R7" s="207"/>
      <c r="S7" s="211" t="str">
        <f t="shared" ref="S7:S70" si="7">IFERROR(IF(AND($R$4&lt;&gt; 0,R7="Sim", $C7 &gt; 0),$C7*$R$4,""),0)</f>
        <v/>
      </c>
      <c r="T7" s="272" t="str">
        <f t="shared" ref="T7:T70" si="8">IFERROR(U7/C7,"")</f>
        <v/>
      </c>
      <c r="U7" s="212" t="str">
        <f t="shared" ref="U7:U70" si="9">IF(SUM(E7,G7,I7,K7,M7,O7,Q7,S7) &gt; 0,SUM(E7,G7,I7,K7,M7,O7,Q7,S7),"")</f>
        <v/>
      </c>
      <c r="X7" s="232" t="s">
        <v>115</v>
      </c>
      <c r="Y7" s="233" t="s">
        <v>115</v>
      </c>
      <c r="Z7" s="233" t="s">
        <v>115</v>
      </c>
      <c r="AA7" s="233" t="s">
        <v>115</v>
      </c>
      <c r="AB7" s="233" t="s">
        <v>115</v>
      </c>
      <c r="AC7" s="233" t="s">
        <v>115</v>
      </c>
      <c r="AD7" s="233" t="s">
        <v>115</v>
      </c>
      <c r="AE7" s="234" t="s">
        <v>115</v>
      </c>
    </row>
    <row r="8" spans="2:32" x14ac:dyDescent="0.25">
      <c r="B8" s="241">
        <f>IF(Contagem!B6=0,"",Contagem!B6)</f>
        <v>370622</v>
      </c>
      <c r="C8" s="242">
        <f>IF(Contagem!T6 &gt; 0,Contagem!T6,"")</f>
        <v>0.6</v>
      </c>
      <c r="D8" s="207"/>
      <c r="E8" s="211" t="str">
        <f t="shared" si="0"/>
        <v/>
      </c>
      <c r="F8" s="207"/>
      <c r="G8" s="211" t="str">
        <f t="shared" si="1"/>
        <v/>
      </c>
      <c r="H8" s="207"/>
      <c r="I8" s="211" t="str">
        <f t="shared" si="2"/>
        <v/>
      </c>
      <c r="J8" s="207"/>
      <c r="K8" s="211" t="str">
        <f t="shared" si="3"/>
        <v/>
      </c>
      <c r="L8" s="207"/>
      <c r="M8" s="211" t="str">
        <f t="shared" si="4"/>
        <v/>
      </c>
      <c r="N8" s="207"/>
      <c r="O8" s="211" t="str">
        <f t="shared" si="5"/>
        <v/>
      </c>
      <c r="P8" s="207"/>
      <c r="Q8" s="211" t="str">
        <f t="shared" si="6"/>
        <v/>
      </c>
      <c r="R8" s="207"/>
      <c r="S8" s="211" t="str">
        <f t="shared" si="7"/>
        <v/>
      </c>
      <c r="T8" s="272" t="str">
        <f t="shared" si="8"/>
        <v/>
      </c>
      <c r="U8" s="212" t="str">
        <f t="shared" si="9"/>
        <v/>
      </c>
    </row>
    <row r="9" spans="2:32" x14ac:dyDescent="0.25">
      <c r="B9" s="241">
        <f>IF(Contagem!B7=0,"",Contagem!B7)</f>
        <v>370622</v>
      </c>
      <c r="C9" s="242">
        <f>IF(Contagem!T7 &gt; 0,Contagem!T7,"")</f>
        <v>0.6</v>
      </c>
      <c r="D9" s="207"/>
      <c r="E9" s="211" t="str">
        <f t="shared" si="0"/>
        <v/>
      </c>
      <c r="F9" s="207"/>
      <c r="G9" s="211" t="str">
        <f t="shared" si="1"/>
        <v/>
      </c>
      <c r="H9" s="207"/>
      <c r="I9" s="211" t="str">
        <f t="shared" si="2"/>
        <v/>
      </c>
      <c r="J9" s="207"/>
      <c r="K9" s="211" t="str">
        <f t="shared" si="3"/>
        <v/>
      </c>
      <c r="L9" s="207"/>
      <c r="M9" s="211" t="str">
        <f t="shared" si="4"/>
        <v/>
      </c>
      <c r="N9" s="207"/>
      <c r="O9" s="211" t="str">
        <f t="shared" si="5"/>
        <v/>
      </c>
      <c r="P9" s="207"/>
      <c r="Q9" s="211" t="str">
        <f t="shared" si="6"/>
        <v/>
      </c>
      <c r="R9" s="207"/>
      <c r="S9" s="211" t="str">
        <f t="shared" si="7"/>
        <v/>
      </c>
      <c r="T9" s="272" t="str">
        <f t="shared" si="8"/>
        <v/>
      </c>
      <c r="U9" s="212" t="str">
        <f t="shared" si="9"/>
        <v/>
      </c>
    </row>
    <row r="10" spans="2:32" x14ac:dyDescent="0.25">
      <c r="B10" s="241" t="str">
        <f>IF(Contagem!B8=0,"",Contagem!B8)</f>
        <v/>
      </c>
      <c r="C10" s="242" t="str">
        <f>IF(Contagem!T8 &gt; 0,Contagem!T8,"")</f>
        <v/>
      </c>
      <c r="D10" s="207"/>
      <c r="E10" s="211" t="str">
        <f t="shared" si="0"/>
        <v/>
      </c>
      <c r="F10" s="207"/>
      <c r="G10" s="211" t="str">
        <f t="shared" si="1"/>
        <v/>
      </c>
      <c r="H10" s="207"/>
      <c r="I10" s="211" t="str">
        <f t="shared" si="2"/>
        <v/>
      </c>
      <c r="J10" s="207"/>
      <c r="K10" s="211" t="str">
        <f t="shared" si="3"/>
        <v/>
      </c>
      <c r="L10" s="207"/>
      <c r="M10" s="211" t="str">
        <f t="shared" si="4"/>
        <v/>
      </c>
      <c r="N10" s="207"/>
      <c r="O10" s="211" t="str">
        <f t="shared" si="5"/>
        <v/>
      </c>
      <c r="P10" s="207"/>
      <c r="Q10" s="211" t="str">
        <f t="shared" si="6"/>
        <v/>
      </c>
      <c r="R10" s="207"/>
      <c r="S10" s="211" t="str">
        <f t="shared" si="7"/>
        <v/>
      </c>
      <c r="T10" s="272" t="str">
        <f t="shared" si="8"/>
        <v/>
      </c>
      <c r="U10" s="212" t="str">
        <f t="shared" si="9"/>
        <v/>
      </c>
      <c r="W10" s="273"/>
    </row>
    <row r="11" spans="2:32" x14ac:dyDescent="0.25">
      <c r="B11" s="241" t="str">
        <f>IF(Contagem!B9=0,"",Contagem!B9)</f>
        <v/>
      </c>
      <c r="C11" s="242" t="str">
        <f>IF(Contagem!T9 &gt; 0,Contagem!T9,"")</f>
        <v/>
      </c>
      <c r="D11" s="207"/>
      <c r="E11" s="211" t="str">
        <f t="shared" si="0"/>
        <v/>
      </c>
      <c r="F11" s="207"/>
      <c r="G11" s="211" t="str">
        <f t="shared" si="1"/>
        <v/>
      </c>
      <c r="H11" s="207"/>
      <c r="I11" s="211" t="str">
        <f t="shared" si="2"/>
        <v/>
      </c>
      <c r="J11" s="207"/>
      <c r="K11" s="211" t="str">
        <f t="shared" si="3"/>
        <v/>
      </c>
      <c r="L11" s="207"/>
      <c r="M11" s="211" t="str">
        <f t="shared" si="4"/>
        <v/>
      </c>
      <c r="N11" s="207"/>
      <c r="O11" s="211" t="str">
        <f t="shared" si="5"/>
        <v/>
      </c>
      <c r="P11" s="207"/>
      <c r="Q11" s="211" t="str">
        <f t="shared" si="6"/>
        <v/>
      </c>
      <c r="R11" s="207"/>
      <c r="S11" s="211" t="str">
        <f t="shared" si="7"/>
        <v/>
      </c>
      <c r="T11" s="272" t="str">
        <f t="shared" si="8"/>
        <v/>
      </c>
      <c r="U11" s="212" t="str">
        <f t="shared" si="9"/>
        <v/>
      </c>
    </row>
    <row r="12" spans="2:32" x14ac:dyDescent="0.25">
      <c r="B12" s="241" t="str">
        <f>IF(Contagem!B10=0,"",Contagem!B10)</f>
        <v/>
      </c>
      <c r="C12" s="242" t="str">
        <f>IF(Contagem!T10 &gt; 0,Contagem!T10,"")</f>
        <v/>
      </c>
      <c r="D12" s="207"/>
      <c r="E12" s="211" t="str">
        <f t="shared" si="0"/>
        <v/>
      </c>
      <c r="F12" s="207"/>
      <c r="G12" s="211" t="str">
        <f t="shared" si="1"/>
        <v/>
      </c>
      <c r="H12" s="207"/>
      <c r="I12" s="211" t="str">
        <f t="shared" si="2"/>
        <v/>
      </c>
      <c r="J12" s="207"/>
      <c r="K12" s="211" t="str">
        <f t="shared" si="3"/>
        <v/>
      </c>
      <c r="L12" s="207"/>
      <c r="M12" s="211" t="str">
        <f t="shared" si="4"/>
        <v/>
      </c>
      <c r="N12" s="207"/>
      <c r="O12" s="211" t="str">
        <f t="shared" si="5"/>
        <v/>
      </c>
      <c r="P12" s="207"/>
      <c r="Q12" s="211" t="str">
        <f t="shared" si="6"/>
        <v/>
      </c>
      <c r="R12" s="207"/>
      <c r="S12" s="211" t="str">
        <f t="shared" si="7"/>
        <v/>
      </c>
      <c r="T12" s="272" t="str">
        <f t="shared" si="8"/>
        <v/>
      </c>
      <c r="U12" s="212" t="str">
        <f t="shared" si="9"/>
        <v/>
      </c>
    </row>
    <row r="13" spans="2:32" x14ac:dyDescent="0.25">
      <c r="B13" s="241" t="str">
        <f>IF(Contagem!B11=0,"",Contagem!B11)</f>
        <v/>
      </c>
      <c r="C13" s="242" t="str">
        <f>IF(Contagem!T11 &gt; 0,Contagem!T11,"")</f>
        <v/>
      </c>
      <c r="D13" s="207"/>
      <c r="E13" s="211" t="str">
        <f t="shared" si="0"/>
        <v/>
      </c>
      <c r="F13" s="207"/>
      <c r="G13" s="211" t="str">
        <f t="shared" si="1"/>
        <v/>
      </c>
      <c r="H13" s="207"/>
      <c r="I13" s="211" t="str">
        <f t="shared" si="2"/>
        <v/>
      </c>
      <c r="J13" s="207"/>
      <c r="K13" s="211" t="str">
        <f t="shared" si="3"/>
        <v/>
      </c>
      <c r="L13" s="207"/>
      <c r="M13" s="211" t="str">
        <f t="shared" si="4"/>
        <v/>
      </c>
      <c r="N13" s="207"/>
      <c r="O13" s="211" t="str">
        <f t="shared" si="5"/>
        <v/>
      </c>
      <c r="P13" s="207"/>
      <c r="Q13" s="211" t="str">
        <f t="shared" si="6"/>
        <v/>
      </c>
      <c r="R13" s="207"/>
      <c r="S13" s="211" t="str">
        <f t="shared" si="7"/>
        <v/>
      </c>
      <c r="T13" s="272" t="str">
        <f t="shared" si="8"/>
        <v/>
      </c>
      <c r="U13" s="212" t="str">
        <f t="shared" si="9"/>
        <v/>
      </c>
    </row>
    <row r="14" spans="2:32" x14ac:dyDescent="0.25">
      <c r="B14" s="241" t="str">
        <f>IF(Contagem!B12=0,"",Contagem!B12)</f>
        <v/>
      </c>
      <c r="C14" s="242" t="str">
        <f>IF(Contagem!T12 &gt; 0,Contagem!T12,"")</f>
        <v/>
      </c>
      <c r="D14" s="207"/>
      <c r="E14" s="211" t="str">
        <f t="shared" si="0"/>
        <v/>
      </c>
      <c r="F14" s="207"/>
      <c r="G14" s="211" t="str">
        <f t="shared" si="1"/>
        <v/>
      </c>
      <c r="H14" s="207"/>
      <c r="I14" s="211" t="str">
        <f t="shared" si="2"/>
        <v/>
      </c>
      <c r="J14" s="207"/>
      <c r="K14" s="211" t="str">
        <f t="shared" si="3"/>
        <v/>
      </c>
      <c r="L14" s="207"/>
      <c r="M14" s="211" t="str">
        <f t="shared" si="4"/>
        <v/>
      </c>
      <c r="N14" s="207"/>
      <c r="O14" s="211" t="str">
        <f t="shared" si="5"/>
        <v/>
      </c>
      <c r="P14" s="207"/>
      <c r="Q14" s="211" t="str">
        <f t="shared" si="6"/>
        <v/>
      </c>
      <c r="R14" s="207"/>
      <c r="S14" s="211" t="str">
        <f t="shared" si="7"/>
        <v/>
      </c>
      <c r="T14" s="272" t="str">
        <f t="shared" si="8"/>
        <v/>
      </c>
      <c r="U14" s="212" t="str">
        <f t="shared" si="9"/>
        <v/>
      </c>
    </row>
    <row r="15" spans="2:32" x14ac:dyDescent="0.25">
      <c r="B15" s="241" t="str">
        <f>IF(Contagem!B13=0,"",Contagem!B13)</f>
        <v/>
      </c>
      <c r="C15" s="242" t="str">
        <f>IF(Contagem!T13 &gt; 0,Contagem!T13,"")</f>
        <v/>
      </c>
      <c r="D15" s="207"/>
      <c r="E15" s="211" t="str">
        <f t="shared" si="0"/>
        <v/>
      </c>
      <c r="F15" s="207"/>
      <c r="G15" s="211" t="str">
        <f t="shared" si="1"/>
        <v/>
      </c>
      <c r="H15" s="207"/>
      <c r="I15" s="211" t="str">
        <f t="shared" si="2"/>
        <v/>
      </c>
      <c r="J15" s="207"/>
      <c r="K15" s="211" t="str">
        <f t="shared" si="3"/>
        <v/>
      </c>
      <c r="L15" s="207"/>
      <c r="M15" s="211" t="str">
        <f t="shared" si="4"/>
        <v/>
      </c>
      <c r="N15" s="207"/>
      <c r="O15" s="211" t="str">
        <f t="shared" si="5"/>
        <v/>
      </c>
      <c r="P15" s="207"/>
      <c r="Q15" s="211" t="str">
        <f t="shared" si="6"/>
        <v/>
      </c>
      <c r="R15" s="207"/>
      <c r="S15" s="211" t="str">
        <f t="shared" si="7"/>
        <v/>
      </c>
      <c r="T15" s="272" t="str">
        <f t="shared" si="8"/>
        <v/>
      </c>
      <c r="U15" s="212" t="str">
        <f t="shared" si="9"/>
        <v/>
      </c>
    </row>
    <row r="16" spans="2:32" x14ac:dyDescent="0.25">
      <c r="B16" s="241" t="str">
        <f>IF(Contagem!B14=0,"",Contagem!B14)</f>
        <v/>
      </c>
      <c r="C16" s="242" t="str">
        <f>IF(Contagem!T14 &gt; 0,Contagem!T14,"")</f>
        <v/>
      </c>
      <c r="D16" s="207"/>
      <c r="E16" s="211" t="str">
        <f t="shared" si="0"/>
        <v/>
      </c>
      <c r="F16" s="207"/>
      <c r="G16" s="211" t="str">
        <f t="shared" si="1"/>
        <v/>
      </c>
      <c r="H16" s="207"/>
      <c r="I16" s="211" t="str">
        <f t="shared" si="2"/>
        <v/>
      </c>
      <c r="J16" s="207"/>
      <c r="K16" s="211" t="str">
        <f t="shared" si="3"/>
        <v/>
      </c>
      <c r="L16" s="207"/>
      <c r="M16" s="211" t="str">
        <f t="shared" si="4"/>
        <v/>
      </c>
      <c r="N16" s="207"/>
      <c r="O16" s="211" t="str">
        <f t="shared" si="5"/>
        <v/>
      </c>
      <c r="P16" s="207"/>
      <c r="Q16" s="211" t="str">
        <f t="shared" si="6"/>
        <v/>
      </c>
      <c r="R16" s="207"/>
      <c r="S16" s="211" t="str">
        <f t="shared" si="7"/>
        <v/>
      </c>
      <c r="T16" s="272" t="str">
        <f t="shared" si="8"/>
        <v/>
      </c>
      <c r="U16" s="212" t="str">
        <f t="shared" si="9"/>
        <v/>
      </c>
    </row>
    <row r="17" spans="2:21" x14ac:dyDescent="0.25">
      <c r="B17" s="241" t="str">
        <f>IF(Contagem!B15=0,"",Contagem!B15)</f>
        <v/>
      </c>
      <c r="C17" s="242" t="str">
        <f>IF(Contagem!T15 &gt; 0,Contagem!T15,"")</f>
        <v/>
      </c>
      <c r="D17" s="207"/>
      <c r="E17" s="211" t="str">
        <f t="shared" si="0"/>
        <v/>
      </c>
      <c r="F17" s="207"/>
      <c r="G17" s="211" t="str">
        <f t="shared" si="1"/>
        <v/>
      </c>
      <c r="H17" s="207"/>
      <c r="I17" s="211" t="str">
        <f t="shared" si="2"/>
        <v/>
      </c>
      <c r="J17" s="207"/>
      <c r="K17" s="211" t="str">
        <f t="shared" si="3"/>
        <v/>
      </c>
      <c r="L17" s="207"/>
      <c r="M17" s="211" t="str">
        <f t="shared" si="4"/>
        <v/>
      </c>
      <c r="N17" s="207"/>
      <c r="O17" s="211" t="str">
        <f t="shared" si="5"/>
        <v/>
      </c>
      <c r="P17" s="207"/>
      <c r="Q17" s="211" t="str">
        <f t="shared" si="6"/>
        <v/>
      </c>
      <c r="R17" s="207"/>
      <c r="S17" s="211" t="str">
        <f t="shared" si="7"/>
        <v/>
      </c>
      <c r="T17" s="272" t="str">
        <f t="shared" si="8"/>
        <v/>
      </c>
      <c r="U17" s="212" t="str">
        <f t="shared" si="9"/>
        <v/>
      </c>
    </row>
    <row r="18" spans="2:21" x14ac:dyDescent="0.25">
      <c r="B18" s="241" t="str">
        <f>IF(Contagem!B16=0,"",Contagem!B16)</f>
        <v/>
      </c>
      <c r="C18" s="242" t="str">
        <f>IF(Contagem!T16 &gt; 0,Contagem!T16,"")</f>
        <v/>
      </c>
      <c r="D18" s="207"/>
      <c r="E18" s="211" t="str">
        <f t="shared" si="0"/>
        <v/>
      </c>
      <c r="F18" s="207"/>
      <c r="G18" s="211" t="str">
        <f t="shared" si="1"/>
        <v/>
      </c>
      <c r="H18" s="207"/>
      <c r="I18" s="211" t="str">
        <f t="shared" si="2"/>
        <v/>
      </c>
      <c r="J18" s="207"/>
      <c r="K18" s="211" t="str">
        <f t="shared" si="3"/>
        <v/>
      </c>
      <c r="L18" s="207"/>
      <c r="M18" s="211" t="str">
        <f t="shared" si="4"/>
        <v/>
      </c>
      <c r="N18" s="207"/>
      <c r="O18" s="211" t="str">
        <f t="shared" si="5"/>
        <v/>
      </c>
      <c r="P18" s="207"/>
      <c r="Q18" s="211" t="str">
        <f t="shared" si="6"/>
        <v/>
      </c>
      <c r="R18" s="207"/>
      <c r="S18" s="211" t="str">
        <f t="shared" si="7"/>
        <v/>
      </c>
      <c r="T18" s="272" t="str">
        <f t="shared" si="8"/>
        <v/>
      </c>
      <c r="U18" s="212" t="str">
        <f t="shared" si="9"/>
        <v/>
      </c>
    </row>
    <row r="19" spans="2:21" x14ac:dyDescent="0.25">
      <c r="B19" s="241" t="str">
        <f>IF(Contagem!B17=0,"",Contagem!B17)</f>
        <v/>
      </c>
      <c r="C19" s="242" t="str">
        <f>IF(Contagem!T17 &gt; 0,Contagem!T17,"")</f>
        <v/>
      </c>
      <c r="D19" s="207"/>
      <c r="E19" s="211" t="str">
        <f t="shared" si="0"/>
        <v/>
      </c>
      <c r="F19" s="207"/>
      <c r="G19" s="211" t="str">
        <f t="shared" si="1"/>
        <v/>
      </c>
      <c r="H19" s="207"/>
      <c r="I19" s="211" t="str">
        <f t="shared" si="2"/>
        <v/>
      </c>
      <c r="J19" s="207"/>
      <c r="K19" s="211" t="str">
        <f t="shared" si="3"/>
        <v/>
      </c>
      <c r="L19" s="207"/>
      <c r="M19" s="211" t="str">
        <f t="shared" si="4"/>
        <v/>
      </c>
      <c r="N19" s="207"/>
      <c r="O19" s="211" t="str">
        <f t="shared" si="5"/>
        <v/>
      </c>
      <c r="P19" s="207"/>
      <c r="Q19" s="211" t="str">
        <f t="shared" si="6"/>
        <v/>
      </c>
      <c r="R19" s="207"/>
      <c r="S19" s="211" t="str">
        <f t="shared" si="7"/>
        <v/>
      </c>
      <c r="T19" s="272" t="str">
        <f t="shared" si="8"/>
        <v/>
      </c>
      <c r="U19" s="212" t="str">
        <f t="shared" si="9"/>
        <v/>
      </c>
    </row>
    <row r="20" spans="2:21" x14ac:dyDescent="0.25">
      <c r="B20" s="241" t="str">
        <f>IF(Contagem!B18=0,"",Contagem!B18)</f>
        <v/>
      </c>
      <c r="C20" s="242" t="str">
        <f>IF(Contagem!T18 &gt; 0,Contagem!T18,"")</f>
        <v/>
      </c>
      <c r="D20" s="207"/>
      <c r="E20" s="211" t="str">
        <f t="shared" si="0"/>
        <v/>
      </c>
      <c r="F20" s="207"/>
      <c r="G20" s="211" t="str">
        <f t="shared" si="1"/>
        <v/>
      </c>
      <c r="H20" s="207"/>
      <c r="I20" s="211" t="str">
        <f t="shared" si="2"/>
        <v/>
      </c>
      <c r="J20" s="207"/>
      <c r="K20" s="211" t="str">
        <f t="shared" si="3"/>
        <v/>
      </c>
      <c r="L20" s="207"/>
      <c r="M20" s="211" t="str">
        <f t="shared" si="4"/>
        <v/>
      </c>
      <c r="N20" s="207"/>
      <c r="O20" s="211" t="str">
        <f t="shared" si="5"/>
        <v/>
      </c>
      <c r="P20" s="207"/>
      <c r="Q20" s="211" t="str">
        <f t="shared" si="6"/>
        <v/>
      </c>
      <c r="R20" s="207"/>
      <c r="S20" s="211" t="str">
        <f t="shared" si="7"/>
        <v/>
      </c>
      <c r="T20" s="272" t="str">
        <f t="shared" si="8"/>
        <v/>
      </c>
      <c r="U20" s="212" t="str">
        <f t="shared" si="9"/>
        <v/>
      </c>
    </row>
    <row r="21" spans="2:21" x14ac:dyDescent="0.25">
      <c r="B21" s="241" t="str">
        <f>IF(Contagem!B19=0,"",Contagem!B19)</f>
        <v/>
      </c>
      <c r="C21" s="242" t="str">
        <f>IF(Contagem!T19 &gt; 0,Contagem!T19,"")</f>
        <v/>
      </c>
      <c r="D21" s="207"/>
      <c r="E21" s="211" t="str">
        <f t="shared" si="0"/>
        <v/>
      </c>
      <c r="F21" s="207"/>
      <c r="G21" s="211" t="str">
        <f t="shared" si="1"/>
        <v/>
      </c>
      <c r="H21" s="207"/>
      <c r="I21" s="211" t="str">
        <f t="shared" si="2"/>
        <v/>
      </c>
      <c r="J21" s="207"/>
      <c r="K21" s="211" t="str">
        <f t="shared" si="3"/>
        <v/>
      </c>
      <c r="L21" s="207"/>
      <c r="M21" s="211" t="str">
        <f t="shared" si="4"/>
        <v/>
      </c>
      <c r="N21" s="207"/>
      <c r="O21" s="211" t="str">
        <f t="shared" si="5"/>
        <v/>
      </c>
      <c r="P21" s="207"/>
      <c r="Q21" s="211" t="str">
        <f t="shared" si="6"/>
        <v/>
      </c>
      <c r="R21" s="207"/>
      <c r="S21" s="211" t="str">
        <f t="shared" si="7"/>
        <v/>
      </c>
      <c r="T21" s="272" t="str">
        <f t="shared" si="8"/>
        <v/>
      </c>
      <c r="U21" s="212" t="str">
        <f t="shared" si="9"/>
        <v/>
      </c>
    </row>
    <row r="22" spans="2:21" x14ac:dyDescent="0.25">
      <c r="B22" s="241" t="str">
        <f>IF(Contagem!B20=0,"",Contagem!B20)</f>
        <v/>
      </c>
      <c r="C22" s="242" t="str">
        <f>IF(Contagem!T20 &gt; 0,Contagem!T20,"")</f>
        <v/>
      </c>
      <c r="D22" s="207"/>
      <c r="E22" s="211" t="str">
        <f t="shared" si="0"/>
        <v/>
      </c>
      <c r="F22" s="207"/>
      <c r="G22" s="211" t="str">
        <f t="shared" si="1"/>
        <v/>
      </c>
      <c r="H22" s="207"/>
      <c r="I22" s="211" t="str">
        <f t="shared" si="2"/>
        <v/>
      </c>
      <c r="J22" s="207"/>
      <c r="K22" s="211" t="str">
        <f t="shared" si="3"/>
        <v/>
      </c>
      <c r="L22" s="207"/>
      <c r="M22" s="211" t="str">
        <f t="shared" si="4"/>
        <v/>
      </c>
      <c r="N22" s="207"/>
      <c r="O22" s="211" t="str">
        <f t="shared" si="5"/>
        <v/>
      </c>
      <c r="P22" s="207"/>
      <c r="Q22" s="211" t="str">
        <f t="shared" si="6"/>
        <v/>
      </c>
      <c r="R22" s="207"/>
      <c r="S22" s="211" t="str">
        <f t="shared" si="7"/>
        <v/>
      </c>
      <c r="T22" s="272" t="str">
        <f t="shared" si="8"/>
        <v/>
      </c>
      <c r="U22" s="212" t="str">
        <f t="shared" si="9"/>
        <v/>
      </c>
    </row>
    <row r="23" spans="2:21" x14ac:dyDescent="0.25">
      <c r="B23" s="241" t="str">
        <f>IF(Contagem!B21=0,"",Contagem!B21)</f>
        <v/>
      </c>
      <c r="C23" s="242" t="str">
        <f>IF(Contagem!T21 &gt; 0,Contagem!T21,"")</f>
        <v/>
      </c>
      <c r="D23" s="207"/>
      <c r="E23" s="211" t="str">
        <f t="shared" si="0"/>
        <v/>
      </c>
      <c r="F23" s="207"/>
      <c r="G23" s="211" t="str">
        <f t="shared" si="1"/>
        <v/>
      </c>
      <c r="H23" s="207"/>
      <c r="I23" s="211" t="str">
        <f t="shared" si="2"/>
        <v/>
      </c>
      <c r="J23" s="207"/>
      <c r="K23" s="211" t="str">
        <f t="shared" si="3"/>
        <v/>
      </c>
      <c r="L23" s="207"/>
      <c r="M23" s="211" t="str">
        <f t="shared" si="4"/>
        <v/>
      </c>
      <c r="N23" s="207"/>
      <c r="O23" s="211" t="str">
        <f t="shared" si="5"/>
        <v/>
      </c>
      <c r="P23" s="207"/>
      <c r="Q23" s="211" t="str">
        <f t="shared" si="6"/>
        <v/>
      </c>
      <c r="R23" s="207"/>
      <c r="S23" s="211" t="str">
        <f t="shared" si="7"/>
        <v/>
      </c>
      <c r="T23" s="272" t="str">
        <f t="shared" si="8"/>
        <v/>
      </c>
      <c r="U23" s="212" t="str">
        <f t="shared" si="9"/>
        <v/>
      </c>
    </row>
    <row r="24" spans="2:21" x14ac:dyDescent="0.25">
      <c r="B24" s="241" t="str">
        <f>IF(Contagem!B22=0,"",Contagem!B22)</f>
        <v/>
      </c>
      <c r="C24" s="242" t="str">
        <f>IF(Contagem!T22 &gt; 0,Contagem!T22,"")</f>
        <v/>
      </c>
      <c r="D24" s="207"/>
      <c r="E24" s="211" t="str">
        <f t="shared" si="0"/>
        <v/>
      </c>
      <c r="F24" s="207"/>
      <c r="G24" s="211" t="str">
        <f t="shared" si="1"/>
        <v/>
      </c>
      <c r="H24" s="207"/>
      <c r="I24" s="211" t="str">
        <f t="shared" si="2"/>
        <v/>
      </c>
      <c r="J24" s="207"/>
      <c r="K24" s="211" t="str">
        <f t="shared" si="3"/>
        <v/>
      </c>
      <c r="L24" s="207"/>
      <c r="M24" s="211" t="str">
        <f t="shared" si="4"/>
        <v/>
      </c>
      <c r="N24" s="207"/>
      <c r="O24" s="211" t="str">
        <f t="shared" si="5"/>
        <v/>
      </c>
      <c r="P24" s="207"/>
      <c r="Q24" s="211" t="str">
        <f t="shared" si="6"/>
        <v/>
      </c>
      <c r="R24" s="207"/>
      <c r="S24" s="211" t="str">
        <f t="shared" si="7"/>
        <v/>
      </c>
      <c r="T24" s="272" t="str">
        <f t="shared" si="8"/>
        <v/>
      </c>
      <c r="U24" s="212" t="str">
        <f t="shared" si="9"/>
        <v/>
      </c>
    </row>
    <row r="25" spans="2:21" x14ac:dyDescent="0.25">
      <c r="B25" s="241" t="str">
        <f>IF(Contagem!B23=0,"",Contagem!B23)</f>
        <v/>
      </c>
      <c r="C25" s="242" t="str">
        <f>IF(Contagem!T23 &gt; 0,Contagem!T23,"")</f>
        <v/>
      </c>
      <c r="D25" s="207"/>
      <c r="E25" s="211" t="str">
        <f t="shared" si="0"/>
        <v/>
      </c>
      <c r="F25" s="207"/>
      <c r="G25" s="211" t="str">
        <f t="shared" si="1"/>
        <v/>
      </c>
      <c r="H25" s="207"/>
      <c r="I25" s="211" t="str">
        <f t="shared" si="2"/>
        <v/>
      </c>
      <c r="J25" s="207"/>
      <c r="K25" s="211" t="str">
        <f t="shared" si="3"/>
        <v/>
      </c>
      <c r="L25" s="207"/>
      <c r="M25" s="211" t="str">
        <f t="shared" si="4"/>
        <v/>
      </c>
      <c r="N25" s="207"/>
      <c r="O25" s="211" t="str">
        <f t="shared" si="5"/>
        <v/>
      </c>
      <c r="P25" s="207"/>
      <c r="Q25" s="211" t="str">
        <f t="shared" si="6"/>
        <v/>
      </c>
      <c r="R25" s="207"/>
      <c r="S25" s="211" t="str">
        <f t="shared" si="7"/>
        <v/>
      </c>
      <c r="T25" s="272" t="str">
        <f t="shared" si="8"/>
        <v/>
      </c>
      <c r="U25" s="212" t="str">
        <f t="shared" si="9"/>
        <v/>
      </c>
    </row>
    <row r="26" spans="2:21" x14ac:dyDescent="0.25">
      <c r="B26" s="241" t="str">
        <f>IF(Contagem!B24=0,"",Contagem!B24)</f>
        <v/>
      </c>
      <c r="C26" s="242" t="str">
        <f>IF(Contagem!T24 &gt; 0,Contagem!T24,"")</f>
        <v/>
      </c>
      <c r="D26" s="207"/>
      <c r="E26" s="211" t="str">
        <f t="shared" si="0"/>
        <v/>
      </c>
      <c r="F26" s="207"/>
      <c r="G26" s="211" t="str">
        <f t="shared" si="1"/>
        <v/>
      </c>
      <c r="H26" s="207"/>
      <c r="I26" s="211" t="str">
        <f t="shared" si="2"/>
        <v/>
      </c>
      <c r="J26" s="207"/>
      <c r="K26" s="211" t="str">
        <f t="shared" si="3"/>
        <v/>
      </c>
      <c r="L26" s="207"/>
      <c r="M26" s="211" t="str">
        <f t="shared" si="4"/>
        <v/>
      </c>
      <c r="N26" s="207"/>
      <c r="O26" s="211" t="str">
        <f t="shared" si="5"/>
        <v/>
      </c>
      <c r="P26" s="207"/>
      <c r="Q26" s="211" t="str">
        <f t="shared" si="6"/>
        <v/>
      </c>
      <c r="R26" s="207"/>
      <c r="S26" s="211" t="str">
        <f t="shared" si="7"/>
        <v/>
      </c>
      <c r="T26" s="272" t="str">
        <f t="shared" si="8"/>
        <v/>
      </c>
      <c r="U26" s="212" t="str">
        <f t="shared" si="9"/>
        <v/>
      </c>
    </row>
    <row r="27" spans="2:21" x14ac:dyDescent="0.25">
      <c r="B27" s="241" t="str">
        <f>IF(Contagem!B25=0,"",Contagem!B25)</f>
        <v/>
      </c>
      <c r="C27" s="242" t="str">
        <f>IF(Contagem!T25 &gt; 0,Contagem!T25,"")</f>
        <v/>
      </c>
      <c r="D27" s="207"/>
      <c r="E27" s="211" t="str">
        <f t="shared" si="0"/>
        <v/>
      </c>
      <c r="F27" s="207"/>
      <c r="G27" s="211" t="str">
        <f t="shared" si="1"/>
        <v/>
      </c>
      <c r="H27" s="207"/>
      <c r="I27" s="211" t="str">
        <f t="shared" si="2"/>
        <v/>
      </c>
      <c r="J27" s="207"/>
      <c r="K27" s="211" t="str">
        <f t="shared" si="3"/>
        <v/>
      </c>
      <c r="L27" s="207"/>
      <c r="M27" s="211" t="str">
        <f t="shared" si="4"/>
        <v/>
      </c>
      <c r="N27" s="207"/>
      <c r="O27" s="211" t="str">
        <f t="shared" si="5"/>
        <v/>
      </c>
      <c r="P27" s="207"/>
      <c r="Q27" s="211" t="str">
        <f t="shared" si="6"/>
        <v/>
      </c>
      <c r="R27" s="207"/>
      <c r="S27" s="211" t="str">
        <f t="shared" si="7"/>
        <v/>
      </c>
      <c r="T27" s="272" t="str">
        <f t="shared" si="8"/>
        <v/>
      </c>
      <c r="U27" s="212" t="str">
        <f t="shared" si="9"/>
        <v/>
      </c>
    </row>
    <row r="28" spans="2:21" x14ac:dyDescent="0.25">
      <c r="B28" s="241" t="str">
        <f>IF(Contagem!B26=0,"",Contagem!B26)</f>
        <v/>
      </c>
      <c r="C28" s="242" t="str">
        <f>IF(Contagem!T26 &gt; 0,Contagem!T26,"")</f>
        <v/>
      </c>
      <c r="D28" s="207"/>
      <c r="E28" s="211" t="str">
        <f t="shared" si="0"/>
        <v/>
      </c>
      <c r="F28" s="207"/>
      <c r="G28" s="211" t="str">
        <f t="shared" si="1"/>
        <v/>
      </c>
      <c r="H28" s="207"/>
      <c r="I28" s="211" t="str">
        <f t="shared" si="2"/>
        <v/>
      </c>
      <c r="J28" s="207"/>
      <c r="K28" s="211" t="str">
        <f t="shared" si="3"/>
        <v/>
      </c>
      <c r="L28" s="207"/>
      <c r="M28" s="211" t="str">
        <f t="shared" si="4"/>
        <v/>
      </c>
      <c r="N28" s="207"/>
      <c r="O28" s="211" t="str">
        <f t="shared" si="5"/>
        <v/>
      </c>
      <c r="P28" s="207"/>
      <c r="Q28" s="211" t="str">
        <f t="shared" si="6"/>
        <v/>
      </c>
      <c r="R28" s="207"/>
      <c r="S28" s="211" t="str">
        <f t="shared" si="7"/>
        <v/>
      </c>
      <c r="T28" s="272" t="str">
        <f t="shared" si="8"/>
        <v/>
      </c>
      <c r="U28" s="212" t="str">
        <f t="shared" si="9"/>
        <v/>
      </c>
    </row>
    <row r="29" spans="2:21" x14ac:dyDescent="0.25">
      <c r="B29" s="241" t="str">
        <f>IF(Contagem!B27=0,"",Contagem!B27)</f>
        <v/>
      </c>
      <c r="C29" s="242" t="str">
        <f>IF(Contagem!T27 &gt; 0,Contagem!T27,"")</f>
        <v/>
      </c>
      <c r="D29" s="207"/>
      <c r="E29" s="211" t="str">
        <f t="shared" si="0"/>
        <v/>
      </c>
      <c r="F29" s="207"/>
      <c r="G29" s="211" t="str">
        <f t="shared" si="1"/>
        <v/>
      </c>
      <c r="H29" s="207"/>
      <c r="I29" s="211" t="str">
        <f t="shared" si="2"/>
        <v/>
      </c>
      <c r="J29" s="207"/>
      <c r="K29" s="211" t="str">
        <f t="shared" si="3"/>
        <v/>
      </c>
      <c r="L29" s="207"/>
      <c r="M29" s="211" t="str">
        <f t="shared" si="4"/>
        <v/>
      </c>
      <c r="N29" s="207"/>
      <c r="O29" s="211" t="str">
        <f t="shared" si="5"/>
        <v/>
      </c>
      <c r="P29" s="207"/>
      <c r="Q29" s="211" t="str">
        <f t="shared" si="6"/>
        <v/>
      </c>
      <c r="R29" s="207"/>
      <c r="S29" s="211" t="str">
        <f t="shared" si="7"/>
        <v/>
      </c>
      <c r="T29" s="272" t="str">
        <f t="shared" si="8"/>
        <v/>
      </c>
      <c r="U29" s="212" t="str">
        <f t="shared" si="9"/>
        <v/>
      </c>
    </row>
    <row r="30" spans="2:21" x14ac:dyDescent="0.25">
      <c r="B30" s="241" t="str">
        <f>IF(Contagem!B28=0,"",Contagem!B28)</f>
        <v/>
      </c>
      <c r="C30" s="242" t="str">
        <f>IF(Contagem!T28 &gt; 0,Contagem!T28,"")</f>
        <v/>
      </c>
      <c r="D30" s="207"/>
      <c r="E30" s="211" t="str">
        <f t="shared" si="0"/>
        <v/>
      </c>
      <c r="F30" s="207"/>
      <c r="G30" s="211" t="str">
        <f t="shared" si="1"/>
        <v/>
      </c>
      <c r="H30" s="207"/>
      <c r="I30" s="211" t="str">
        <f t="shared" si="2"/>
        <v/>
      </c>
      <c r="J30" s="207"/>
      <c r="K30" s="211" t="str">
        <f t="shared" si="3"/>
        <v/>
      </c>
      <c r="L30" s="207"/>
      <c r="M30" s="211" t="str">
        <f t="shared" si="4"/>
        <v/>
      </c>
      <c r="N30" s="207"/>
      <c r="O30" s="211" t="str">
        <f t="shared" si="5"/>
        <v/>
      </c>
      <c r="P30" s="207"/>
      <c r="Q30" s="211" t="str">
        <f t="shared" si="6"/>
        <v/>
      </c>
      <c r="R30" s="207"/>
      <c r="S30" s="211" t="str">
        <f t="shared" si="7"/>
        <v/>
      </c>
      <c r="T30" s="272" t="str">
        <f t="shared" si="8"/>
        <v/>
      </c>
      <c r="U30" s="212" t="str">
        <f t="shared" si="9"/>
        <v/>
      </c>
    </row>
    <row r="31" spans="2:21" x14ac:dyDescent="0.25">
      <c r="B31" s="241" t="str">
        <f>IF(Contagem!B29=0,"",Contagem!B29)</f>
        <v/>
      </c>
      <c r="C31" s="242" t="str">
        <f>IF(Contagem!T29 &gt; 0,Contagem!T29,"")</f>
        <v/>
      </c>
      <c r="D31" s="207"/>
      <c r="E31" s="211" t="str">
        <f t="shared" si="0"/>
        <v/>
      </c>
      <c r="F31" s="207"/>
      <c r="G31" s="211" t="str">
        <f t="shared" si="1"/>
        <v/>
      </c>
      <c r="H31" s="207"/>
      <c r="I31" s="211" t="str">
        <f t="shared" si="2"/>
        <v/>
      </c>
      <c r="J31" s="207"/>
      <c r="K31" s="211" t="str">
        <f t="shared" si="3"/>
        <v/>
      </c>
      <c r="L31" s="207"/>
      <c r="M31" s="211" t="str">
        <f t="shared" si="4"/>
        <v/>
      </c>
      <c r="N31" s="207"/>
      <c r="O31" s="211" t="str">
        <f t="shared" si="5"/>
        <v/>
      </c>
      <c r="P31" s="207"/>
      <c r="Q31" s="211" t="str">
        <f t="shared" si="6"/>
        <v/>
      </c>
      <c r="R31" s="207"/>
      <c r="S31" s="211" t="str">
        <f t="shared" si="7"/>
        <v/>
      </c>
      <c r="T31" s="272" t="str">
        <f t="shared" si="8"/>
        <v/>
      </c>
      <c r="U31" s="212" t="str">
        <f t="shared" si="9"/>
        <v/>
      </c>
    </row>
    <row r="32" spans="2:21" x14ac:dyDescent="0.25">
      <c r="B32" s="241" t="str">
        <f>IF(Contagem!B30=0,"",Contagem!B30)</f>
        <v/>
      </c>
      <c r="C32" s="242" t="str">
        <f>IF(Contagem!T30 &gt; 0,Contagem!T30,"")</f>
        <v/>
      </c>
      <c r="D32" s="207"/>
      <c r="E32" s="211" t="str">
        <f t="shared" si="0"/>
        <v/>
      </c>
      <c r="F32" s="207"/>
      <c r="G32" s="211" t="str">
        <f t="shared" si="1"/>
        <v/>
      </c>
      <c r="H32" s="207"/>
      <c r="I32" s="211" t="str">
        <f t="shared" si="2"/>
        <v/>
      </c>
      <c r="J32" s="207"/>
      <c r="K32" s="211" t="str">
        <f t="shared" si="3"/>
        <v/>
      </c>
      <c r="L32" s="207"/>
      <c r="M32" s="211" t="str">
        <f t="shared" si="4"/>
        <v/>
      </c>
      <c r="N32" s="207"/>
      <c r="O32" s="211" t="str">
        <f t="shared" si="5"/>
        <v/>
      </c>
      <c r="P32" s="207"/>
      <c r="Q32" s="211" t="str">
        <f t="shared" si="6"/>
        <v/>
      </c>
      <c r="R32" s="207"/>
      <c r="S32" s="211" t="str">
        <f t="shared" si="7"/>
        <v/>
      </c>
      <c r="T32" s="272" t="str">
        <f t="shared" si="8"/>
        <v/>
      </c>
      <c r="U32" s="212" t="str">
        <f t="shared" si="9"/>
        <v/>
      </c>
    </row>
    <row r="33" spans="2:21" x14ac:dyDescent="0.25">
      <c r="B33" s="241" t="str">
        <f>IF(Contagem!B31=0,"",Contagem!B31)</f>
        <v/>
      </c>
      <c r="C33" s="242" t="str">
        <f>IF(Contagem!T31 &gt; 0,Contagem!T31,"")</f>
        <v/>
      </c>
      <c r="D33" s="207"/>
      <c r="E33" s="211" t="str">
        <f t="shared" si="0"/>
        <v/>
      </c>
      <c r="F33" s="207"/>
      <c r="G33" s="211" t="str">
        <f t="shared" si="1"/>
        <v/>
      </c>
      <c r="H33" s="207"/>
      <c r="I33" s="211" t="str">
        <f t="shared" si="2"/>
        <v/>
      </c>
      <c r="J33" s="207"/>
      <c r="K33" s="211" t="str">
        <f t="shared" si="3"/>
        <v/>
      </c>
      <c r="L33" s="207"/>
      <c r="M33" s="211" t="str">
        <f t="shared" si="4"/>
        <v/>
      </c>
      <c r="N33" s="207"/>
      <c r="O33" s="211" t="str">
        <f t="shared" si="5"/>
        <v/>
      </c>
      <c r="P33" s="207"/>
      <c r="Q33" s="211" t="str">
        <f t="shared" si="6"/>
        <v/>
      </c>
      <c r="R33" s="207"/>
      <c r="S33" s="211" t="str">
        <f t="shared" si="7"/>
        <v/>
      </c>
      <c r="T33" s="272" t="str">
        <f t="shared" si="8"/>
        <v/>
      </c>
      <c r="U33" s="212" t="str">
        <f t="shared" si="9"/>
        <v/>
      </c>
    </row>
    <row r="34" spans="2:21" x14ac:dyDescent="0.25">
      <c r="B34" s="241" t="str">
        <f>IF(Contagem!B32=0,"",Contagem!B32)</f>
        <v/>
      </c>
      <c r="C34" s="242" t="str">
        <f>IF(Contagem!T32 &gt; 0,Contagem!T32,"")</f>
        <v/>
      </c>
      <c r="D34" s="207"/>
      <c r="E34" s="211" t="str">
        <f t="shared" si="0"/>
        <v/>
      </c>
      <c r="F34" s="207"/>
      <c r="G34" s="211" t="str">
        <f t="shared" si="1"/>
        <v/>
      </c>
      <c r="H34" s="207"/>
      <c r="I34" s="211" t="str">
        <f t="shared" si="2"/>
        <v/>
      </c>
      <c r="J34" s="207"/>
      <c r="K34" s="211" t="str">
        <f t="shared" si="3"/>
        <v/>
      </c>
      <c r="L34" s="207"/>
      <c r="M34" s="211" t="str">
        <f t="shared" si="4"/>
        <v/>
      </c>
      <c r="N34" s="207"/>
      <c r="O34" s="211" t="str">
        <f t="shared" si="5"/>
        <v/>
      </c>
      <c r="P34" s="207"/>
      <c r="Q34" s="211" t="str">
        <f t="shared" si="6"/>
        <v/>
      </c>
      <c r="R34" s="207"/>
      <c r="S34" s="211" t="str">
        <f t="shared" si="7"/>
        <v/>
      </c>
      <c r="T34" s="272" t="str">
        <f t="shared" si="8"/>
        <v/>
      </c>
      <c r="U34" s="212" t="str">
        <f t="shared" si="9"/>
        <v/>
      </c>
    </row>
    <row r="35" spans="2:21" x14ac:dyDescent="0.25">
      <c r="B35" s="241" t="str">
        <f>IF(Contagem!B33=0,"",Contagem!B33)</f>
        <v/>
      </c>
      <c r="C35" s="242" t="str">
        <f>IF(Contagem!T33 &gt; 0,Contagem!T33,"")</f>
        <v/>
      </c>
      <c r="D35" s="207"/>
      <c r="E35" s="211" t="str">
        <f t="shared" si="0"/>
        <v/>
      </c>
      <c r="F35" s="207"/>
      <c r="G35" s="211" t="str">
        <f t="shared" si="1"/>
        <v/>
      </c>
      <c r="H35" s="207"/>
      <c r="I35" s="211" t="str">
        <f t="shared" si="2"/>
        <v/>
      </c>
      <c r="J35" s="207"/>
      <c r="K35" s="211" t="str">
        <f t="shared" si="3"/>
        <v/>
      </c>
      <c r="L35" s="207"/>
      <c r="M35" s="211" t="str">
        <f t="shared" si="4"/>
        <v/>
      </c>
      <c r="N35" s="207"/>
      <c r="O35" s="211" t="str">
        <f t="shared" si="5"/>
        <v/>
      </c>
      <c r="P35" s="207"/>
      <c r="Q35" s="211" t="str">
        <f t="shared" si="6"/>
        <v/>
      </c>
      <c r="R35" s="207"/>
      <c r="S35" s="211" t="str">
        <f t="shared" si="7"/>
        <v/>
      </c>
      <c r="T35" s="272" t="str">
        <f t="shared" si="8"/>
        <v/>
      </c>
      <c r="U35" s="212" t="str">
        <f t="shared" si="9"/>
        <v/>
      </c>
    </row>
    <row r="36" spans="2:21" x14ac:dyDescent="0.25">
      <c r="B36" s="241" t="str">
        <f>IF(Contagem!B34=0,"",Contagem!B34)</f>
        <v/>
      </c>
      <c r="C36" s="242" t="str">
        <f>IF(Contagem!T34 &gt; 0,Contagem!T34,"")</f>
        <v/>
      </c>
      <c r="D36" s="207"/>
      <c r="E36" s="211" t="str">
        <f t="shared" si="0"/>
        <v/>
      </c>
      <c r="F36" s="207"/>
      <c r="G36" s="211" t="str">
        <f t="shared" si="1"/>
        <v/>
      </c>
      <c r="H36" s="207"/>
      <c r="I36" s="211" t="str">
        <f t="shared" si="2"/>
        <v/>
      </c>
      <c r="J36" s="207"/>
      <c r="K36" s="211" t="str">
        <f t="shared" si="3"/>
        <v/>
      </c>
      <c r="L36" s="207"/>
      <c r="M36" s="211" t="str">
        <f t="shared" si="4"/>
        <v/>
      </c>
      <c r="N36" s="207"/>
      <c r="O36" s="211" t="str">
        <f t="shared" si="5"/>
        <v/>
      </c>
      <c r="P36" s="207"/>
      <c r="Q36" s="211" t="str">
        <f t="shared" si="6"/>
        <v/>
      </c>
      <c r="R36" s="207"/>
      <c r="S36" s="211" t="str">
        <f t="shared" si="7"/>
        <v/>
      </c>
      <c r="T36" s="272" t="str">
        <f t="shared" si="8"/>
        <v/>
      </c>
      <c r="U36" s="212" t="str">
        <f t="shared" si="9"/>
        <v/>
      </c>
    </row>
    <row r="37" spans="2:21" x14ac:dyDescent="0.25">
      <c r="B37" s="241" t="str">
        <f>IF(Contagem!B35=0,"",Contagem!B35)</f>
        <v/>
      </c>
      <c r="C37" s="242" t="str">
        <f>IF(Contagem!T35 &gt; 0,Contagem!T35,"")</f>
        <v/>
      </c>
      <c r="D37" s="207"/>
      <c r="E37" s="211" t="str">
        <f t="shared" si="0"/>
        <v/>
      </c>
      <c r="F37" s="207"/>
      <c r="G37" s="211" t="str">
        <f t="shared" si="1"/>
        <v/>
      </c>
      <c r="H37" s="207"/>
      <c r="I37" s="211" t="str">
        <f t="shared" si="2"/>
        <v/>
      </c>
      <c r="J37" s="207"/>
      <c r="K37" s="211" t="str">
        <f t="shared" si="3"/>
        <v/>
      </c>
      <c r="L37" s="207"/>
      <c r="M37" s="211" t="str">
        <f t="shared" si="4"/>
        <v/>
      </c>
      <c r="N37" s="207"/>
      <c r="O37" s="211" t="str">
        <f t="shared" si="5"/>
        <v/>
      </c>
      <c r="P37" s="207"/>
      <c r="Q37" s="211" t="str">
        <f t="shared" si="6"/>
        <v/>
      </c>
      <c r="R37" s="207"/>
      <c r="S37" s="211" t="str">
        <f t="shared" si="7"/>
        <v/>
      </c>
      <c r="T37" s="272" t="str">
        <f t="shared" si="8"/>
        <v/>
      </c>
      <c r="U37" s="212" t="str">
        <f t="shared" si="9"/>
        <v/>
      </c>
    </row>
    <row r="38" spans="2:21" x14ac:dyDescent="0.25">
      <c r="B38" s="241" t="str">
        <f>IF(Contagem!B36=0,"",Contagem!B36)</f>
        <v/>
      </c>
      <c r="C38" s="242" t="str">
        <f>IF(Contagem!T36 &gt; 0,Contagem!T36,"")</f>
        <v/>
      </c>
      <c r="D38" s="207"/>
      <c r="E38" s="211" t="str">
        <f t="shared" si="0"/>
        <v/>
      </c>
      <c r="F38" s="207"/>
      <c r="G38" s="211" t="str">
        <f t="shared" si="1"/>
        <v/>
      </c>
      <c r="H38" s="207"/>
      <c r="I38" s="211" t="str">
        <f t="shared" si="2"/>
        <v/>
      </c>
      <c r="J38" s="207"/>
      <c r="K38" s="211" t="str">
        <f t="shared" si="3"/>
        <v/>
      </c>
      <c r="L38" s="207"/>
      <c r="M38" s="211" t="str">
        <f t="shared" si="4"/>
        <v/>
      </c>
      <c r="N38" s="207"/>
      <c r="O38" s="211" t="str">
        <f t="shared" si="5"/>
        <v/>
      </c>
      <c r="P38" s="207"/>
      <c r="Q38" s="211" t="str">
        <f t="shared" si="6"/>
        <v/>
      </c>
      <c r="R38" s="207"/>
      <c r="S38" s="211" t="str">
        <f t="shared" si="7"/>
        <v/>
      </c>
      <c r="T38" s="272" t="str">
        <f t="shared" si="8"/>
        <v/>
      </c>
      <c r="U38" s="212" t="str">
        <f t="shared" si="9"/>
        <v/>
      </c>
    </row>
    <row r="39" spans="2:21" x14ac:dyDescent="0.25">
      <c r="B39" s="241" t="str">
        <f>IF(Contagem!B37=0,"",Contagem!B37)</f>
        <v/>
      </c>
      <c r="C39" s="242" t="str">
        <f>IF(Contagem!T37 &gt; 0,Contagem!T37,"")</f>
        <v/>
      </c>
      <c r="D39" s="207"/>
      <c r="E39" s="211" t="str">
        <f t="shared" si="0"/>
        <v/>
      </c>
      <c r="F39" s="207"/>
      <c r="G39" s="211" t="str">
        <f t="shared" si="1"/>
        <v/>
      </c>
      <c r="H39" s="207"/>
      <c r="I39" s="211" t="str">
        <f t="shared" si="2"/>
        <v/>
      </c>
      <c r="J39" s="207"/>
      <c r="K39" s="211" t="str">
        <f t="shared" si="3"/>
        <v/>
      </c>
      <c r="L39" s="207"/>
      <c r="M39" s="211" t="str">
        <f t="shared" si="4"/>
        <v/>
      </c>
      <c r="N39" s="207"/>
      <c r="O39" s="211" t="str">
        <f t="shared" si="5"/>
        <v/>
      </c>
      <c r="P39" s="207"/>
      <c r="Q39" s="211" t="str">
        <f t="shared" si="6"/>
        <v/>
      </c>
      <c r="R39" s="207"/>
      <c r="S39" s="211" t="str">
        <f t="shared" si="7"/>
        <v/>
      </c>
      <c r="T39" s="272" t="str">
        <f t="shared" si="8"/>
        <v/>
      </c>
      <c r="U39" s="212" t="str">
        <f t="shared" si="9"/>
        <v/>
      </c>
    </row>
    <row r="40" spans="2:21" x14ac:dyDescent="0.25">
      <c r="B40" s="241" t="str">
        <f>IF(Contagem!B38=0,"",Contagem!B38)</f>
        <v/>
      </c>
      <c r="C40" s="242" t="str">
        <f>IF(Contagem!T38 &gt; 0,Contagem!T38,"")</f>
        <v/>
      </c>
      <c r="D40" s="207"/>
      <c r="E40" s="211" t="str">
        <f t="shared" si="0"/>
        <v/>
      </c>
      <c r="F40" s="207"/>
      <c r="G40" s="211" t="str">
        <f t="shared" si="1"/>
        <v/>
      </c>
      <c r="H40" s="207"/>
      <c r="I40" s="211" t="str">
        <f t="shared" si="2"/>
        <v/>
      </c>
      <c r="J40" s="207"/>
      <c r="K40" s="211" t="str">
        <f t="shared" si="3"/>
        <v/>
      </c>
      <c r="L40" s="207"/>
      <c r="M40" s="211" t="str">
        <f t="shared" si="4"/>
        <v/>
      </c>
      <c r="N40" s="207"/>
      <c r="O40" s="211" t="str">
        <f t="shared" si="5"/>
        <v/>
      </c>
      <c r="P40" s="207"/>
      <c r="Q40" s="211" t="str">
        <f t="shared" si="6"/>
        <v/>
      </c>
      <c r="R40" s="207"/>
      <c r="S40" s="211" t="str">
        <f t="shared" si="7"/>
        <v/>
      </c>
      <c r="T40" s="272" t="str">
        <f t="shared" si="8"/>
        <v/>
      </c>
      <c r="U40" s="212" t="str">
        <f t="shared" si="9"/>
        <v/>
      </c>
    </row>
    <row r="41" spans="2:21" x14ac:dyDescent="0.25">
      <c r="B41" s="241" t="str">
        <f>IF(Contagem!B39=0,"",Contagem!B39)</f>
        <v/>
      </c>
      <c r="C41" s="242" t="str">
        <f>IF(Contagem!T39 &gt; 0,Contagem!T39,"")</f>
        <v/>
      </c>
      <c r="D41" s="207"/>
      <c r="E41" s="211" t="str">
        <f t="shared" si="0"/>
        <v/>
      </c>
      <c r="F41" s="207"/>
      <c r="G41" s="211" t="str">
        <f t="shared" si="1"/>
        <v/>
      </c>
      <c r="H41" s="207"/>
      <c r="I41" s="211" t="str">
        <f t="shared" si="2"/>
        <v/>
      </c>
      <c r="J41" s="207"/>
      <c r="K41" s="211" t="str">
        <f t="shared" si="3"/>
        <v/>
      </c>
      <c r="L41" s="207"/>
      <c r="M41" s="211" t="str">
        <f t="shared" si="4"/>
        <v/>
      </c>
      <c r="N41" s="207"/>
      <c r="O41" s="211" t="str">
        <f t="shared" si="5"/>
        <v/>
      </c>
      <c r="P41" s="207"/>
      <c r="Q41" s="211" t="str">
        <f t="shared" si="6"/>
        <v/>
      </c>
      <c r="R41" s="207"/>
      <c r="S41" s="211" t="str">
        <f t="shared" si="7"/>
        <v/>
      </c>
      <c r="T41" s="272" t="str">
        <f t="shared" si="8"/>
        <v/>
      </c>
      <c r="U41" s="212" t="str">
        <f t="shared" si="9"/>
        <v/>
      </c>
    </row>
    <row r="42" spans="2:21" x14ac:dyDescent="0.25">
      <c r="B42" s="241" t="str">
        <f>IF(Contagem!B40=0,"",Contagem!B40)</f>
        <v/>
      </c>
      <c r="C42" s="242" t="str">
        <f>IF(Contagem!T40 &gt; 0,Contagem!T40,"")</f>
        <v/>
      </c>
      <c r="D42" s="207"/>
      <c r="E42" s="211" t="str">
        <f t="shared" si="0"/>
        <v/>
      </c>
      <c r="F42" s="207"/>
      <c r="G42" s="211" t="str">
        <f t="shared" si="1"/>
        <v/>
      </c>
      <c r="H42" s="207"/>
      <c r="I42" s="211" t="str">
        <f t="shared" si="2"/>
        <v/>
      </c>
      <c r="J42" s="207"/>
      <c r="K42" s="211" t="str">
        <f t="shared" si="3"/>
        <v/>
      </c>
      <c r="L42" s="207"/>
      <c r="M42" s="211" t="str">
        <f t="shared" si="4"/>
        <v/>
      </c>
      <c r="N42" s="207"/>
      <c r="O42" s="211" t="str">
        <f t="shared" si="5"/>
        <v/>
      </c>
      <c r="P42" s="207"/>
      <c r="Q42" s="211" t="str">
        <f t="shared" si="6"/>
        <v/>
      </c>
      <c r="R42" s="207"/>
      <c r="S42" s="211" t="str">
        <f t="shared" si="7"/>
        <v/>
      </c>
      <c r="T42" s="272" t="str">
        <f t="shared" si="8"/>
        <v/>
      </c>
      <c r="U42" s="212" t="str">
        <f t="shared" si="9"/>
        <v/>
      </c>
    </row>
    <row r="43" spans="2:21" x14ac:dyDescent="0.25">
      <c r="B43" s="241" t="str">
        <f>IF(Contagem!B41=0,"",Contagem!B41)</f>
        <v/>
      </c>
      <c r="C43" s="242" t="str">
        <f>IF(Contagem!T41 &gt; 0,Contagem!T41,"")</f>
        <v/>
      </c>
      <c r="D43" s="207"/>
      <c r="E43" s="211" t="str">
        <f t="shared" si="0"/>
        <v/>
      </c>
      <c r="F43" s="207"/>
      <c r="G43" s="211" t="str">
        <f t="shared" si="1"/>
        <v/>
      </c>
      <c r="H43" s="207"/>
      <c r="I43" s="211" t="str">
        <f t="shared" si="2"/>
        <v/>
      </c>
      <c r="J43" s="207"/>
      <c r="K43" s="211" t="str">
        <f t="shared" si="3"/>
        <v/>
      </c>
      <c r="L43" s="207"/>
      <c r="M43" s="211" t="str">
        <f t="shared" si="4"/>
        <v/>
      </c>
      <c r="N43" s="207"/>
      <c r="O43" s="211" t="str">
        <f t="shared" si="5"/>
        <v/>
      </c>
      <c r="P43" s="207"/>
      <c r="Q43" s="211" t="str">
        <f t="shared" si="6"/>
        <v/>
      </c>
      <c r="R43" s="207"/>
      <c r="S43" s="211" t="str">
        <f t="shared" si="7"/>
        <v/>
      </c>
      <c r="T43" s="272" t="str">
        <f t="shared" si="8"/>
        <v/>
      </c>
      <c r="U43" s="212" t="str">
        <f t="shared" si="9"/>
        <v/>
      </c>
    </row>
    <row r="44" spans="2:21" x14ac:dyDescent="0.25">
      <c r="B44" s="241" t="str">
        <f>IF(Contagem!B42=0,"",Contagem!B42)</f>
        <v/>
      </c>
      <c r="C44" s="242" t="str">
        <f>IF(Contagem!T42 &gt; 0,Contagem!T42,"")</f>
        <v/>
      </c>
      <c r="D44" s="207"/>
      <c r="E44" s="211" t="str">
        <f t="shared" si="0"/>
        <v/>
      </c>
      <c r="F44" s="207"/>
      <c r="G44" s="211" t="str">
        <f t="shared" si="1"/>
        <v/>
      </c>
      <c r="H44" s="207"/>
      <c r="I44" s="211" t="str">
        <f t="shared" si="2"/>
        <v/>
      </c>
      <c r="J44" s="207"/>
      <c r="K44" s="211" t="str">
        <f t="shared" si="3"/>
        <v/>
      </c>
      <c r="L44" s="207"/>
      <c r="M44" s="211" t="str">
        <f t="shared" si="4"/>
        <v/>
      </c>
      <c r="N44" s="207"/>
      <c r="O44" s="211" t="str">
        <f t="shared" si="5"/>
        <v/>
      </c>
      <c r="P44" s="207"/>
      <c r="Q44" s="211" t="str">
        <f t="shared" si="6"/>
        <v/>
      </c>
      <c r="R44" s="207"/>
      <c r="S44" s="211" t="str">
        <f t="shared" si="7"/>
        <v/>
      </c>
      <c r="T44" s="272" t="str">
        <f t="shared" si="8"/>
        <v/>
      </c>
      <c r="U44" s="212" t="str">
        <f t="shared" si="9"/>
        <v/>
      </c>
    </row>
    <row r="45" spans="2:21" x14ac:dyDescent="0.25">
      <c r="B45" s="241" t="str">
        <f>IF(Contagem!B43=0,"",Contagem!B43)</f>
        <v/>
      </c>
      <c r="C45" s="242" t="str">
        <f>IF(Contagem!T43 &gt; 0,Contagem!T43,"")</f>
        <v/>
      </c>
      <c r="D45" s="207"/>
      <c r="E45" s="211" t="str">
        <f t="shared" si="0"/>
        <v/>
      </c>
      <c r="F45" s="207"/>
      <c r="G45" s="211" t="str">
        <f t="shared" si="1"/>
        <v/>
      </c>
      <c r="H45" s="207"/>
      <c r="I45" s="211" t="str">
        <f t="shared" si="2"/>
        <v/>
      </c>
      <c r="J45" s="207"/>
      <c r="K45" s="211" t="str">
        <f t="shared" si="3"/>
        <v/>
      </c>
      <c r="L45" s="207"/>
      <c r="M45" s="211" t="str">
        <f t="shared" si="4"/>
        <v/>
      </c>
      <c r="N45" s="207"/>
      <c r="O45" s="211" t="str">
        <f t="shared" si="5"/>
        <v/>
      </c>
      <c r="P45" s="207"/>
      <c r="Q45" s="211" t="str">
        <f t="shared" si="6"/>
        <v/>
      </c>
      <c r="R45" s="207"/>
      <c r="S45" s="211" t="str">
        <f t="shared" si="7"/>
        <v/>
      </c>
      <c r="T45" s="272" t="str">
        <f t="shared" si="8"/>
        <v/>
      </c>
      <c r="U45" s="212" t="str">
        <f t="shared" si="9"/>
        <v/>
      </c>
    </row>
    <row r="46" spans="2:21" x14ac:dyDescent="0.25">
      <c r="B46" s="241" t="str">
        <f>IF(Contagem!B44=0,"",Contagem!B44)</f>
        <v/>
      </c>
      <c r="C46" s="242" t="str">
        <f>IF(Contagem!T44 &gt; 0,Contagem!T44,"")</f>
        <v/>
      </c>
      <c r="D46" s="207"/>
      <c r="E46" s="211" t="str">
        <f t="shared" si="0"/>
        <v/>
      </c>
      <c r="F46" s="207"/>
      <c r="G46" s="211" t="str">
        <f t="shared" si="1"/>
        <v/>
      </c>
      <c r="H46" s="207"/>
      <c r="I46" s="211" t="str">
        <f t="shared" si="2"/>
        <v/>
      </c>
      <c r="J46" s="207"/>
      <c r="K46" s="211" t="str">
        <f t="shared" si="3"/>
        <v/>
      </c>
      <c r="L46" s="207"/>
      <c r="M46" s="211" t="str">
        <f t="shared" si="4"/>
        <v/>
      </c>
      <c r="N46" s="207"/>
      <c r="O46" s="211" t="str">
        <f t="shared" si="5"/>
        <v/>
      </c>
      <c r="P46" s="207"/>
      <c r="Q46" s="211" t="str">
        <f t="shared" si="6"/>
        <v/>
      </c>
      <c r="R46" s="207"/>
      <c r="S46" s="211" t="str">
        <f t="shared" si="7"/>
        <v/>
      </c>
      <c r="T46" s="272" t="str">
        <f t="shared" si="8"/>
        <v/>
      </c>
      <c r="U46" s="212" t="str">
        <f t="shared" si="9"/>
        <v/>
      </c>
    </row>
    <row r="47" spans="2:21" x14ac:dyDescent="0.25">
      <c r="B47" s="241" t="str">
        <f>IF(Contagem!B45=0,"",Contagem!B45)</f>
        <v/>
      </c>
      <c r="C47" s="242" t="str">
        <f>IF(Contagem!T45 &gt; 0,Contagem!T45,"")</f>
        <v/>
      </c>
      <c r="D47" s="207"/>
      <c r="E47" s="211" t="str">
        <f t="shared" si="0"/>
        <v/>
      </c>
      <c r="F47" s="207"/>
      <c r="G47" s="211" t="str">
        <f t="shared" si="1"/>
        <v/>
      </c>
      <c r="H47" s="207"/>
      <c r="I47" s="211" t="str">
        <f t="shared" si="2"/>
        <v/>
      </c>
      <c r="J47" s="207"/>
      <c r="K47" s="211" t="str">
        <f t="shared" si="3"/>
        <v/>
      </c>
      <c r="L47" s="207"/>
      <c r="M47" s="211" t="str">
        <f t="shared" si="4"/>
        <v/>
      </c>
      <c r="N47" s="207"/>
      <c r="O47" s="211" t="str">
        <f t="shared" si="5"/>
        <v/>
      </c>
      <c r="P47" s="207"/>
      <c r="Q47" s="211" t="str">
        <f t="shared" si="6"/>
        <v/>
      </c>
      <c r="R47" s="207"/>
      <c r="S47" s="211" t="str">
        <f t="shared" si="7"/>
        <v/>
      </c>
      <c r="T47" s="272" t="str">
        <f t="shared" si="8"/>
        <v/>
      </c>
      <c r="U47" s="212" t="str">
        <f t="shared" si="9"/>
        <v/>
      </c>
    </row>
    <row r="48" spans="2:21" x14ac:dyDescent="0.25">
      <c r="B48" s="241" t="str">
        <f>IF(Contagem!B46=0,"",Contagem!B46)</f>
        <v/>
      </c>
      <c r="C48" s="242" t="str">
        <f>IF(Contagem!T46 &gt; 0,Contagem!T46,"")</f>
        <v/>
      </c>
      <c r="D48" s="207"/>
      <c r="E48" s="211" t="str">
        <f t="shared" si="0"/>
        <v/>
      </c>
      <c r="F48" s="207"/>
      <c r="G48" s="211" t="str">
        <f t="shared" si="1"/>
        <v/>
      </c>
      <c r="H48" s="207"/>
      <c r="I48" s="211" t="str">
        <f t="shared" si="2"/>
        <v/>
      </c>
      <c r="J48" s="207"/>
      <c r="K48" s="211" t="str">
        <f t="shared" si="3"/>
        <v/>
      </c>
      <c r="L48" s="207"/>
      <c r="M48" s="211" t="str">
        <f t="shared" si="4"/>
        <v/>
      </c>
      <c r="N48" s="207"/>
      <c r="O48" s="211" t="str">
        <f t="shared" si="5"/>
        <v/>
      </c>
      <c r="P48" s="207"/>
      <c r="Q48" s="211" t="str">
        <f t="shared" si="6"/>
        <v/>
      </c>
      <c r="R48" s="207"/>
      <c r="S48" s="211" t="str">
        <f t="shared" si="7"/>
        <v/>
      </c>
      <c r="T48" s="272" t="str">
        <f t="shared" si="8"/>
        <v/>
      </c>
      <c r="U48" s="212" t="str">
        <f t="shared" si="9"/>
        <v/>
      </c>
    </row>
    <row r="49" spans="2:21" x14ac:dyDescent="0.25">
      <c r="B49" s="241" t="str">
        <f>IF(Contagem!B47=0,"",Contagem!B47)</f>
        <v/>
      </c>
      <c r="C49" s="242" t="str">
        <f>IF(Contagem!T47 &gt; 0,Contagem!T47,"")</f>
        <v/>
      </c>
      <c r="D49" s="207"/>
      <c r="E49" s="211" t="str">
        <f t="shared" si="0"/>
        <v/>
      </c>
      <c r="F49" s="207"/>
      <c r="G49" s="211" t="str">
        <f t="shared" si="1"/>
        <v/>
      </c>
      <c r="H49" s="207"/>
      <c r="I49" s="211" t="str">
        <f t="shared" si="2"/>
        <v/>
      </c>
      <c r="J49" s="207"/>
      <c r="K49" s="211" t="str">
        <f t="shared" si="3"/>
        <v/>
      </c>
      <c r="L49" s="207"/>
      <c r="M49" s="211" t="str">
        <f t="shared" si="4"/>
        <v/>
      </c>
      <c r="N49" s="207"/>
      <c r="O49" s="211" t="str">
        <f t="shared" si="5"/>
        <v/>
      </c>
      <c r="P49" s="207"/>
      <c r="Q49" s="211" t="str">
        <f t="shared" si="6"/>
        <v/>
      </c>
      <c r="R49" s="207"/>
      <c r="S49" s="211" t="str">
        <f t="shared" si="7"/>
        <v/>
      </c>
      <c r="T49" s="272" t="str">
        <f t="shared" si="8"/>
        <v/>
      </c>
      <c r="U49" s="212" t="str">
        <f t="shared" si="9"/>
        <v/>
      </c>
    </row>
    <row r="50" spans="2:21" x14ac:dyDescent="0.25">
      <c r="B50" s="241" t="str">
        <f>IF(Contagem!B48=0,"",Contagem!B48)</f>
        <v/>
      </c>
      <c r="C50" s="242" t="str">
        <f>IF(Contagem!T48 &gt; 0,Contagem!T48,"")</f>
        <v/>
      </c>
      <c r="D50" s="207"/>
      <c r="E50" s="211" t="str">
        <f t="shared" si="0"/>
        <v/>
      </c>
      <c r="F50" s="207"/>
      <c r="G50" s="211" t="str">
        <f t="shared" si="1"/>
        <v/>
      </c>
      <c r="H50" s="207"/>
      <c r="I50" s="211" t="str">
        <f t="shared" si="2"/>
        <v/>
      </c>
      <c r="J50" s="207"/>
      <c r="K50" s="211" t="str">
        <f t="shared" si="3"/>
        <v/>
      </c>
      <c r="L50" s="207"/>
      <c r="M50" s="211" t="str">
        <f t="shared" si="4"/>
        <v/>
      </c>
      <c r="N50" s="207"/>
      <c r="O50" s="211" t="str">
        <f t="shared" si="5"/>
        <v/>
      </c>
      <c r="P50" s="207"/>
      <c r="Q50" s="211" t="str">
        <f t="shared" si="6"/>
        <v/>
      </c>
      <c r="R50" s="207"/>
      <c r="S50" s="211" t="str">
        <f t="shared" si="7"/>
        <v/>
      </c>
      <c r="T50" s="272" t="str">
        <f t="shared" si="8"/>
        <v/>
      </c>
      <c r="U50" s="212" t="str">
        <f t="shared" si="9"/>
        <v/>
      </c>
    </row>
    <row r="51" spans="2:21" x14ac:dyDescent="0.25">
      <c r="B51" s="241" t="str">
        <f>IF(Contagem!B49=0,"",Contagem!B49)</f>
        <v/>
      </c>
      <c r="C51" s="242" t="str">
        <f>IF(Contagem!T49 &gt; 0,Contagem!T49,"")</f>
        <v/>
      </c>
      <c r="D51" s="207"/>
      <c r="E51" s="211" t="str">
        <f t="shared" si="0"/>
        <v/>
      </c>
      <c r="F51" s="207"/>
      <c r="G51" s="211" t="str">
        <f t="shared" si="1"/>
        <v/>
      </c>
      <c r="H51" s="207"/>
      <c r="I51" s="211" t="str">
        <f t="shared" si="2"/>
        <v/>
      </c>
      <c r="J51" s="207"/>
      <c r="K51" s="211" t="str">
        <f t="shared" si="3"/>
        <v/>
      </c>
      <c r="L51" s="207"/>
      <c r="M51" s="211" t="str">
        <f t="shared" si="4"/>
        <v/>
      </c>
      <c r="N51" s="207"/>
      <c r="O51" s="211" t="str">
        <f t="shared" si="5"/>
        <v/>
      </c>
      <c r="P51" s="207"/>
      <c r="Q51" s="211" t="str">
        <f t="shared" si="6"/>
        <v/>
      </c>
      <c r="R51" s="207"/>
      <c r="S51" s="211" t="str">
        <f t="shared" si="7"/>
        <v/>
      </c>
      <c r="T51" s="272" t="str">
        <f t="shared" si="8"/>
        <v/>
      </c>
      <c r="U51" s="212" t="str">
        <f t="shared" si="9"/>
        <v/>
      </c>
    </row>
    <row r="52" spans="2:21" x14ac:dyDescent="0.25">
      <c r="B52" s="241" t="str">
        <f>IF(Contagem!B50=0,"",Contagem!B50)</f>
        <v/>
      </c>
      <c r="C52" s="242" t="str">
        <f>IF(Contagem!T50 &gt; 0,Contagem!T50,"")</f>
        <v/>
      </c>
      <c r="D52" s="207"/>
      <c r="E52" s="211" t="str">
        <f t="shared" si="0"/>
        <v/>
      </c>
      <c r="F52" s="207"/>
      <c r="G52" s="211" t="str">
        <f t="shared" si="1"/>
        <v/>
      </c>
      <c r="H52" s="207"/>
      <c r="I52" s="211" t="str">
        <f t="shared" si="2"/>
        <v/>
      </c>
      <c r="J52" s="207"/>
      <c r="K52" s="211" t="str">
        <f t="shared" si="3"/>
        <v/>
      </c>
      <c r="L52" s="207"/>
      <c r="M52" s="211" t="str">
        <f t="shared" si="4"/>
        <v/>
      </c>
      <c r="N52" s="207"/>
      <c r="O52" s="211" t="str">
        <f t="shared" si="5"/>
        <v/>
      </c>
      <c r="P52" s="207"/>
      <c r="Q52" s="211" t="str">
        <f t="shared" si="6"/>
        <v/>
      </c>
      <c r="R52" s="207"/>
      <c r="S52" s="211" t="str">
        <f t="shared" si="7"/>
        <v/>
      </c>
      <c r="T52" s="272" t="str">
        <f t="shared" si="8"/>
        <v/>
      </c>
      <c r="U52" s="212" t="str">
        <f t="shared" si="9"/>
        <v/>
      </c>
    </row>
    <row r="53" spans="2:21" x14ac:dyDescent="0.25">
      <c r="B53" s="241" t="str">
        <f>IF(Contagem!B51=0,"",Contagem!B51)</f>
        <v/>
      </c>
      <c r="C53" s="242" t="str">
        <f>IF(Contagem!T51 &gt; 0,Contagem!T51,"")</f>
        <v/>
      </c>
      <c r="D53" s="207"/>
      <c r="E53" s="211" t="str">
        <f t="shared" si="0"/>
        <v/>
      </c>
      <c r="F53" s="207"/>
      <c r="G53" s="211" t="str">
        <f t="shared" si="1"/>
        <v/>
      </c>
      <c r="H53" s="207"/>
      <c r="I53" s="211" t="str">
        <f t="shared" si="2"/>
        <v/>
      </c>
      <c r="J53" s="207"/>
      <c r="K53" s="211" t="str">
        <f t="shared" si="3"/>
        <v/>
      </c>
      <c r="L53" s="207"/>
      <c r="M53" s="211" t="str">
        <f t="shared" si="4"/>
        <v/>
      </c>
      <c r="N53" s="207"/>
      <c r="O53" s="211" t="str">
        <f t="shared" si="5"/>
        <v/>
      </c>
      <c r="P53" s="207"/>
      <c r="Q53" s="211" t="str">
        <f t="shared" si="6"/>
        <v/>
      </c>
      <c r="R53" s="207"/>
      <c r="S53" s="211" t="str">
        <f t="shared" si="7"/>
        <v/>
      </c>
      <c r="T53" s="272" t="str">
        <f t="shared" si="8"/>
        <v/>
      </c>
      <c r="U53" s="212" t="str">
        <f t="shared" si="9"/>
        <v/>
      </c>
    </row>
    <row r="54" spans="2:21" x14ac:dyDescent="0.25">
      <c r="B54" s="241" t="str">
        <f>IF(Contagem!B52=0,"",Contagem!B52)</f>
        <v/>
      </c>
      <c r="C54" s="242" t="str">
        <f>IF(Contagem!T52 &gt; 0,Contagem!T52,"")</f>
        <v/>
      </c>
      <c r="D54" s="207"/>
      <c r="E54" s="211" t="str">
        <f t="shared" si="0"/>
        <v/>
      </c>
      <c r="F54" s="207"/>
      <c r="G54" s="211" t="str">
        <f t="shared" si="1"/>
        <v/>
      </c>
      <c r="H54" s="207"/>
      <c r="I54" s="211" t="str">
        <f t="shared" si="2"/>
        <v/>
      </c>
      <c r="J54" s="207"/>
      <c r="K54" s="211" t="str">
        <f t="shared" si="3"/>
        <v/>
      </c>
      <c r="L54" s="207"/>
      <c r="M54" s="211" t="str">
        <f t="shared" si="4"/>
        <v/>
      </c>
      <c r="N54" s="207"/>
      <c r="O54" s="211" t="str">
        <f t="shared" si="5"/>
        <v/>
      </c>
      <c r="P54" s="207"/>
      <c r="Q54" s="211" t="str">
        <f t="shared" si="6"/>
        <v/>
      </c>
      <c r="R54" s="207"/>
      <c r="S54" s="211" t="str">
        <f t="shared" si="7"/>
        <v/>
      </c>
      <c r="T54" s="272" t="str">
        <f t="shared" si="8"/>
        <v/>
      </c>
      <c r="U54" s="212" t="str">
        <f t="shared" si="9"/>
        <v/>
      </c>
    </row>
    <row r="55" spans="2:21" x14ac:dyDescent="0.25">
      <c r="B55" s="241" t="str">
        <f>IF(Contagem!B53=0,"",Contagem!B53)</f>
        <v/>
      </c>
      <c r="C55" s="242" t="str">
        <f>IF(Contagem!T53 &gt; 0,Contagem!T53,"")</f>
        <v/>
      </c>
      <c r="D55" s="207"/>
      <c r="E55" s="211" t="str">
        <f t="shared" si="0"/>
        <v/>
      </c>
      <c r="F55" s="207"/>
      <c r="G55" s="211" t="str">
        <f t="shared" si="1"/>
        <v/>
      </c>
      <c r="H55" s="207"/>
      <c r="I55" s="211" t="str">
        <f t="shared" si="2"/>
        <v/>
      </c>
      <c r="J55" s="207"/>
      <c r="K55" s="211" t="str">
        <f t="shared" si="3"/>
        <v/>
      </c>
      <c r="L55" s="207"/>
      <c r="M55" s="211" t="str">
        <f t="shared" si="4"/>
        <v/>
      </c>
      <c r="N55" s="207"/>
      <c r="O55" s="211" t="str">
        <f t="shared" si="5"/>
        <v/>
      </c>
      <c r="P55" s="207"/>
      <c r="Q55" s="211" t="str">
        <f t="shared" si="6"/>
        <v/>
      </c>
      <c r="R55" s="207"/>
      <c r="S55" s="211" t="str">
        <f t="shared" si="7"/>
        <v/>
      </c>
      <c r="T55" s="272" t="str">
        <f t="shared" si="8"/>
        <v/>
      </c>
      <c r="U55" s="212" t="str">
        <f t="shared" si="9"/>
        <v/>
      </c>
    </row>
    <row r="56" spans="2:21" x14ac:dyDescent="0.25">
      <c r="B56" s="241" t="str">
        <f>IF(Contagem!B54=0,"",Contagem!B54)</f>
        <v/>
      </c>
      <c r="C56" s="242" t="str">
        <f>IF(Contagem!T54 &gt; 0,Contagem!T54,"")</f>
        <v/>
      </c>
      <c r="D56" s="207"/>
      <c r="E56" s="211" t="str">
        <f t="shared" si="0"/>
        <v/>
      </c>
      <c r="F56" s="207"/>
      <c r="G56" s="211" t="str">
        <f t="shared" si="1"/>
        <v/>
      </c>
      <c r="H56" s="207"/>
      <c r="I56" s="211" t="str">
        <f t="shared" si="2"/>
        <v/>
      </c>
      <c r="J56" s="207"/>
      <c r="K56" s="211" t="str">
        <f t="shared" si="3"/>
        <v/>
      </c>
      <c r="L56" s="207"/>
      <c r="M56" s="211" t="str">
        <f t="shared" si="4"/>
        <v/>
      </c>
      <c r="N56" s="207"/>
      <c r="O56" s="211" t="str">
        <f t="shared" si="5"/>
        <v/>
      </c>
      <c r="P56" s="207"/>
      <c r="Q56" s="211" t="str">
        <f t="shared" si="6"/>
        <v/>
      </c>
      <c r="R56" s="207"/>
      <c r="S56" s="211" t="str">
        <f t="shared" si="7"/>
        <v/>
      </c>
      <c r="T56" s="272" t="str">
        <f t="shared" si="8"/>
        <v/>
      </c>
      <c r="U56" s="212" t="str">
        <f t="shared" si="9"/>
        <v/>
      </c>
    </row>
    <row r="57" spans="2:21" x14ac:dyDescent="0.25">
      <c r="B57" s="241" t="str">
        <f>IF(Contagem!B55=0,"",Contagem!B55)</f>
        <v/>
      </c>
      <c r="C57" s="242" t="str">
        <f>IF(Contagem!T55 &gt; 0,Contagem!T55,"")</f>
        <v/>
      </c>
      <c r="D57" s="207"/>
      <c r="E57" s="211" t="str">
        <f t="shared" si="0"/>
        <v/>
      </c>
      <c r="F57" s="207"/>
      <c r="G57" s="211" t="str">
        <f t="shared" si="1"/>
        <v/>
      </c>
      <c r="H57" s="207"/>
      <c r="I57" s="211" t="str">
        <f t="shared" si="2"/>
        <v/>
      </c>
      <c r="J57" s="207"/>
      <c r="K57" s="211" t="str">
        <f t="shared" si="3"/>
        <v/>
      </c>
      <c r="L57" s="207"/>
      <c r="M57" s="211" t="str">
        <f t="shared" si="4"/>
        <v/>
      </c>
      <c r="N57" s="207"/>
      <c r="O57" s="211" t="str">
        <f t="shared" si="5"/>
        <v/>
      </c>
      <c r="P57" s="207"/>
      <c r="Q57" s="211" t="str">
        <f t="shared" si="6"/>
        <v/>
      </c>
      <c r="R57" s="207"/>
      <c r="S57" s="211" t="str">
        <f t="shared" si="7"/>
        <v/>
      </c>
      <c r="T57" s="272" t="str">
        <f t="shared" si="8"/>
        <v/>
      </c>
      <c r="U57" s="212" t="str">
        <f t="shared" si="9"/>
        <v/>
      </c>
    </row>
    <row r="58" spans="2:21" x14ac:dyDescent="0.25">
      <c r="B58" s="241" t="str">
        <f>IF(Contagem!B56=0,"",Contagem!B56)</f>
        <v/>
      </c>
      <c r="C58" s="242" t="str">
        <f>IF(Contagem!T56 &gt; 0,Contagem!T56,"")</f>
        <v/>
      </c>
      <c r="D58" s="207"/>
      <c r="E58" s="211" t="str">
        <f t="shared" si="0"/>
        <v/>
      </c>
      <c r="F58" s="207"/>
      <c r="G58" s="211" t="str">
        <f t="shared" si="1"/>
        <v/>
      </c>
      <c r="H58" s="207"/>
      <c r="I58" s="211" t="str">
        <f t="shared" si="2"/>
        <v/>
      </c>
      <c r="J58" s="207"/>
      <c r="K58" s="211" t="str">
        <f t="shared" si="3"/>
        <v/>
      </c>
      <c r="L58" s="207"/>
      <c r="M58" s="211" t="str">
        <f t="shared" si="4"/>
        <v/>
      </c>
      <c r="N58" s="207"/>
      <c r="O58" s="211" t="str">
        <f t="shared" si="5"/>
        <v/>
      </c>
      <c r="P58" s="207"/>
      <c r="Q58" s="211" t="str">
        <f t="shared" si="6"/>
        <v/>
      </c>
      <c r="R58" s="207"/>
      <c r="S58" s="211" t="str">
        <f t="shared" si="7"/>
        <v/>
      </c>
      <c r="T58" s="272" t="str">
        <f t="shared" si="8"/>
        <v/>
      </c>
      <c r="U58" s="212" t="str">
        <f t="shared" si="9"/>
        <v/>
      </c>
    </row>
    <row r="59" spans="2:21" x14ac:dyDescent="0.25">
      <c r="B59" s="241" t="str">
        <f>IF(Contagem!B57=0,"",Contagem!B57)</f>
        <v/>
      </c>
      <c r="C59" s="242" t="str">
        <f>IF(Contagem!T57 &gt; 0,Contagem!T57,"")</f>
        <v/>
      </c>
      <c r="D59" s="207"/>
      <c r="E59" s="211" t="str">
        <f t="shared" si="0"/>
        <v/>
      </c>
      <c r="F59" s="207"/>
      <c r="G59" s="211" t="str">
        <f t="shared" si="1"/>
        <v/>
      </c>
      <c r="H59" s="207"/>
      <c r="I59" s="211" t="str">
        <f t="shared" si="2"/>
        <v/>
      </c>
      <c r="J59" s="207"/>
      <c r="K59" s="211" t="str">
        <f t="shared" si="3"/>
        <v/>
      </c>
      <c r="L59" s="207"/>
      <c r="M59" s="211" t="str">
        <f t="shared" si="4"/>
        <v/>
      </c>
      <c r="N59" s="207"/>
      <c r="O59" s="211" t="str">
        <f t="shared" si="5"/>
        <v/>
      </c>
      <c r="P59" s="207"/>
      <c r="Q59" s="211" t="str">
        <f t="shared" si="6"/>
        <v/>
      </c>
      <c r="R59" s="207"/>
      <c r="S59" s="211" t="str">
        <f t="shared" si="7"/>
        <v/>
      </c>
      <c r="T59" s="272" t="str">
        <f t="shared" si="8"/>
        <v/>
      </c>
      <c r="U59" s="212" t="str">
        <f t="shared" si="9"/>
        <v/>
      </c>
    </row>
    <row r="60" spans="2:21" x14ac:dyDescent="0.25">
      <c r="B60" s="241" t="str">
        <f>IF(Contagem!B58=0,"",Contagem!B58)</f>
        <v/>
      </c>
      <c r="C60" s="242" t="str">
        <f>IF(Contagem!T58 &gt; 0,Contagem!T58,"")</f>
        <v/>
      </c>
      <c r="D60" s="207"/>
      <c r="E60" s="211" t="str">
        <f t="shared" si="0"/>
        <v/>
      </c>
      <c r="F60" s="207"/>
      <c r="G60" s="211" t="str">
        <f t="shared" si="1"/>
        <v/>
      </c>
      <c r="H60" s="207"/>
      <c r="I60" s="211" t="str">
        <f t="shared" si="2"/>
        <v/>
      </c>
      <c r="J60" s="207"/>
      <c r="K60" s="211" t="str">
        <f t="shared" si="3"/>
        <v/>
      </c>
      <c r="L60" s="207"/>
      <c r="M60" s="211" t="str">
        <f t="shared" si="4"/>
        <v/>
      </c>
      <c r="N60" s="207"/>
      <c r="O60" s="211" t="str">
        <f t="shared" si="5"/>
        <v/>
      </c>
      <c r="P60" s="207"/>
      <c r="Q60" s="211" t="str">
        <f t="shared" si="6"/>
        <v/>
      </c>
      <c r="R60" s="207"/>
      <c r="S60" s="211" t="str">
        <f t="shared" si="7"/>
        <v/>
      </c>
      <c r="T60" s="272" t="str">
        <f t="shared" si="8"/>
        <v/>
      </c>
      <c r="U60" s="212" t="str">
        <f t="shared" si="9"/>
        <v/>
      </c>
    </row>
    <row r="61" spans="2:21" x14ac:dyDescent="0.25">
      <c r="B61" s="241" t="str">
        <f>IF(Contagem!B59=0,"",Contagem!B59)</f>
        <v/>
      </c>
      <c r="C61" s="242" t="str">
        <f>IF(Contagem!T59 &gt; 0,Contagem!T59,"")</f>
        <v/>
      </c>
      <c r="D61" s="207"/>
      <c r="E61" s="211" t="str">
        <f t="shared" si="0"/>
        <v/>
      </c>
      <c r="F61" s="207"/>
      <c r="G61" s="211" t="str">
        <f t="shared" si="1"/>
        <v/>
      </c>
      <c r="H61" s="207"/>
      <c r="I61" s="211" t="str">
        <f t="shared" si="2"/>
        <v/>
      </c>
      <c r="J61" s="207"/>
      <c r="K61" s="211" t="str">
        <f t="shared" si="3"/>
        <v/>
      </c>
      <c r="L61" s="207"/>
      <c r="M61" s="211" t="str">
        <f t="shared" si="4"/>
        <v/>
      </c>
      <c r="N61" s="207"/>
      <c r="O61" s="211" t="str">
        <f t="shared" si="5"/>
        <v/>
      </c>
      <c r="P61" s="207"/>
      <c r="Q61" s="211" t="str">
        <f t="shared" si="6"/>
        <v/>
      </c>
      <c r="R61" s="207"/>
      <c r="S61" s="211" t="str">
        <f t="shared" si="7"/>
        <v/>
      </c>
      <c r="T61" s="272" t="str">
        <f t="shared" si="8"/>
        <v/>
      </c>
      <c r="U61" s="212" t="str">
        <f t="shared" si="9"/>
        <v/>
      </c>
    </row>
    <row r="62" spans="2:21" x14ac:dyDescent="0.25">
      <c r="B62" s="241" t="str">
        <f>IF(Contagem!B60=0,"",Contagem!B60)</f>
        <v/>
      </c>
      <c r="C62" s="242" t="str">
        <f>IF(Contagem!T60 &gt; 0,Contagem!T60,"")</f>
        <v/>
      </c>
      <c r="D62" s="207"/>
      <c r="E62" s="211" t="str">
        <f t="shared" si="0"/>
        <v/>
      </c>
      <c r="F62" s="207"/>
      <c r="G62" s="211" t="str">
        <f t="shared" si="1"/>
        <v/>
      </c>
      <c r="H62" s="207"/>
      <c r="I62" s="211" t="str">
        <f t="shared" si="2"/>
        <v/>
      </c>
      <c r="J62" s="207"/>
      <c r="K62" s="211" t="str">
        <f t="shared" si="3"/>
        <v/>
      </c>
      <c r="L62" s="207"/>
      <c r="M62" s="211" t="str">
        <f t="shared" si="4"/>
        <v/>
      </c>
      <c r="N62" s="207"/>
      <c r="O62" s="211" t="str">
        <f t="shared" si="5"/>
        <v/>
      </c>
      <c r="P62" s="207"/>
      <c r="Q62" s="211" t="str">
        <f t="shared" si="6"/>
        <v/>
      </c>
      <c r="R62" s="207"/>
      <c r="S62" s="211" t="str">
        <f t="shared" si="7"/>
        <v/>
      </c>
      <c r="T62" s="272" t="str">
        <f t="shared" si="8"/>
        <v/>
      </c>
      <c r="U62" s="212" t="str">
        <f t="shared" si="9"/>
        <v/>
      </c>
    </row>
    <row r="63" spans="2:21" x14ac:dyDescent="0.25">
      <c r="B63" s="241" t="str">
        <f>IF(Contagem!B61=0,"",Contagem!B61)</f>
        <v/>
      </c>
      <c r="C63" s="242" t="str">
        <f>IF(Contagem!T61 &gt; 0,Contagem!T61,"")</f>
        <v/>
      </c>
      <c r="D63" s="207"/>
      <c r="E63" s="211" t="str">
        <f t="shared" si="0"/>
        <v/>
      </c>
      <c r="F63" s="207"/>
      <c r="G63" s="211" t="str">
        <f t="shared" si="1"/>
        <v/>
      </c>
      <c r="H63" s="207"/>
      <c r="I63" s="211" t="str">
        <f t="shared" si="2"/>
        <v/>
      </c>
      <c r="J63" s="207"/>
      <c r="K63" s="211" t="str">
        <f t="shared" si="3"/>
        <v/>
      </c>
      <c r="L63" s="207"/>
      <c r="M63" s="211" t="str">
        <f t="shared" si="4"/>
        <v/>
      </c>
      <c r="N63" s="207"/>
      <c r="O63" s="211" t="str">
        <f t="shared" si="5"/>
        <v/>
      </c>
      <c r="P63" s="207"/>
      <c r="Q63" s="211" t="str">
        <f t="shared" si="6"/>
        <v/>
      </c>
      <c r="R63" s="207"/>
      <c r="S63" s="211" t="str">
        <f t="shared" si="7"/>
        <v/>
      </c>
      <c r="T63" s="272" t="str">
        <f t="shared" si="8"/>
        <v/>
      </c>
      <c r="U63" s="212" t="str">
        <f t="shared" si="9"/>
        <v/>
      </c>
    </row>
    <row r="64" spans="2:21" x14ac:dyDescent="0.25">
      <c r="B64" s="241" t="str">
        <f>IF(Contagem!B62=0,"",Contagem!B62)</f>
        <v/>
      </c>
      <c r="C64" s="242" t="str">
        <f>IF(Contagem!T62 &gt; 0,Contagem!T62,"")</f>
        <v/>
      </c>
      <c r="D64" s="207"/>
      <c r="E64" s="211" t="str">
        <f t="shared" si="0"/>
        <v/>
      </c>
      <c r="F64" s="207"/>
      <c r="G64" s="211" t="str">
        <f t="shared" si="1"/>
        <v/>
      </c>
      <c r="H64" s="207"/>
      <c r="I64" s="211" t="str">
        <f t="shared" si="2"/>
        <v/>
      </c>
      <c r="J64" s="207"/>
      <c r="K64" s="211" t="str">
        <f t="shared" si="3"/>
        <v/>
      </c>
      <c r="L64" s="207"/>
      <c r="M64" s="211" t="str">
        <f t="shared" si="4"/>
        <v/>
      </c>
      <c r="N64" s="207"/>
      <c r="O64" s="211" t="str">
        <f t="shared" si="5"/>
        <v/>
      </c>
      <c r="P64" s="207"/>
      <c r="Q64" s="211" t="str">
        <f t="shared" si="6"/>
        <v/>
      </c>
      <c r="R64" s="207"/>
      <c r="S64" s="211" t="str">
        <f t="shared" si="7"/>
        <v/>
      </c>
      <c r="T64" s="272" t="str">
        <f t="shared" si="8"/>
        <v/>
      </c>
      <c r="U64" s="212" t="str">
        <f t="shared" si="9"/>
        <v/>
      </c>
    </row>
    <row r="65" spans="2:21" x14ac:dyDescent="0.25">
      <c r="B65" s="241" t="str">
        <f>IF(Contagem!B63=0,"",Contagem!B63)</f>
        <v/>
      </c>
      <c r="C65" s="242" t="str">
        <f>IF(Contagem!T63 &gt; 0,Contagem!T63,"")</f>
        <v/>
      </c>
      <c r="D65" s="207"/>
      <c r="E65" s="211" t="str">
        <f t="shared" si="0"/>
        <v/>
      </c>
      <c r="F65" s="207"/>
      <c r="G65" s="211" t="str">
        <f t="shared" si="1"/>
        <v/>
      </c>
      <c r="H65" s="207"/>
      <c r="I65" s="211" t="str">
        <f t="shared" si="2"/>
        <v/>
      </c>
      <c r="J65" s="207"/>
      <c r="K65" s="211" t="str">
        <f t="shared" si="3"/>
        <v/>
      </c>
      <c r="L65" s="207"/>
      <c r="M65" s="211" t="str">
        <f t="shared" si="4"/>
        <v/>
      </c>
      <c r="N65" s="207"/>
      <c r="O65" s="211" t="str">
        <f t="shared" si="5"/>
        <v/>
      </c>
      <c r="P65" s="207"/>
      <c r="Q65" s="211" t="str">
        <f t="shared" si="6"/>
        <v/>
      </c>
      <c r="R65" s="207"/>
      <c r="S65" s="211" t="str">
        <f t="shared" si="7"/>
        <v/>
      </c>
      <c r="T65" s="272" t="str">
        <f t="shared" si="8"/>
        <v/>
      </c>
      <c r="U65" s="212" t="str">
        <f t="shared" si="9"/>
        <v/>
      </c>
    </row>
    <row r="66" spans="2:21" x14ac:dyDescent="0.25">
      <c r="B66" s="241" t="str">
        <f>IF(Contagem!B64=0,"",Contagem!B64)</f>
        <v/>
      </c>
      <c r="C66" s="242" t="str">
        <f>IF(Contagem!T64 &gt; 0,Contagem!T64,"")</f>
        <v/>
      </c>
      <c r="D66" s="207"/>
      <c r="E66" s="211" t="str">
        <f t="shared" si="0"/>
        <v/>
      </c>
      <c r="F66" s="207"/>
      <c r="G66" s="211" t="str">
        <f t="shared" si="1"/>
        <v/>
      </c>
      <c r="H66" s="207"/>
      <c r="I66" s="211" t="str">
        <f t="shared" si="2"/>
        <v/>
      </c>
      <c r="J66" s="207"/>
      <c r="K66" s="211" t="str">
        <f t="shared" si="3"/>
        <v/>
      </c>
      <c r="L66" s="207"/>
      <c r="M66" s="211" t="str">
        <f t="shared" si="4"/>
        <v/>
      </c>
      <c r="N66" s="207"/>
      <c r="O66" s="211" t="str">
        <f t="shared" si="5"/>
        <v/>
      </c>
      <c r="P66" s="207"/>
      <c r="Q66" s="211" t="str">
        <f t="shared" si="6"/>
        <v/>
      </c>
      <c r="R66" s="207"/>
      <c r="S66" s="211" t="str">
        <f t="shared" si="7"/>
        <v/>
      </c>
      <c r="T66" s="272" t="str">
        <f t="shared" si="8"/>
        <v/>
      </c>
      <c r="U66" s="212" t="str">
        <f t="shared" si="9"/>
        <v/>
      </c>
    </row>
    <row r="67" spans="2:21" x14ac:dyDescent="0.25">
      <c r="B67" s="241" t="str">
        <f>IF(Contagem!B65=0,"",Contagem!B65)</f>
        <v/>
      </c>
      <c r="C67" s="242" t="str">
        <f>IF(Contagem!T65 &gt; 0,Contagem!T65,"")</f>
        <v/>
      </c>
      <c r="D67" s="207"/>
      <c r="E67" s="211" t="str">
        <f t="shared" si="0"/>
        <v/>
      </c>
      <c r="F67" s="207"/>
      <c r="G67" s="211" t="str">
        <f t="shared" si="1"/>
        <v/>
      </c>
      <c r="H67" s="207"/>
      <c r="I67" s="211" t="str">
        <f t="shared" si="2"/>
        <v/>
      </c>
      <c r="J67" s="207"/>
      <c r="K67" s="211" t="str">
        <f t="shared" si="3"/>
        <v/>
      </c>
      <c r="L67" s="207"/>
      <c r="M67" s="211" t="str">
        <f t="shared" si="4"/>
        <v/>
      </c>
      <c r="N67" s="207"/>
      <c r="O67" s="211" t="str">
        <f t="shared" si="5"/>
        <v/>
      </c>
      <c r="P67" s="207"/>
      <c r="Q67" s="211" t="str">
        <f t="shared" si="6"/>
        <v/>
      </c>
      <c r="R67" s="207"/>
      <c r="S67" s="211" t="str">
        <f t="shared" si="7"/>
        <v/>
      </c>
      <c r="T67" s="272" t="str">
        <f t="shared" si="8"/>
        <v/>
      </c>
      <c r="U67" s="212" t="str">
        <f t="shared" si="9"/>
        <v/>
      </c>
    </row>
    <row r="68" spans="2:21" x14ac:dyDescent="0.25">
      <c r="B68" s="241" t="str">
        <f>IF(Contagem!B66=0,"",Contagem!B66)</f>
        <v/>
      </c>
      <c r="C68" s="242" t="str">
        <f>IF(Contagem!T66 &gt; 0,Contagem!T66,"")</f>
        <v/>
      </c>
      <c r="D68" s="207"/>
      <c r="E68" s="211" t="str">
        <f t="shared" si="0"/>
        <v/>
      </c>
      <c r="F68" s="207"/>
      <c r="G68" s="211" t="str">
        <f t="shared" si="1"/>
        <v/>
      </c>
      <c r="H68" s="207"/>
      <c r="I68" s="211" t="str">
        <f t="shared" si="2"/>
        <v/>
      </c>
      <c r="J68" s="207"/>
      <c r="K68" s="211" t="str">
        <f t="shared" si="3"/>
        <v/>
      </c>
      <c r="L68" s="207"/>
      <c r="M68" s="211" t="str">
        <f t="shared" si="4"/>
        <v/>
      </c>
      <c r="N68" s="207"/>
      <c r="O68" s="211" t="str">
        <f t="shared" si="5"/>
        <v/>
      </c>
      <c r="P68" s="207"/>
      <c r="Q68" s="211" t="str">
        <f t="shared" si="6"/>
        <v/>
      </c>
      <c r="R68" s="207"/>
      <c r="S68" s="211" t="str">
        <f t="shared" si="7"/>
        <v/>
      </c>
      <c r="T68" s="272" t="str">
        <f t="shared" si="8"/>
        <v/>
      </c>
      <c r="U68" s="212" t="str">
        <f t="shared" si="9"/>
        <v/>
      </c>
    </row>
    <row r="69" spans="2:21" x14ac:dyDescent="0.25">
      <c r="B69" s="241" t="str">
        <f>IF(Contagem!B67=0,"",Contagem!B67)</f>
        <v/>
      </c>
      <c r="C69" s="242" t="str">
        <f>IF(Contagem!T67 &gt; 0,Contagem!T67,"")</f>
        <v/>
      </c>
      <c r="D69" s="207"/>
      <c r="E69" s="211" t="str">
        <f t="shared" si="0"/>
        <v/>
      </c>
      <c r="F69" s="207"/>
      <c r="G69" s="211" t="str">
        <f t="shared" si="1"/>
        <v/>
      </c>
      <c r="H69" s="207"/>
      <c r="I69" s="211" t="str">
        <f t="shared" si="2"/>
        <v/>
      </c>
      <c r="J69" s="207"/>
      <c r="K69" s="211" t="str">
        <f t="shared" si="3"/>
        <v/>
      </c>
      <c r="L69" s="207"/>
      <c r="M69" s="211" t="str">
        <f t="shared" si="4"/>
        <v/>
      </c>
      <c r="N69" s="207"/>
      <c r="O69" s="211" t="str">
        <f t="shared" si="5"/>
        <v/>
      </c>
      <c r="P69" s="207"/>
      <c r="Q69" s="211" t="str">
        <f t="shared" si="6"/>
        <v/>
      </c>
      <c r="R69" s="207"/>
      <c r="S69" s="211" t="str">
        <f t="shared" si="7"/>
        <v/>
      </c>
      <c r="T69" s="272" t="str">
        <f t="shared" si="8"/>
        <v/>
      </c>
      <c r="U69" s="212" t="str">
        <f t="shared" si="9"/>
        <v/>
      </c>
    </row>
    <row r="70" spans="2:21" x14ac:dyDescent="0.25">
      <c r="B70" s="241" t="str">
        <f>IF(Contagem!B68=0,"",Contagem!B68)</f>
        <v/>
      </c>
      <c r="C70" s="242" t="str">
        <f>IF(Contagem!T68 &gt; 0,Contagem!T68,"")</f>
        <v/>
      </c>
      <c r="D70" s="207"/>
      <c r="E70" s="211" t="str">
        <f t="shared" si="0"/>
        <v/>
      </c>
      <c r="F70" s="207"/>
      <c r="G70" s="211" t="str">
        <f t="shared" si="1"/>
        <v/>
      </c>
      <c r="H70" s="207"/>
      <c r="I70" s="211" t="str">
        <f t="shared" si="2"/>
        <v/>
      </c>
      <c r="J70" s="207"/>
      <c r="K70" s="211" t="str">
        <f t="shared" si="3"/>
        <v/>
      </c>
      <c r="L70" s="207"/>
      <c r="M70" s="211" t="str">
        <f t="shared" si="4"/>
        <v/>
      </c>
      <c r="N70" s="207"/>
      <c r="O70" s="211" t="str">
        <f t="shared" si="5"/>
        <v/>
      </c>
      <c r="P70" s="207"/>
      <c r="Q70" s="211" t="str">
        <f t="shared" si="6"/>
        <v/>
      </c>
      <c r="R70" s="207"/>
      <c r="S70" s="211" t="str">
        <f t="shared" si="7"/>
        <v/>
      </c>
      <c r="T70" s="272" t="str">
        <f t="shared" si="8"/>
        <v/>
      </c>
      <c r="U70" s="212" t="str">
        <f t="shared" si="9"/>
        <v/>
      </c>
    </row>
    <row r="71" spans="2:21" x14ac:dyDescent="0.25">
      <c r="B71" s="241" t="str">
        <f>IF(Contagem!B69=0,"",Contagem!B69)</f>
        <v/>
      </c>
      <c r="C71" s="242" t="str">
        <f>IF(Contagem!T69 &gt; 0,Contagem!T69,"")</f>
        <v/>
      </c>
      <c r="D71" s="207"/>
      <c r="E71" s="211" t="str">
        <f t="shared" ref="E71:E134" si="10">IFERROR(IF(AND($D$4&lt;&gt; 0,D71="Sim", $C71 &gt; 0),$C71*$D$4,""),0)</f>
        <v/>
      </c>
      <c r="F71" s="207"/>
      <c r="G71" s="211" t="str">
        <f t="shared" ref="G71:G134" si="11">IFERROR(IF(AND($F$4&lt;&gt; 0,F71="Sim", $C71 &gt; 0),$C71*$F$4,""),0)</f>
        <v/>
      </c>
      <c r="H71" s="207"/>
      <c r="I71" s="211" t="str">
        <f t="shared" ref="I71:I134" si="12">IFERROR(IF(AND($H$4&lt;&gt; 0,H71="Sim", $C71 &gt; 0),$C71*$H$4,""),0)</f>
        <v/>
      </c>
      <c r="J71" s="207"/>
      <c r="K71" s="211" t="str">
        <f t="shared" ref="K71:K134" si="13">IFERROR(IF(AND($J$4&lt;&gt; 0,J71="Sim", $C71 &gt; 0),$C71*$J$4,""),0)</f>
        <v/>
      </c>
      <c r="L71" s="207"/>
      <c r="M71" s="211" t="str">
        <f t="shared" ref="M71:M134" si="14">IFERROR(IF(AND($L$4&lt;&gt; 0,L71="Sim", $C71 &gt; 0),$C71*$L$4,""),0)</f>
        <v/>
      </c>
      <c r="N71" s="207"/>
      <c r="O71" s="211" t="str">
        <f t="shared" ref="O71:O134" si="15">IFERROR(IF(AND($N$4&lt;&gt; 0,N71="Sim", $C71 &gt; 0),$C71*$N$4,""),0)</f>
        <v/>
      </c>
      <c r="P71" s="207"/>
      <c r="Q71" s="211" t="str">
        <f t="shared" ref="Q71:Q134" si="16">IFERROR(IF(AND($P$4&lt;&gt; 0,P71="Sim", $C71 &gt; 0),$C71*$P$4,""),0)</f>
        <v/>
      </c>
      <c r="R71" s="207"/>
      <c r="S71" s="211" t="str">
        <f t="shared" ref="S71:S134" si="17">IFERROR(IF(AND($R$4&lt;&gt; 0,R71="Sim", $C71 &gt; 0),$C71*$R$4,""),0)</f>
        <v/>
      </c>
      <c r="T71" s="272" t="str">
        <f t="shared" ref="T71:T134" si="18">IFERROR(U71/C71,"")</f>
        <v/>
      </c>
      <c r="U71" s="212" t="str">
        <f t="shared" ref="U71:U134" si="19">IF(SUM(E71,G71,I71,K71,M71,O71,Q71,S71) &gt; 0,SUM(E71,G71,I71,K71,M71,O71,Q71,S71),"")</f>
        <v/>
      </c>
    </row>
    <row r="72" spans="2:21" x14ac:dyDescent="0.25">
      <c r="B72" s="241" t="str">
        <f>IF(Contagem!B70=0,"",Contagem!B70)</f>
        <v/>
      </c>
      <c r="C72" s="242" t="str">
        <f>IF(Contagem!T70 &gt; 0,Contagem!T70,"")</f>
        <v/>
      </c>
      <c r="D72" s="207"/>
      <c r="E72" s="211" t="str">
        <f t="shared" si="10"/>
        <v/>
      </c>
      <c r="F72" s="207"/>
      <c r="G72" s="211" t="str">
        <f t="shared" si="11"/>
        <v/>
      </c>
      <c r="H72" s="207"/>
      <c r="I72" s="211" t="str">
        <f t="shared" si="12"/>
        <v/>
      </c>
      <c r="J72" s="207"/>
      <c r="K72" s="211" t="str">
        <f t="shared" si="13"/>
        <v/>
      </c>
      <c r="L72" s="207"/>
      <c r="M72" s="211" t="str">
        <f t="shared" si="14"/>
        <v/>
      </c>
      <c r="N72" s="207"/>
      <c r="O72" s="211" t="str">
        <f t="shared" si="15"/>
        <v/>
      </c>
      <c r="P72" s="207"/>
      <c r="Q72" s="211" t="str">
        <f t="shared" si="16"/>
        <v/>
      </c>
      <c r="R72" s="207"/>
      <c r="S72" s="211" t="str">
        <f t="shared" si="17"/>
        <v/>
      </c>
      <c r="T72" s="272" t="str">
        <f t="shared" si="18"/>
        <v/>
      </c>
      <c r="U72" s="212" t="str">
        <f t="shared" si="19"/>
        <v/>
      </c>
    </row>
    <row r="73" spans="2:21" x14ac:dyDescent="0.25">
      <c r="B73" s="241" t="str">
        <f>IF(Contagem!B71=0,"",Contagem!B71)</f>
        <v/>
      </c>
      <c r="C73" s="242" t="str">
        <f>IF(Contagem!T71 &gt; 0,Contagem!T71,"")</f>
        <v/>
      </c>
      <c r="D73" s="207"/>
      <c r="E73" s="211" t="str">
        <f t="shared" si="10"/>
        <v/>
      </c>
      <c r="F73" s="207"/>
      <c r="G73" s="211" t="str">
        <f t="shared" si="11"/>
        <v/>
      </c>
      <c r="H73" s="207"/>
      <c r="I73" s="211" t="str">
        <f t="shared" si="12"/>
        <v/>
      </c>
      <c r="J73" s="207"/>
      <c r="K73" s="211" t="str">
        <f t="shared" si="13"/>
        <v/>
      </c>
      <c r="L73" s="207"/>
      <c r="M73" s="211" t="str">
        <f t="shared" si="14"/>
        <v/>
      </c>
      <c r="N73" s="207"/>
      <c r="O73" s="211" t="str">
        <f t="shared" si="15"/>
        <v/>
      </c>
      <c r="P73" s="207"/>
      <c r="Q73" s="211" t="str">
        <f t="shared" si="16"/>
        <v/>
      </c>
      <c r="R73" s="207"/>
      <c r="S73" s="211" t="str">
        <f t="shared" si="17"/>
        <v/>
      </c>
      <c r="T73" s="272" t="str">
        <f t="shared" si="18"/>
        <v/>
      </c>
      <c r="U73" s="212" t="str">
        <f t="shared" si="19"/>
        <v/>
      </c>
    </row>
    <row r="74" spans="2:21" x14ac:dyDescent="0.25">
      <c r="B74" s="241" t="str">
        <f>IF(Contagem!B72=0,"",Contagem!B72)</f>
        <v/>
      </c>
      <c r="C74" s="242" t="str">
        <f>IF(Contagem!T72 &gt; 0,Contagem!T72,"")</f>
        <v/>
      </c>
      <c r="D74" s="207"/>
      <c r="E74" s="211" t="str">
        <f t="shared" si="10"/>
        <v/>
      </c>
      <c r="F74" s="207"/>
      <c r="G74" s="211" t="str">
        <f t="shared" si="11"/>
        <v/>
      </c>
      <c r="H74" s="207"/>
      <c r="I74" s="211" t="str">
        <f t="shared" si="12"/>
        <v/>
      </c>
      <c r="J74" s="207"/>
      <c r="K74" s="211" t="str">
        <f t="shared" si="13"/>
        <v/>
      </c>
      <c r="L74" s="207"/>
      <c r="M74" s="211" t="str">
        <f t="shared" si="14"/>
        <v/>
      </c>
      <c r="N74" s="207"/>
      <c r="O74" s="211" t="str">
        <f t="shared" si="15"/>
        <v/>
      </c>
      <c r="P74" s="207"/>
      <c r="Q74" s="211" t="str">
        <f t="shared" si="16"/>
        <v/>
      </c>
      <c r="R74" s="207"/>
      <c r="S74" s="211" t="str">
        <f t="shared" si="17"/>
        <v/>
      </c>
      <c r="T74" s="272" t="str">
        <f t="shared" si="18"/>
        <v/>
      </c>
      <c r="U74" s="212" t="str">
        <f t="shared" si="19"/>
        <v/>
      </c>
    </row>
    <row r="75" spans="2:21" x14ac:dyDescent="0.25">
      <c r="B75" s="241" t="str">
        <f>IF(Contagem!B73=0,"",Contagem!B73)</f>
        <v/>
      </c>
      <c r="C75" s="242" t="str">
        <f>IF(Contagem!T73 &gt; 0,Contagem!T73,"")</f>
        <v/>
      </c>
      <c r="D75" s="207"/>
      <c r="E75" s="211" t="str">
        <f t="shared" si="10"/>
        <v/>
      </c>
      <c r="F75" s="207"/>
      <c r="G75" s="211" t="str">
        <f t="shared" si="11"/>
        <v/>
      </c>
      <c r="H75" s="207"/>
      <c r="I75" s="211" t="str">
        <f t="shared" si="12"/>
        <v/>
      </c>
      <c r="J75" s="207"/>
      <c r="K75" s="211" t="str">
        <f t="shared" si="13"/>
        <v/>
      </c>
      <c r="L75" s="207"/>
      <c r="M75" s="211" t="str">
        <f t="shared" si="14"/>
        <v/>
      </c>
      <c r="N75" s="207"/>
      <c r="O75" s="211" t="str">
        <f t="shared" si="15"/>
        <v/>
      </c>
      <c r="P75" s="207"/>
      <c r="Q75" s="211" t="str">
        <f t="shared" si="16"/>
        <v/>
      </c>
      <c r="R75" s="207"/>
      <c r="S75" s="211" t="str">
        <f t="shared" si="17"/>
        <v/>
      </c>
      <c r="T75" s="272" t="str">
        <f t="shared" si="18"/>
        <v/>
      </c>
      <c r="U75" s="212" t="str">
        <f t="shared" si="19"/>
        <v/>
      </c>
    </row>
    <row r="76" spans="2:21" x14ac:dyDescent="0.25">
      <c r="B76" s="241" t="str">
        <f>IF(Contagem!B74=0,"",Contagem!B74)</f>
        <v/>
      </c>
      <c r="C76" s="242" t="str">
        <f>IF(Contagem!T74 &gt; 0,Contagem!T74,"")</f>
        <v/>
      </c>
      <c r="D76" s="207"/>
      <c r="E76" s="211" t="str">
        <f t="shared" si="10"/>
        <v/>
      </c>
      <c r="F76" s="207"/>
      <c r="G76" s="211" t="str">
        <f t="shared" si="11"/>
        <v/>
      </c>
      <c r="H76" s="207"/>
      <c r="I76" s="211" t="str">
        <f t="shared" si="12"/>
        <v/>
      </c>
      <c r="J76" s="207"/>
      <c r="K76" s="211" t="str">
        <f t="shared" si="13"/>
        <v/>
      </c>
      <c r="L76" s="207"/>
      <c r="M76" s="211" t="str">
        <f t="shared" si="14"/>
        <v/>
      </c>
      <c r="N76" s="207"/>
      <c r="O76" s="211" t="str">
        <f t="shared" si="15"/>
        <v/>
      </c>
      <c r="P76" s="207"/>
      <c r="Q76" s="211" t="str">
        <f t="shared" si="16"/>
        <v/>
      </c>
      <c r="R76" s="207"/>
      <c r="S76" s="211" t="str">
        <f t="shared" si="17"/>
        <v/>
      </c>
      <c r="T76" s="272" t="str">
        <f t="shared" si="18"/>
        <v/>
      </c>
      <c r="U76" s="212" t="str">
        <f t="shared" si="19"/>
        <v/>
      </c>
    </row>
    <row r="77" spans="2:21" x14ac:dyDescent="0.25">
      <c r="B77" s="241" t="str">
        <f>IF(Contagem!B75=0,"",Contagem!B75)</f>
        <v/>
      </c>
      <c r="C77" s="242" t="str">
        <f>IF(Contagem!T75 &gt; 0,Contagem!T75,"")</f>
        <v/>
      </c>
      <c r="D77" s="207"/>
      <c r="E77" s="211" t="str">
        <f t="shared" si="10"/>
        <v/>
      </c>
      <c r="F77" s="207"/>
      <c r="G77" s="211" t="str">
        <f t="shared" si="11"/>
        <v/>
      </c>
      <c r="H77" s="207"/>
      <c r="I77" s="211" t="str">
        <f t="shared" si="12"/>
        <v/>
      </c>
      <c r="J77" s="207"/>
      <c r="K77" s="211" t="str">
        <f t="shared" si="13"/>
        <v/>
      </c>
      <c r="L77" s="207"/>
      <c r="M77" s="211" t="str">
        <f t="shared" si="14"/>
        <v/>
      </c>
      <c r="N77" s="207"/>
      <c r="O77" s="211" t="str">
        <f t="shared" si="15"/>
        <v/>
      </c>
      <c r="P77" s="207"/>
      <c r="Q77" s="211" t="str">
        <f t="shared" si="16"/>
        <v/>
      </c>
      <c r="R77" s="207"/>
      <c r="S77" s="211" t="str">
        <f t="shared" si="17"/>
        <v/>
      </c>
      <c r="T77" s="272" t="str">
        <f t="shared" si="18"/>
        <v/>
      </c>
      <c r="U77" s="212" t="str">
        <f t="shared" si="19"/>
        <v/>
      </c>
    </row>
    <row r="78" spans="2:21" x14ac:dyDescent="0.25">
      <c r="B78" s="241" t="str">
        <f>IF(Contagem!B76=0,"",Contagem!B76)</f>
        <v/>
      </c>
      <c r="C78" s="242" t="str">
        <f>IF(Contagem!T76 &gt; 0,Contagem!T76,"")</f>
        <v/>
      </c>
      <c r="D78" s="207"/>
      <c r="E78" s="211" t="str">
        <f t="shared" si="10"/>
        <v/>
      </c>
      <c r="F78" s="207"/>
      <c r="G78" s="211" t="str">
        <f t="shared" si="11"/>
        <v/>
      </c>
      <c r="H78" s="207"/>
      <c r="I78" s="211" t="str">
        <f t="shared" si="12"/>
        <v/>
      </c>
      <c r="J78" s="207"/>
      <c r="K78" s="211" t="str">
        <f t="shared" si="13"/>
        <v/>
      </c>
      <c r="L78" s="207"/>
      <c r="M78" s="211" t="str">
        <f t="shared" si="14"/>
        <v/>
      </c>
      <c r="N78" s="207"/>
      <c r="O78" s="211" t="str">
        <f t="shared" si="15"/>
        <v/>
      </c>
      <c r="P78" s="207"/>
      <c r="Q78" s="211" t="str">
        <f t="shared" si="16"/>
        <v/>
      </c>
      <c r="R78" s="207"/>
      <c r="S78" s="211" t="str">
        <f t="shared" si="17"/>
        <v/>
      </c>
      <c r="T78" s="272" t="str">
        <f t="shared" si="18"/>
        <v/>
      </c>
      <c r="U78" s="212" t="str">
        <f t="shared" si="19"/>
        <v/>
      </c>
    </row>
    <row r="79" spans="2:21" x14ac:dyDescent="0.25">
      <c r="B79" s="241" t="str">
        <f>IF(Contagem!B77=0,"",Contagem!B77)</f>
        <v/>
      </c>
      <c r="C79" s="242" t="str">
        <f>IF(Contagem!T77 &gt; 0,Contagem!T77,"")</f>
        <v/>
      </c>
      <c r="D79" s="207"/>
      <c r="E79" s="211" t="str">
        <f t="shared" si="10"/>
        <v/>
      </c>
      <c r="F79" s="207"/>
      <c r="G79" s="211" t="str">
        <f t="shared" si="11"/>
        <v/>
      </c>
      <c r="H79" s="207"/>
      <c r="I79" s="211" t="str">
        <f t="shared" si="12"/>
        <v/>
      </c>
      <c r="J79" s="207"/>
      <c r="K79" s="211" t="str">
        <f t="shared" si="13"/>
        <v/>
      </c>
      <c r="L79" s="207"/>
      <c r="M79" s="211" t="str">
        <f t="shared" si="14"/>
        <v/>
      </c>
      <c r="N79" s="207"/>
      <c r="O79" s="211" t="str">
        <f t="shared" si="15"/>
        <v/>
      </c>
      <c r="P79" s="207"/>
      <c r="Q79" s="211" t="str">
        <f t="shared" si="16"/>
        <v/>
      </c>
      <c r="R79" s="207"/>
      <c r="S79" s="211" t="str">
        <f t="shared" si="17"/>
        <v/>
      </c>
      <c r="T79" s="272" t="str">
        <f t="shared" si="18"/>
        <v/>
      </c>
      <c r="U79" s="212" t="str">
        <f t="shared" si="19"/>
        <v/>
      </c>
    </row>
    <row r="80" spans="2:21" x14ac:dyDescent="0.25">
      <c r="B80" s="241" t="str">
        <f>IF(Contagem!B78=0,"",Contagem!B78)</f>
        <v/>
      </c>
      <c r="C80" s="242" t="str">
        <f>IF(Contagem!T78 &gt; 0,Contagem!T78,"")</f>
        <v/>
      </c>
      <c r="D80" s="207"/>
      <c r="E80" s="211" t="str">
        <f t="shared" si="10"/>
        <v/>
      </c>
      <c r="F80" s="207"/>
      <c r="G80" s="211" t="str">
        <f t="shared" si="11"/>
        <v/>
      </c>
      <c r="H80" s="207"/>
      <c r="I80" s="211" t="str">
        <f t="shared" si="12"/>
        <v/>
      </c>
      <c r="J80" s="207"/>
      <c r="K80" s="211" t="str">
        <f t="shared" si="13"/>
        <v/>
      </c>
      <c r="L80" s="207"/>
      <c r="M80" s="211" t="str">
        <f t="shared" si="14"/>
        <v/>
      </c>
      <c r="N80" s="207"/>
      <c r="O80" s="211" t="str">
        <f t="shared" si="15"/>
        <v/>
      </c>
      <c r="P80" s="207"/>
      <c r="Q80" s="211" t="str">
        <f t="shared" si="16"/>
        <v/>
      </c>
      <c r="R80" s="207"/>
      <c r="S80" s="211" t="str">
        <f t="shared" si="17"/>
        <v/>
      </c>
      <c r="T80" s="272" t="str">
        <f t="shared" si="18"/>
        <v/>
      </c>
      <c r="U80" s="212" t="str">
        <f t="shared" si="19"/>
        <v/>
      </c>
    </row>
    <row r="81" spans="2:21" x14ac:dyDescent="0.25">
      <c r="B81" s="241" t="str">
        <f>IF(Contagem!B79=0,"",Contagem!B79)</f>
        <v/>
      </c>
      <c r="C81" s="242" t="str">
        <f>IF(Contagem!T79 &gt; 0,Contagem!T79,"")</f>
        <v/>
      </c>
      <c r="D81" s="207"/>
      <c r="E81" s="211" t="str">
        <f t="shared" si="10"/>
        <v/>
      </c>
      <c r="F81" s="207"/>
      <c r="G81" s="211" t="str">
        <f t="shared" si="11"/>
        <v/>
      </c>
      <c r="H81" s="207"/>
      <c r="I81" s="211" t="str">
        <f t="shared" si="12"/>
        <v/>
      </c>
      <c r="J81" s="207"/>
      <c r="K81" s="211" t="str">
        <f t="shared" si="13"/>
        <v/>
      </c>
      <c r="L81" s="207"/>
      <c r="M81" s="211" t="str">
        <f t="shared" si="14"/>
        <v/>
      </c>
      <c r="N81" s="207"/>
      <c r="O81" s="211" t="str">
        <f t="shared" si="15"/>
        <v/>
      </c>
      <c r="P81" s="207"/>
      <c r="Q81" s="211" t="str">
        <f t="shared" si="16"/>
        <v/>
      </c>
      <c r="R81" s="207"/>
      <c r="S81" s="211" t="str">
        <f t="shared" si="17"/>
        <v/>
      </c>
      <c r="T81" s="272" t="str">
        <f t="shared" si="18"/>
        <v/>
      </c>
      <c r="U81" s="212" t="str">
        <f t="shared" si="19"/>
        <v/>
      </c>
    </row>
    <row r="82" spans="2:21" x14ac:dyDescent="0.25">
      <c r="B82" s="241" t="str">
        <f>IF(Contagem!B80=0,"",Contagem!B80)</f>
        <v/>
      </c>
      <c r="C82" s="242" t="str">
        <f>IF(Contagem!T80 &gt; 0,Contagem!T80,"")</f>
        <v/>
      </c>
      <c r="D82" s="207"/>
      <c r="E82" s="211" t="str">
        <f t="shared" si="10"/>
        <v/>
      </c>
      <c r="F82" s="207"/>
      <c r="G82" s="211" t="str">
        <f t="shared" si="11"/>
        <v/>
      </c>
      <c r="H82" s="207"/>
      <c r="I82" s="211" t="str">
        <f t="shared" si="12"/>
        <v/>
      </c>
      <c r="J82" s="207"/>
      <c r="K82" s="211" t="str">
        <f t="shared" si="13"/>
        <v/>
      </c>
      <c r="L82" s="207"/>
      <c r="M82" s="211" t="str">
        <f t="shared" si="14"/>
        <v/>
      </c>
      <c r="N82" s="207"/>
      <c r="O82" s="211" t="str">
        <f t="shared" si="15"/>
        <v/>
      </c>
      <c r="P82" s="207"/>
      <c r="Q82" s="211" t="str">
        <f t="shared" si="16"/>
        <v/>
      </c>
      <c r="R82" s="207"/>
      <c r="S82" s="211" t="str">
        <f t="shared" si="17"/>
        <v/>
      </c>
      <c r="T82" s="272" t="str">
        <f t="shared" si="18"/>
        <v/>
      </c>
      <c r="U82" s="212" t="str">
        <f t="shared" si="19"/>
        <v/>
      </c>
    </row>
    <row r="83" spans="2:21" x14ac:dyDescent="0.25">
      <c r="B83" s="241" t="str">
        <f>IF(Contagem!B81=0,"",Contagem!B81)</f>
        <v/>
      </c>
      <c r="C83" s="242" t="str">
        <f>IF(Contagem!T81 &gt; 0,Contagem!T81,"")</f>
        <v/>
      </c>
      <c r="D83" s="207"/>
      <c r="E83" s="211" t="str">
        <f t="shared" si="10"/>
        <v/>
      </c>
      <c r="F83" s="207"/>
      <c r="G83" s="211" t="str">
        <f t="shared" si="11"/>
        <v/>
      </c>
      <c r="H83" s="207"/>
      <c r="I83" s="211" t="str">
        <f t="shared" si="12"/>
        <v/>
      </c>
      <c r="J83" s="207"/>
      <c r="K83" s="211" t="str">
        <f t="shared" si="13"/>
        <v/>
      </c>
      <c r="L83" s="207"/>
      <c r="M83" s="211" t="str">
        <f t="shared" si="14"/>
        <v/>
      </c>
      <c r="N83" s="207"/>
      <c r="O83" s="211" t="str">
        <f t="shared" si="15"/>
        <v/>
      </c>
      <c r="P83" s="207"/>
      <c r="Q83" s="211" t="str">
        <f t="shared" si="16"/>
        <v/>
      </c>
      <c r="R83" s="207"/>
      <c r="S83" s="211" t="str">
        <f t="shared" si="17"/>
        <v/>
      </c>
      <c r="T83" s="272" t="str">
        <f t="shared" si="18"/>
        <v/>
      </c>
      <c r="U83" s="212" t="str">
        <f t="shared" si="19"/>
        <v/>
      </c>
    </row>
    <row r="84" spans="2:21" x14ac:dyDescent="0.25">
      <c r="B84" s="241" t="str">
        <f>IF(Contagem!B82=0,"",Contagem!B82)</f>
        <v/>
      </c>
      <c r="C84" s="242" t="str">
        <f>IF(Contagem!T82 &gt; 0,Contagem!T82,"")</f>
        <v/>
      </c>
      <c r="D84" s="207"/>
      <c r="E84" s="211" t="str">
        <f t="shared" si="10"/>
        <v/>
      </c>
      <c r="F84" s="207"/>
      <c r="G84" s="211" t="str">
        <f t="shared" si="11"/>
        <v/>
      </c>
      <c r="H84" s="207"/>
      <c r="I84" s="211" t="str">
        <f t="shared" si="12"/>
        <v/>
      </c>
      <c r="J84" s="207"/>
      <c r="K84" s="211" t="str">
        <f t="shared" si="13"/>
        <v/>
      </c>
      <c r="L84" s="207"/>
      <c r="M84" s="211" t="str">
        <f t="shared" si="14"/>
        <v/>
      </c>
      <c r="N84" s="207"/>
      <c r="O84" s="211" t="str">
        <f t="shared" si="15"/>
        <v/>
      </c>
      <c r="P84" s="207"/>
      <c r="Q84" s="211" t="str">
        <f t="shared" si="16"/>
        <v/>
      </c>
      <c r="R84" s="207"/>
      <c r="S84" s="211" t="str">
        <f t="shared" si="17"/>
        <v/>
      </c>
      <c r="T84" s="272" t="str">
        <f t="shared" si="18"/>
        <v/>
      </c>
      <c r="U84" s="212" t="str">
        <f t="shared" si="19"/>
        <v/>
      </c>
    </row>
    <row r="85" spans="2:21" x14ac:dyDescent="0.25">
      <c r="B85" s="241" t="str">
        <f>IF(Contagem!B83=0,"",Contagem!B83)</f>
        <v/>
      </c>
      <c r="C85" s="242" t="str">
        <f>IF(Contagem!T83 &gt; 0,Contagem!T83,"")</f>
        <v/>
      </c>
      <c r="D85" s="207"/>
      <c r="E85" s="211" t="str">
        <f t="shared" si="10"/>
        <v/>
      </c>
      <c r="F85" s="207"/>
      <c r="G85" s="211" t="str">
        <f t="shared" si="11"/>
        <v/>
      </c>
      <c r="H85" s="207"/>
      <c r="I85" s="211" t="str">
        <f t="shared" si="12"/>
        <v/>
      </c>
      <c r="J85" s="207"/>
      <c r="K85" s="211" t="str">
        <f t="shared" si="13"/>
        <v/>
      </c>
      <c r="L85" s="207"/>
      <c r="M85" s="211" t="str">
        <f t="shared" si="14"/>
        <v/>
      </c>
      <c r="N85" s="207"/>
      <c r="O85" s="211" t="str">
        <f t="shared" si="15"/>
        <v/>
      </c>
      <c r="P85" s="207"/>
      <c r="Q85" s="211" t="str">
        <f t="shared" si="16"/>
        <v/>
      </c>
      <c r="R85" s="207"/>
      <c r="S85" s="211" t="str">
        <f t="shared" si="17"/>
        <v/>
      </c>
      <c r="T85" s="272" t="str">
        <f t="shared" si="18"/>
        <v/>
      </c>
      <c r="U85" s="212" t="str">
        <f t="shared" si="19"/>
        <v/>
      </c>
    </row>
    <row r="86" spans="2:21" x14ac:dyDescent="0.25">
      <c r="B86" s="241" t="str">
        <f>IF(Contagem!B84=0,"",Contagem!B84)</f>
        <v/>
      </c>
      <c r="C86" s="242" t="str">
        <f>IF(Contagem!T84 &gt; 0,Contagem!T84,"")</f>
        <v/>
      </c>
      <c r="D86" s="207"/>
      <c r="E86" s="211" t="str">
        <f t="shared" si="10"/>
        <v/>
      </c>
      <c r="F86" s="207"/>
      <c r="G86" s="211" t="str">
        <f t="shared" si="11"/>
        <v/>
      </c>
      <c r="H86" s="207"/>
      <c r="I86" s="211" t="str">
        <f t="shared" si="12"/>
        <v/>
      </c>
      <c r="J86" s="207"/>
      <c r="K86" s="211" t="str">
        <f t="shared" si="13"/>
        <v/>
      </c>
      <c r="L86" s="207"/>
      <c r="M86" s="211" t="str">
        <f t="shared" si="14"/>
        <v/>
      </c>
      <c r="N86" s="207"/>
      <c r="O86" s="211" t="str">
        <f t="shared" si="15"/>
        <v/>
      </c>
      <c r="P86" s="207"/>
      <c r="Q86" s="211" t="str">
        <f t="shared" si="16"/>
        <v/>
      </c>
      <c r="R86" s="207"/>
      <c r="S86" s="211" t="str">
        <f t="shared" si="17"/>
        <v/>
      </c>
      <c r="T86" s="272" t="str">
        <f t="shared" si="18"/>
        <v/>
      </c>
      <c r="U86" s="212" t="str">
        <f t="shared" si="19"/>
        <v/>
      </c>
    </row>
    <row r="87" spans="2:21" x14ac:dyDescent="0.25">
      <c r="B87" s="241" t="str">
        <f>IF(Contagem!B85=0,"",Contagem!B85)</f>
        <v/>
      </c>
      <c r="C87" s="242" t="str">
        <f>IF(Contagem!T85 &gt; 0,Contagem!T85,"")</f>
        <v/>
      </c>
      <c r="D87" s="207"/>
      <c r="E87" s="211" t="str">
        <f t="shared" si="10"/>
        <v/>
      </c>
      <c r="F87" s="207"/>
      <c r="G87" s="211" t="str">
        <f t="shared" si="11"/>
        <v/>
      </c>
      <c r="H87" s="207"/>
      <c r="I87" s="211" t="str">
        <f t="shared" si="12"/>
        <v/>
      </c>
      <c r="J87" s="207"/>
      <c r="K87" s="211" t="str">
        <f t="shared" si="13"/>
        <v/>
      </c>
      <c r="L87" s="207"/>
      <c r="M87" s="211" t="str">
        <f t="shared" si="14"/>
        <v/>
      </c>
      <c r="N87" s="207"/>
      <c r="O87" s="211" t="str">
        <f t="shared" si="15"/>
        <v/>
      </c>
      <c r="P87" s="207"/>
      <c r="Q87" s="211" t="str">
        <f t="shared" si="16"/>
        <v/>
      </c>
      <c r="R87" s="207"/>
      <c r="S87" s="211" t="str">
        <f t="shared" si="17"/>
        <v/>
      </c>
      <c r="T87" s="272" t="str">
        <f t="shared" si="18"/>
        <v/>
      </c>
      <c r="U87" s="212" t="str">
        <f t="shared" si="19"/>
        <v/>
      </c>
    </row>
    <row r="88" spans="2:21" x14ac:dyDescent="0.25">
      <c r="B88" s="241" t="str">
        <f>IF(Contagem!B86=0,"",Contagem!B86)</f>
        <v/>
      </c>
      <c r="C88" s="242" t="str">
        <f>IF(Contagem!T86 &gt; 0,Contagem!T86,"")</f>
        <v/>
      </c>
      <c r="D88" s="207"/>
      <c r="E88" s="211" t="str">
        <f t="shared" si="10"/>
        <v/>
      </c>
      <c r="F88" s="207"/>
      <c r="G88" s="211" t="str">
        <f t="shared" si="11"/>
        <v/>
      </c>
      <c r="H88" s="207"/>
      <c r="I88" s="211" t="str">
        <f t="shared" si="12"/>
        <v/>
      </c>
      <c r="J88" s="207"/>
      <c r="K88" s="211" t="str">
        <f t="shared" si="13"/>
        <v/>
      </c>
      <c r="L88" s="207"/>
      <c r="M88" s="211" t="str">
        <f t="shared" si="14"/>
        <v/>
      </c>
      <c r="N88" s="207"/>
      <c r="O88" s="211" t="str">
        <f t="shared" si="15"/>
        <v/>
      </c>
      <c r="P88" s="207"/>
      <c r="Q88" s="211" t="str">
        <f t="shared" si="16"/>
        <v/>
      </c>
      <c r="R88" s="207"/>
      <c r="S88" s="211" t="str">
        <f t="shared" si="17"/>
        <v/>
      </c>
      <c r="T88" s="272" t="str">
        <f t="shared" si="18"/>
        <v/>
      </c>
      <c r="U88" s="212" t="str">
        <f t="shared" si="19"/>
        <v/>
      </c>
    </row>
    <row r="89" spans="2:21" x14ac:dyDescent="0.25">
      <c r="B89" s="241" t="str">
        <f>IF(Contagem!B87=0,"",Contagem!B87)</f>
        <v/>
      </c>
      <c r="C89" s="242" t="str">
        <f>IF(Contagem!T87 &gt; 0,Contagem!T87,"")</f>
        <v/>
      </c>
      <c r="D89" s="207"/>
      <c r="E89" s="211" t="str">
        <f t="shared" si="10"/>
        <v/>
      </c>
      <c r="F89" s="207"/>
      <c r="G89" s="211" t="str">
        <f t="shared" si="11"/>
        <v/>
      </c>
      <c r="H89" s="207"/>
      <c r="I89" s="211" t="str">
        <f t="shared" si="12"/>
        <v/>
      </c>
      <c r="J89" s="207"/>
      <c r="K89" s="211" t="str">
        <f t="shared" si="13"/>
        <v/>
      </c>
      <c r="L89" s="207"/>
      <c r="M89" s="211" t="str">
        <f t="shared" si="14"/>
        <v/>
      </c>
      <c r="N89" s="207"/>
      <c r="O89" s="211" t="str">
        <f t="shared" si="15"/>
        <v/>
      </c>
      <c r="P89" s="207"/>
      <c r="Q89" s="211" t="str">
        <f t="shared" si="16"/>
        <v/>
      </c>
      <c r="R89" s="207"/>
      <c r="S89" s="211" t="str">
        <f t="shared" si="17"/>
        <v/>
      </c>
      <c r="T89" s="272" t="str">
        <f t="shared" si="18"/>
        <v/>
      </c>
      <c r="U89" s="212" t="str">
        <f t="shared" si="19"/>
        <v/>
      </c>
    </row>
    <row r="90" spans="2:21" x14ac:dyDescent="0.25">
      <c r="B90" s="241" t="str">
        <f>IF(Contagem!B88=0,"",Contagem!B88)</f>
        <v/>
      </c>
      <c r="C90" s="242" t="str">
        <f>IF(Contagem!T88 &gt; 0,Contagem!T88,"")</f>
        <v/>
      </c>
      <c r="D90" s="207"/>
      <c r="E90" s="211" t="str">
        <f t="shared" si="10"/>
        <v/>
      </c>
      <c r="F90" s="207"/>
      <c r="G90" s="211" t="str">
        <f t="shared" si="11"/>
        <v/>
      </c>
      <c r="H90" s="207"/>
      <c r="I90" s="211" t="str">
        <f t="shared" si="12"/>
        <v/>
      </c>
      <c r="J90" s="207"/>
      <c r="K90" s="211" t="str">
        <f t="shared" si="13"/>
        <v/>
      </c>
      <c r="L90" s="207"/>
      <c r="M90" s="211" t="str">
        <f t="shared" si="14"/>
        <v/>
      </c>
      <c r="N90" s="207"/>
      <c r="O90" s="211" t="str">
        <f t="shared" si="15"/>
        <v/>
      </c>
      <c r="P90" s="207"/>
      <c r="Q90" s="211" t="str">
        <f t="shared" si="16"/>
        <v/>
      </c>
      <c r="R90" s="207"/>
      <c r="S90" s="211" t="str">
        <f t="shared" si="17"/>
        <v/>
      </c>
      <c r="T90" s="272" t="str">
        <f t="shared" si="18"/>
        <v/>
      </c>
      <c r="U90" s="212" t="str">
        <f t="shared" si="19"/>
        <v/>
      </c>
    </row>
    <row r="91" spans="2:21" x14ac:dyDescent="0.25">
      <c r="B91" s="241" t="str">
        <f>IF(Contagem!B89=0,"",Contagem!B89)</f>
        <v/>
      </c>
      <c r="C91" s="242" t="str">
        <f>IF(Contagem!T89 &gt; 0,Contagem!T89,"")</f>
        <v/>
      </c>
      <c r="D91" s="207"/>
      <c r="E91" s="211" t="str">
        <f t="shared" si="10"/>
        <v/>
      </c>
      <c r="F91" s="207"/>
      <c r="G91" s="211" t="str">
        <f t="shared" si="11"/>
        <v/>
      </c>
      <c r="H91" s="207"/>
      <c r="I91" s="211" t="str">
        <f t="shared" si="12"/>
        <v/>
      </c>
      <c r="J91" s="207"/>
      <c r="K91" s="211" t="str">
        <f t="shared" si="13"/>
        <v/>
      </c>
      <c r="L91" s="207"/>
      <c r="M91" s="211" t="str">
        <f t="shared" si="14"/>
        <v/>
      </c>
      <c r="N91" s="207"/>
      <c r="O91" s="211" t="str">
        <f t="shared" si="15"/>
        <v/>
      </c>
      <c r="P91" s="207"/>
      <c r="Q91" s="211" t="str">
        <f t="shared" si="16"/>
        <v/>
      </c>
      <c r="R91" s="207"/>
      <c r="S91" s="211" t="str">
        <f t="shared" si="17"/>
        <v/>
      </c>
      <c r="T91" s="272" t="str">
        <f t="shared" si="18"/>
        <v/>
      </c>
      <c r="U91" s="212" t="str">
        <f t="shared" si="19"/>
        <v/>
      </c>
    </row>
    <row r="92" spans="2:21" x14ac:dyDescent="0.25">
      <c r="B92" s="241" t="str">
        <f>IF(Contagem!B90=0,"",Contagem!B90)</f>
        <v/>
      </c>
      <c r="C92" s="242" t="str">
        <f>IF(Contagem!T90 &gt; 0,Contagem!T90,"")</f>
        <v/>
      </c>
      <c r="D92" s="207"/>
      <c r="E92" s="211" t="str">
        <f t="shared" si="10"/>
        <v/>
      </c>
      <c r="F92" s="207"/>
      <c r="G92" s="211" t="str">
        <f t="shared" si="11"/>
        <v/>
      </c>
      <c r="H92" s="207"/>
      <c r="I92" s="211" t="str">
        <f t="shared" si="12"/>
        <v/>
      </c>
      <c r="J92" s="207"/>
      <c r="K92" s="211" t="str">
        <f t="shared" si="13"/>
        <v/>
      </c>
      <c r="L92" s="207"/>
      <c r="M92" s="211" t="str">
        <f t="shared" si="14"/>
        <v/>
      </c>
      <c r="N92" s="207"/>
      <c r="O92" s="211" t="str">
        <f t="shared" si="15"/>
        <v/>
      </c>
      <c r="P92" s="207"/>
      <c r="Q92" s="211" t="str">
        <f t="shared" si="16"/>
        <v/>
      </c>
      <c r="R92" s="207"/>
      <c r="S92" s="211" t="str">
        <f t="shared" si="17"/>
        <v/>
      </c>
      <c r="T92" s="272" t="str">
        <f t="shared" si="18"/>
        <v/>
      </c>
      <c r="U92" s="212" t="str">
        <f t="shared" si="19"/>
        <v/>
      </c>
    </row>
    <row r="93" spans="2:21" x14ac:dyDescent="0.25">
      <c r="B93" s="241" t="str">
        <f>IF(Contagem!B91=0,"",Contagem!B91)</f>
        <v/>
      </c>
      <c r="C93" s="242" t="str">
        <f>IF(Contagem!T91 &gt; 0,Contagem!T91,"")</f>
        <v/>
      </c>
      <c r="D93" s="207"/>
      <c r="E93" s="211" t="str">
        <f t="shared" si="10"/>
        <v/>
      </c>
      <c r="F93" s="207"/>
      <c r="G93" s="211" t="str">
        <f t="shared" si="11"/>
        <v/>
      </c>
      <c r="H93" s="207"/>
      <c r="I93" s="211" t="str">
        <f t="shared" si="12"/>
        <v/>
      </c>
      <c r="J93" s="207"/>
      <c r="K93" s="211" t="str">
        <f t="shared" si="13"/>
        <v/>
      </c>
      <c r="L93" s="207"/>
      <c r="M93" s="211" t="str">
        <f t="shared" si="14"/>
        <v/>
      </c>
      <c r="N93" s="207"/>
      <c r="O93" s="211" t="str">
        <f t="shared" si="15"/>
        <v/>
      </c>
      <c r="P93" s="207"/>
      <c r="Q93" s="211" t="str">
        <f t="shared" si="16"/>
        <v/>
      </c>
      <c r="R93" s="207"/>
      <c r="S93" s="211" t="str">
        <f t="shared" si="17"/>
        <v/>
      </c>
      <c r="T93" s="272" t="str">
        <f t="shared" si="18"/>
        <v/>
      </c>
      <c r="U93" s="212" t="str">
        <f t="shared" si="19"/>
        <v/>
      </c>
    </row>
    <row r="94" spans="2:21" x14ac:dyDescent="0.25">
      <c r="B94" s="241" t="str">
        <f>IF(Contagem!B92=0,"",Contagem!B92)</f>
        <v/>
      </c>
      <c r="C94" s="242" t="str">
        <f>IF(Contagem!T92 &gt; 0,Contagem!T92,"")</f>
        <v/>
      </c>
      <c r="D94" s="207"/>
      <c r="E94" s="211" t="str">
        <f t="shared" si="10"/>
        <v/>
      </c>
      <c r="F94" s="207"/>
      <c r="G94" s="211" t="str">
        <f t="shared" si="11"/>
        <v/>
      </c>
      <c r="H94" s="207"/>
      <c r="I94" s="211" t="str">
        <f t="shared" si="12"/>
        <v/>
      </c>
      <c r="J94" s="207"/>
      <c r="K94" s="211" t="str">
        <f t="shared" si="13"/>
        <v/>
      </c>
      <c r="L94" s="207"/>
      <c r="M94" s="211" t="str">
        <f t="shared" si="14"/>
        <v/>
      </c>
      <c r="N94" s="207"/>
      <c r="O94" s="211" t="str">
        <f t="shared" si="15"/>
        <v/>
      </c>
      <c r="P94" s="207"/>
      <c r="Q94" s="211" t="str">
        <f t="shared" si="16"/>
        <v/>
      </c>
      <c r="R94" s="207"/>
      <c r="S94" s="211" t="str">
        <f t="shared" si="17"/>
        <v/>
      </c>
      <c r="T94" s="272" t="str">
        <f t="shared" si="18"/>
        <v/>
      </c>
      <c r="U94" s="212" t="str">
        <f t="shared" si="19"/>
        <v/>
      </c>
    </row>
    <row r="95" spans="2:21" x14ac:dyDescent="0.25">
      <c r="B95" s="241" t="str">
        <f>IF(Contagem!B93=0,"",Contagem!B93)</f>
        <v/>
      </c>
      <c r="C95" s="242" t="str">
        <f>IF(Contagem!T93 &gt; 0,Contagem!T93,"")</f>
        <v/>
      </c>
      <c r="D95" s="207"/>
      <c r="E95" s="211" t="str">
        <f t="shared" si="10"/>
        <v/>
      </c>
      <c r="F95" s="207"/>
      <c r="G95" s="211" t="str">
        <f t="shared" si="11"/>
        <v/>
      </c>
      <c r="H95" s="207"/>
      <c r="I95" s="211" t="str">
        <f t="shared" si="12"/>
        <v/>
      </c>
      <c r="J95" s="207"/>
      <c r="K95" s="211" t="str">
        <f t="shared" si="13"/>
        <v/>
      </c>
      <c r="L95" s="207"/>
      <c r="M95" s="211" t="str">
        <f t="shared" si="14"/>
        <v/>
      </c>
      <c r="N95" s="207"/>
      <c r="O95" s="211" t="str">
        <f t="shared" si="15"/>
        <v/>
      </c>
      <c r="P95" s="207"/>
      <c r="Q95" s="211" t="str">
        <f t="shared" si="16"/>
        <v/>
      </c>
      <c r="R95" s="207"/>
      <c r="S95" s="211" t="str">
        <f t="shared" si="17"/>
        <v/>
      </c>
      <c r="T95" s="272" t="str">
        <f t="shared" si="18"/>
        <v/>
      </c>
      <c r="U95" s="212" t="str">
        <f t="shared" si="19"/>
        <v/>
      </c>
    </row>
    <row r="96" spans="2:21" x14ac:dyDescent="0.25">
      <c r="B96" s="241" t="str">
        <f>IF(Contagem!B94=0,"",Contagem!B94)</f>
        <v/>
      </c>
      <c r="C96" s="242" t="str">
        <f>IF(Contagem!T94 &gt; 0,Contagem!T94,"")</f>
        <v/>
      </c>
      <c r="D96" s="207"/>
      <c r="E96" s="211" t="str">
        <f t="shared" si="10"/>
        <v/>
      </c>
      <c r="F96" s="207"/>
      <c r="G96" s="211" t="str">
        <f t="shared" si="11"/>
        <v/>
      </c>
      <c r="H96" s="207"/>
      <c r="I96" s="211" t="str">
        <f t="shared" si="12"/>
        <v/>
      </c>
      <c r="J96" s="207"/>
      <c r="K96" s="211" t="str">
        <f t="shared" si="13"/>
        <v/>
      </c>
      <c r="L96" s="207"/>
      <c r="M96" s="211" t="str">
        <f t="shared" si="14"/>
        <v/>
      </c>
      <c r="N96" s="207"/>
      <c r="O96" s="211" t="str">
        <f t="shared" si="15"/>
        <v/>
      </c>
      <c r="P96" s="207"/>
      <c r="Q96" s="211" t="str">
        <f t="shared" si="16"/>
        <v/>
      </c>
      <c r="R96" s="207"/>
      <c r="S96" s="211" t="str">
        <f t="shared" si="17"/>
        <v/>
      </c>
      <c r="T96" s="272" t="str">
        <f t="shared" si="18"/>
        <v/>
      </c>
      <c r="U96" s="212" t="str">
        <f t="shared" si="19"/>
        <v/>
      </c>
    </row>
    <row r="97" spans="2:21" x14ac:dyDescent="0.25">
      <c r="B97" s="241" t="str">
        <f>IF(Contagem!B95=0,"",Contagem!B95)</f>
        <v/>
      </c>
      <c r="C97" s="242" t="str">
        <f>IF(Contagem!T95 &gt; 0,Contagem!T95,"")</f>
        <v/>
      </c>
      <c r="D97" s="207"/>
      <c r="E97" s="211" t="str">
        <f t="shared" si="10"/>
        <v/>
      </c>
      <c r="F97" s="207"/>
      <c r="G97" s="211" t="str">
        <f t="shared" si="11"/>
        <v/>
      </c>
      <c r="H97" s="207"/>
      <c r="I97" s="211" t="str">
        <f t="shared" si="12"/>
        <v/>
      </c>
      <c r="J97" s="207"/>
      <c r="K97" s="211" t="str">
        <f t="shared" si="13"/>
        <v/>
      </c>
      <c r="L97" s="207"/>
      <c r="M97" s="211" t="str">
        <f t="shared" si="14"/>
        <v/>
      </c>
      <c r="N97" s="207"/>
      <c r="O97" s="211" t="str">
        <f t="shared" si="15"/>
        <v/>
      </c>
      <c r="P97" s="207"/>
      <c r="Q97" s="211" t="str">
        <f t="shared" si="16"/>
        <v/>
      </c>
      <c r="R97" s="207"/>
      <c r="S97" s="211" t="str">
        <f t="shared" si="17"/>
        <v/>
      </c>
      <c r="T97" s="272" t="str">
        <f t="shared" si="18"/>
        <v/>
      </c>
      <c r="U97" s="212" t="str">
        <f t="shared" si="19"/>
        <v/>
      </c>
    </row>
    <row r="98" spans="2:21" x14ac:dyDescent="0.25">
      <c r="B98" s="241" t="str">
        <f>IF(Contagem!B96=0,"",Contagem!B96)</f>
        <v/>
      </c>
      <c r="C98" s="242" t="str">
        <f>IF(Contagem!T96 &gt; 0,Contagem!T96,"")</f>
        <v/>
      </c>
      <c r="D98" s="207"/>
      <c r="E98" s="211" t="str">
        <f t="shared" si="10"/>
        <v/>
      </c>
      <c r="F98" s="207"/>
      <c r="G98" s="211" t="str">
        <f t="shared" si="11"/>
        <v/>
      </c>
      <c r="H98" s="207"/>
      <c r="I98" s="211" t="str">
        <f t="shared" si="12"/>
        <v/>
      </c>
      <c r="J98" s="207"/>
      <c r="K98" s="211" t="str">
        <f t="shared" si="13"/>
        <v/>
      </c>
      <c r="L98" s="207"/>
      <c r="M98" s="211" t="str">
        <f t="shared" si="14"/>
        <v/>
      </c>
      <c r="N98" s="207"/>
      <c r="O98" s="211" t="str">
        <f t="shared" si="15"/>
        <v/>
      </c>
      <c r="P98" s="207"/>
      <c r="Q98" s="211" t="str">
        <f t="shared" si="16"/>
        <v/>
      </c>
      <c r="R98" s="207"/>
      <c r="S98" s="211" t="str">
        <f t="shared" si="17"/>
        <v/>
      </c>
      <c r="T98" s="272" t="str">
        <f t="shared" si="18"/>
        <v/>
      </c>
      <c r="U98" s="212" t="str">
        <f t="shared" si="19"/>
        <v/>
      </c>
    </row>
    <row r="99" spans="2:21" x14ac:dyDescent="0.25">
      <c r="B99" s="241" t="str">
        <f>IF(Contagem!B97=0,"",Contagem!B97)</f>
        <v/>
      </c>
      <c r="C99" s="242" t="str">
        <f>IF(Contagem!T97 &gt; 0,Contagem!T97,"")</f>
        <v/>
      </c>
      <c r="D99" s="207"/>
      <c r="E99" s="211" t="str">
        <f t="shared" si="10"/>
        <v/>
      </c>
      <c r="F99" s="207"/>
      <c r="G99" s="211" t="str">
        <f t="shared" si="11"/>
        <v/>
      </c>
      <c r="H99" s="207"/>
      <c r="I99" s="211" t="str">
        <f t="shared" si="12"/>
        <v/>
      </c>
      <c r="J99" s="207"/>
      <c r="K99" s="211" t="str">
        <f t="shared" si="13"/>
        <v/>
      </c>
      <c r="L99" s="207"/>
      <c r="M99" s="211" t="str">
        <f t="shared" si="14"/>
        <v/>
      </c>
      <c r="N99" s="207"/>
      <c r="O99" s="211" t="str">
        <f t="shared" si="15"/>
        <v/>
      </c>
      <c r="P99" s="207"/>
      <c r="Q99" s="211" t="str">
        <f t="shared" si="16"/>
        <v/>
      </c>
      <c r="R99" s="207"/>
      <c r="S99" s="211" t="str">
        <f t="shared" si="17"/>
        <v/>
      </c>
      <c r="T99" s="272" t="str">
        <f t="shared" si="18"/>
        <v/>
      </c>
      <c r="U99" s="212" t="str">
        <f t="shared" si="19"/>
        <v/>
      </c>
    </row>
    <row r="100" spans="2:21" x14ac:dyDescent="0.25">
      <c r="B100" s="241" t="str">
        <f>IF(Contagem!B98=0,"",Contagem!B98)</f>
        <v/>
      </c>
      <c r="C100" s="242" t="str">
        <f>IF(Contagem!T98 &gt; 0,Contagem!T98,"")</f>
        <v/>
      </c>
      <c r="D100" s="207"/>
      <c r="E100" s="211" t="str">
        <f t="shared" si="10"/>
        <v/>
      </c>
      <c r="F100" s="207"/>
      <c r="G100" s="211" t="str">
        <f t="shared" si="11"/>
        <v/>
      </c>
      <c r="H100" s="207"/>
      <c r="I100" s="211" t="str">
        <f t="shared" si="12"/>
        <v/>
      </c>
      <c r="J100" s="207"/>
      <c r="K100" s="211" t="str">
        <f t="shared" si="13"/>
        <v/>
      </c>
      <c r="L100" s="207"/>
      <c r="M100" s="211" t="str">
        <f t="shared" si="14"/>
        <v/>
      </c>
      <c r="N100" s="207"/>
      <c r="O100" s="211" t="str">
        <f t="shared" si="15"/>
        <v/>
      </c>
      <c r="P100" s="207"/>
      <c r="Q100" s="211" t="str">
        <f t="shared" si="16"/>
        <v/>
      </c>
      <c r="R100" s="207"/>
      <c r="S100" s="211" t="str">
        <f t="shared" si="17"/>
        <v/>
      </c>
      <c r="T100" s="272" t="str">
        <f t="shared" si="18"/>
        <v/>
      </c>
      <c r="U100" s="212" t="str">
        <f t="shared" si="19"/>
        <v/>
      </c>
    </row>
    <row r="101" spans="2:21" x14ac:dyDescent="0.25">
      <c r="B101" s="241" t="str">
        <f>IF(Contagem!B99=0,"",Contagem!B99)</f>
        <v/>
      </c>
      <c r="C101" s="242" t="str">
        <f>IF(Contagem!T99 &gt; 0,Contagem!T99,"")</f>
        <v/>
      </c>
      <c r="D101" s="207"/>
      <c r="E101" s="211" t="str">
        <f t="shared" si="10"/>
        <v/>
      </c>
      <c r="F101" s="207"/>
      <c r="G101" s="211" t="str">
        <f t="shared" si="11"/>
        <v/>
      </c>
      <c r="H101" s="207"/>
      <c r="I101" s="211" t="str">
        <f t="shared" si="12"/>
        <v/>
      </c>
      <c r="J101" s="207"/>
      <c r="K101" s="211" t="str">
        <f t="shared" si="13"/>
        <v/>
      </c>
      <c r="L101" s="207"/>
      <c r="M101" s="211" t="str">
        <f t="shared" si="14"/>
        <v/>
      </c>
      <c r="N101" s="207"/>
      <c r="O101" s="211" t="str">
        <f t="shared" si="15"/>
        <v/>
      </c>
      <c r="P101" s="207"/>
      <c r="Q101" s="211" t="str">
        <f t="shared" si="16"/>
        <v/>
      </c>
      <c r="R101" s="207"/>
      <c r="S101" s="211" t="str">
        <f t="shared" si="17"/>
        <v/>
      </c>
      <c r="T101" s="272" t="str">
        <f t="shared" si="18"/>
        <v/>
      </c>
      <c r="U101" s="212" t="str">
        <f t="shared" si="19"/>
        <v/>
      </c>
    </row>
    <row r="102" spans="2:21" x14ac:dyDescent="0.25">
      <c r="B102" s="241" t="str">
        <f>IF(Contagem!B100=0,"",Contagem!B100)</f>
        <v/>
      </c>
      <c r="C102" s="242" t="str">
        <f>IF(Contagem!T100 &gt; 0,Contagem!T100,"")</f>
        <v/>
      </c>
      <c r="D102" s="207"/>
      <c r="E102" s="211" t="str">
        <f t="shared" si="10"/>
        <v/>
      </c>
      <c r="F102" s="207"/>
      <c r="G102" s="211" t="str">
        <f t="shared" si="11"/>
        <v/>
      </c>
      <c r="H102" s="207"/>
      <c r="I102" s="211" t="str">
        <f t="shared" si="12"/>
        <v/>
      </c>
      <c r="J102" s="207"/>
      <c r="K102" s="211" t="str">
        <f t="shared" si="13"/>
        <v/>
      </c>
      <c r="L102" s="207"/>
      <c r="M102" s="211" t="str">
        <f t="shared" si="14"/>
        <v/>
      </c>
      <c r="N102" s="207"/>
      <c r="O102" s="211" t="str">
        <f t="shared" si="15"/>
        <v/>
      </c>
      <c r="P102" s="207"/>
      <c r="Q102" s="211" t="str">
        <f t="shared" si="16"/>
        <v/>
      </c>
      <c r="R102" s="207"/>
      <c r="S102" s="211" t="str">
        <f t="shared" si="17"/>
        <v/>
      </c>
      <c r="T102" s="272" t="str">
        <f t="shared" si="18"/>
        <v/>
      </c>
      <c r="U102" s="212" t="str">
        <f t="shared" si="19"/>
        <v/>
      </c>
    </row>
    <row r="103" spans="2:21" x14ac:dyDescent="0.25">
      <c r="B103" s="241" t="str">
        <f>IF(Contagem!B101=0,"",Contagem!B101)</f>
        <v/>
      </c>
      <c r="C103" s="242" t="str">
        <f>IF(Contagem!T101 &gt; 0,Contagem!T101,"")</f>
        <v/>
      </c>
      <c r="D103" s="207"/>
      <c r="E103" s="211" t="str">
        <f t="shared" si="10"/>
        <v/>
      </c>
      <c r="F103" s="207"/>
      <c r="G103" s="211" t="str">
        <f t="shared" si="11"/>
        <v/>
      </c>
      <c r="H103" s="207"/>
      <c r="I103" s="211" t="str">
        <f t="shared" si="12"/>
        <v/>
      </c>
      <c r="J103" s="207"/>
      <c r="K103" s="211" t="str">
        <f t="shared" si="13"/>
        <v/>
      </c>
      <c r="L103" s="207"/>
      <c r="M103" s="211" t="str">
        <f t="shared" si="14"/>
        <v/>
      </c>
      <c r="N103" s="207"/>
      <c r="O103" s="211" t="str">
        <f t="shared" si="15"/>
        <v/>
      </c>
      <c r="P103" s="207"/>
      <c r="Q103" s="211" t="str">
        <f t="shared" si="16"/>
        <v/>
      </c>
      <c r="R103" s="207"/>
      <c r="S103" s="211" t="str">
        <f t="shared" si="17"/>
        <v/>
      </c>
      <c r="T103" s="272" t="str">
        <f t="shared" si="18"/>
        <v/>
      </c>
      <c r="U103" s="212" t="str">
        <f t="shared" si="19"/>
        <v/>
      </c>
    </row>
    <row r="104" spans="2:21" x14ac:dyDescent="0.25">
      <c r="B104" s="241" t="str">
        <f>IF(Contagem!B102=0,"",Contagem!B102)</f>
        <v/>
      </c>
      <c r="C104" s="242" t="str">
        <f>IF(Contagem!T102 &gt; 0,Contagem!T102,"")</f>
        <v/>
      </c>
      <c r="D104" s="207"/>
      <c r="E104" s="211" t="str">
        <f t="shared" si="10"/>
        <v/>
      </c>
      <c r="F104" s="207"/>
      <c r="G104" s="211" t="str">
        <f t="shared" si="11"/>
        <v/>
      </c>
      <c r="H104" s="207"/>
      <c r="I104" s="211" t="str">
        <f t="shared" si="12"/>
        <v/>
      </c>
      <c r="J104" s="207"/>
      <c r="K104" s="211" t="str">
        <f t="shared" si="13"/>
        <v/>
      </c>
      <c r="L104" s="207"/>
      <c r="M104" s="211" t="str">
        <f t="shared" si="14"/>
        <v/>
      </c>
      <c r="N104" s="207"/>
      <c r="O104" s="211" t="str">
        <f t="shared" si="15"/>
        <v/>
      </c>
      <c r="P104" s="207"/>
      <c r="Q104" s="211" t="str">
        <f t="shared" si="16"/>
        <v/>
      </c>
      <c r="R104" s="207"/>
      <c r="S104" s="211" t="str">
        <f t="shared" si="17"/>
        <v/>
      </c>
      <c r="T104" s="272" t="str">
        <f t="shared" si="18"/>
        <v/>
      </c>
      <c r="U104" s="212" t="str">
        <f t="shared" si="19"/>
        <v/>
      </c>
    </row>
    <row r="105" spans="2:21" x14ac:dyDescent="0.25">
      <c r="B105" s="241" t="str">
        <f>IF(Contagem!B103=0,"",Contagem!B103)</f>
        <v/>
      </c>
      <c r="C105" s="242" t="str">
        <f>IF(Contagem!T103 &gt; 0,Contagem!T103,"")</f>
        <v/>
      </c>
      <c r="D105" s="207"/>
      <c r="E105" s="211" t="str">
        <f t="shared" si="10"/>
        <v/>
      </c>
      <c r="F105" s="207"/>
      <c r="G105" s="211" t="str">
        <f t="shared" si="11"/>
        <v/>
      </c>
      <c r="H105" s="207"/>
      <c r="I105" s="211" t="str">
        <f t="shared" si="12"/>
        <v/>
      </c>
      <c r="J105" s="207"/>
      <c r="K105" s="211" t="str">
        <f t="shared" si="13"/>
        <v/>
      </c>
      <c r="L105" s="207"/>
      <c r="M105" s="211" t="str">
        <f t="shared" si="14"/>
        <v/>
      </c>
      <c r="N105" s="207"/>
      <c r="O105" s="211" t="str">
        <f t="shared" si="15"/>
        <v/>
      </c>
      <c r="P105" s="207"/>
      <c r="Q105" s="211" t="str">
        <f t="shared" si="16"/>
        <v/>
      </c>
      <c r="R105" s="207"/>
      <c r="S105" s="211" t="str">
        <f t="shared" si="17"/>
        <v/>
      </c>
      <c r="T105" s="272" t="str">
        <f t="shared" si="18"/>
        <v/>
      </c>
      <c r="U105" s="212" t="str">
        <f t="shared" si="19"/>
        <v/>
      </c>
    </row>
    <row r="106" spans="2:21" x14ac:dyDescent="0.25">
      <c r="B106" s="241" t="str">
        <f>IF(Contagem!B104=0,"",Contagem!B104)</f>
        <v/>
      </c>
      <c r="C106" s="242" t="str">
        <f>IF(Contagem!T104 &gt; 0,Contagem!T104,"")</f>
        <v/>
      </c>
      <c r="D106" s="207"/>
      <c r="E106" s="211" t="str">
        <f t="shared" si="10"/>
        <v/>
      </c>
      <c r="F106" s="207"/>
      <c r="G106" s="211" t="str">
        <f t="shared" si="11"/>
        <v/>
      </c>
      <c r="H106" s="207"/>
      <c r="I106" s="211" t="str">
        <f t="shared" si="12"/>
        <v/>
      </c>
      <c r="J106" s="207"/>
      <c r="K106" s="211" t="str">
        <f t="shared" si="13"/>
        <v/>
      </c>
      <c r="L106" s="207"/>
      <c r="M106" s="211" t="str">
        <f t="shared" si="14"/>
        <v/>
      </c>
      <c r="N106" s="207"/>
      <c r="O106" s="211" t="str">
        <f t="shared" si="15"/>
        <v/>
      </c>
      <c r="P106" s="207"/>
      <c r="Q106" s="211" t="str">
        <f t="shared" si="16"/>
        <v/>
      </c>
      <c r="R106" s="207"/>
      <c r="S106" s="211" t="str">
        <f t="shared" si="17"/>
        <v/>
      </c>
      <c r="T106" s="272" t="str">
        <f t="shared" si="18"/>
        <v/>
      </c>
      <c r="U106" s="212" t="str">
        <f t="shared" si="19"/>
        <v/>
      </c>
    </row>
    <row r="107" spans="2:21" x14ac:dyDescent="0.25">
      <c r="B107" s="241" t="str">
        <f>IF(Contagem!B105=0,"",Contagem!B105)</f>
        <v/>
      </c>
      <c r="C107" s="242" t="str">
        <f>IF(Contagem!T105 &gt; 0,Contagem!T105,"")</f>
        <v/>
      </c>
      <c r="D107" s="207"/>
      <c r="E107" s="211" t="str">
        <f t="shared" si="10"/>
        <v/>
      </c>
      <c r="F107" s="207"/>
      <c r="G107" s="211" t="str">
        <f t="shared" si="11"/>
        <v/>
      </c>
      <c r="H107" s="207"/>
      <c r="I107" s="211" t="str">
        <f t="shared" si="12"/>
        <v/>
      </c>
      <c r="J107" s="207"/>
      <c r="K107" s="211" t="str">
        <f t="shared" si="13"/>
        <v/>
      </c>
      <c r="L107" s="207"/>
      <c r="M107" s="211" t="str">
        <f t="shared" si="14"/>
        <v/>
      </c>
      <c r="N107" s="207"/>
      <c r="O107" s="211" t="str">
        <f t="shared" si="15"/>
        <v/>
      </c>
      <c r="P107" s="207"/>
      <c r="Q107" s="211" t="str">
        <f t="shared" si="16"/>
        <v/>
      </c>
      <c r="R107" s="207"/>
      <c r="S107" s="211" t="str">
        <f t="shared" si="17"/>
        <v/>
      </c>
      <c r="T107" s="272" t="str">
        <f t="shared" si="18"/>
        <v/>
      </c>
      <c r="U107" s="212" t="str">
        <f t="shared" si="19"/>
        <v/>
      </c>
    </row>
    <row r="108" spans="2:21" x14ac:dyDescent="0.25">
      <c r="B108" s="241" t="str">
        <f>IF(Contagem!B106=0,"",Contagem!B106)</f>
        <v/>
      </c>
      <c r="C108" s="242" t="str">
        <f>IF(Contagem!T106 &gt; 0,Contagem!T106,"")</f>
        <v/>
      </c>
      <c r="D108" s="207"/>
      <c r="E108" s="211" t="str">
        <f t="shared" si="10"/>
        <v/>
      </c>
      <c r="F108" s="207"/>
      <c r="G108" s="211" t="str">
        <f t="shared" si="11"/>
        <v/>
      </c>
      <c r="H108" s="207"/>
      <c r="I108" s="211" t="str">
        <f t="shared" si="12"/>
        <v/>
      </c>
      <c r="J108" s="207"/>
      <c r="K108" s="211" t="str">
        <f t="shared" si="13"/>
        <v/>
      </c>
      <c r="L108" s="207"/>
      <c r="M108" s="211" t="str">
        <f t="shared" si="14"/>
        <v/>
      </c>
      <c r="N108" s="207"/>
      <c r="O108" s="211" t="str">
        <f t="shared" si="15"/>
        <v/>
      </c>
      <c r="P108" s="207"/>
      <c r="Q108" s="211" t="str">
        <f t="shared" si="16"/>
        <v/>
      </c>
      <c r="R108" s="207"/>
      <c r="S108" s="211" t="str">
        <f t="shared" si="17"/>
        <v/>
      </c>
      <c r="T108" s="272" t="str">
        <f t="shared" si="18"/>
        <v/>
      </c>
      <c r="U108" s="212" t="str">
        <f t="shared" si="19"/>
        <v/>
      </c>
    </row>
    <row r="109" spans="2:21" x14ac:dyDescent="0.25">
      <c r="B109" s="241" t="str">
        <f>IF(Contagem!B107=0,"",Contagem!B107)</f>
        <v/>
      </c>
      <c r="C109" s="242" t="str">
        <f>IF(Contagem!T107 &gt; 0,Contagem!T107,"")</f>
        <v/>
      </c>
      <c r="D109" s="207"/>
      <c r="E109" s="211" t="str">
        <f t="shared" si="10"/>
        <v/>
      </c>
      <c r="F109" s="207"/>
      <c r="G109" s="211" t="str">
        <f t="shared" si="11"/>
        <v/>
      </c>
      <c r="H109" s="207"/>
      <c r="I109" s="211" t="str">
        <f t="shared" si="12"/>
        <v/>
      </c>
      <c r="J109" s="207"/>
      <c r="K109" s="211" t="str">
        <f t="shared" si="13"/>
        <v/>
      </c>
      <c r="L109" s="207"/>
      <c r="M109" s="211" t="str">
        <f t="shared" si="14"/>
        <v/>
      </c>
      <c r="N109" s="207"/>
      <c r="O109" s="211" t="str">
        <f t="shared" si="15"/>
        <v/>
      </c>
      <c r="P109" s="207"/>
      <c r="Q109" s="211" t="str">
        <f t="shared" si="16"/>
        <v/>
      </c>
      <c r="R109" s="207"/>
      <c r="S109" s="211" t="str">
        <f t="shared" si="17"/>
        <v/>
      </c>
      <c r="T109" s="272" t="str">
        <f t="shared" si="18"/>
        <v/>
      </c>
      <c r="U109" s="212" t="str">
        <f t="shared" si="19"/>
        <v/>
      </c>
    </row>
    <row r="110" spans="2:21" x14ac:dyDescent="0.25">
      <c r="B110" s="241" t="str">
        <f>IF(Contagem!B108=0,"",Contagem!B108)</f>
        <v/>
      </c>
      <c r="C110" s="242" t="str">
        <f>IF(Contagem!T108 &gt; 0,Contagem!T108,"")</f>
        <v/>
      </c>
      <c r="D110" s="207"/>
      <c r="E110" s="211" t="str">
        <f t="shared" si="10"/>
        <v/>
      </c>
      <c r="F110" s="207"/>
      <c r="G110" s="211" t="str">
        <f t="shared" si="11"/>
        <v/>
      </c>
      <c r="H110" s="207"/>
      <c r="I110" s="211" t="str">
        <f t="shared" si="12"/>
        <v/>
      </c>
      <c r="J110" s="207"/>
      <c r="K110" s="211" t="str">
        <f t="shared" si="13"/>
        <v/>
      </c>
      <c r="L110" s="207"/>
      <c r="M110" s="211" t="str">
        <f t="shared" si="14"/>
        <v/>
      </c>
      <c r="N110" s="207"/>
      <c r="O110" s="211" t="str">
        <f t="shared" si="15"/>
        <v/>
      </c>
      <c r="P110" s="207"/>
      <c r="Q110" s="211" t="str">
        <f t="shared" si="16"/>
        <v/>
      </c>
      <c r="R110" s="207"/>
      <c r="S110" s="211" t="str">
        <f t="shared" si="17"/>
        <v/>
      </c>
      <c r="T110" s="272" t="str">
        <f t="shared" si="18"/>
        <v/>
      </c>
      <c r="U110" s="212" t="str">
        <f t="shared" si="19"/>
        <v/>
      </c>
    </row>
    <row r="111" spans="2:21" x14ac:dyDescent="0.25">
      <c r="B111" s="241" t="str">
        <f>IF(Contagem!B109=0,"",Contagem!B109)</f>
        <v/>
      </c>
      <c r="C111" s="242" t="str">
        <f>IF(Contagem!T109 &gt; 0,Contagem!T109,"")</f>
        <v/>
      </c>
      <c r="D111" s="207"/>
      <c r="E111" s="211" t="str">
        <f t="shared" si="10"/>
        <v/>
      </c>
      <c r="F111" s="207"/>
      <c r="G111" s="211" t="str">
        <f t="shared" si="11"/>
        <v/>
      </c>
      <c r="H111" s="207"/>
      <c r="I111" s="211" t="str">
        <f t="shared" si="12"/>
        <v/>
      </c>
      <c r="J111" s="207"/>
      <c r="K111" s="211" t="str">
        <f t="shared" si="13"/>
        <v/>
      </c>
      <c r="L111" s="207"/>
      <c r="M111" s="211" t="str">
        <f t="shared" si="14"/>
        <v/>
      </c>
      <c r="N111" s="207"/>
      <c r="O111" s="211" t="str">
        <f t="shared" si="15"/>
        <v/>
      </c>
      <c r="P111" s="207"/>
      <c r="Q111" s="211" t="str">
        <f t="shared" si="16"/>
        <v/>
      </c>
      <c r="R111" s="207"/>
      <c r="S111" s="211" t="str">
        <f t="shared" si="17"/>
        <v/>
      </c>
      <c r="T111" s="272" t="str">
        <f t="shared" si="18"/>
        <v/>
      </c>
      <c r="U111" s="212" t="str">
        <f t="shared" si="19"/>
        <v/>
      </c>
    </row>
    <row r="112" spans="2:21" x14ac:dyDescent="0.25">
      <c r="B112" s="241" t="str">
        <f>IF(Contagem!B110=0,"",Contagem!B110)</f>
        <v/>
      </c>
      <c r="C112" s="242" t="str">
        <f>IF(Contagem!T110 &gt; 0,Contagem!T110,"")</f>
        <v/>
      </c>
      <c r="D112" s="207"/>
      <c r="E112" s="211" t="str">
        <f t="shared" si="10"/>
        <v/>
      </c>
      <c r="F112" s="207"/>
      <c r="G112" s="211" t="str">
        <f t="shared" si="11"/>
        <v/>
      </c>
      <c r="H112" s="207"/>
      <c r="I112" s="211" t="str">
        <f t="shared" si="12"/>
        <v/>
      </c>
      <c r="J112" s="207"/>
      <c r="K112" s="211" t="str">
        <f t="shared" si="13"/>
        <v/>
      </c>
      <c r="L112" s="207"/>
      <c r="M112" s="211" t="str">
        <f t="shared" si="14"/>
        <v/>
      </c>
      <c r="N112" s="207"/>
      <c r="O112" s="211" t="str">
        <f t="shared" si="15"/>
        <v/>
      </c>
      <c r="P112" s="207"/>
      <c r="Q112" s="211" t="str">
        <f t="shared" si="16"/>
        <v/>
      </c>
      <c r="R112" s="207"/>
      <c r="S112" s="211" t="str">
        <f t="shared" si="17"/>
        <v/>
      </c>
      <c r="T112" s="272" t="str">
        <f t="shared" si="18"/>
        <v/>
      </c>
      <c r="U112" s="212" t="str">
        <f t="shared" si="19"/>
        <v/>
      </c>
    </row>
    <row r="113" spans="2:21" x14ac:dyDescent="0.25">
      <c r="B113" s="241" t="str">
        <f>IF(Contagem!B111=0,"",Contagem!B111)</f>
        <v/>
      </c>
      <c r="C113" s="242" t="str">
        <f>IF(Contagem!T111 &gt; 0,Contagem!T111,"")</f>
        <v/>
      </c>
      <c r="D113" s="207"/>
      <c r="E113" s="211" t="str">
        <f t="shared" si="10"/>
        <v/>
      </c>
      <c r="F113" s="207"/>
      <c r="G113" s="211" t="str">
        <f t="shared" si="11"/>
        <v/>
      </c>
      <c r="H113" s="207"/>
      <c r="I113" s="211" t="str">
        <f t="shared" si="12"/>
        <v/>
      </c>
      <c r="J113" s="207"/>
      <c r="K113" s="211" t="str">
        <f t="shared" si="13"/>
        <v/>
      </c>
      <c r="L113" s="207"/>
      <c r="M113" s="211" t="str">
        <f t="shared" si="14"/>
        <v/>
      </c>
      <c r="N113" s="207"/>
      <c r="O113" s="211" t="str">
        <f t="shared" si="15"/>
        <v/>
      </c>
      <c r="P113" s="207"/>
      <c r="Q113" s="211" t="str">
        <f t="shared" si="16"/>
        <v/>
      </c>
      <c r="R113" s="207"/>
      <c r="S113" s="211" t="str">
        <f t="shared" si="17"/>
        <v/>
      </c>
      <c r="T113" s="272" t="str">
        <f t="shared" si="18"/>
        <v/>
      </c>
      <c r="U113" s="212" t="str">
        <f t="shared" si="19"/>
        <v/>
      </c>
    </row>
    <row r="114" spans="2:21" x14ac:dyDescent="0.25">
      <c r="B114" s="241" t="str">
        <f>IF(Contagem!B112=0,"",Contagem!B112)</f>
        <v/>
      </c>
      <c r="C114" s="242" t="str">
        <f>IF(Contagem!T112 &gt; 0,Contagem!T112,"")</f>
        <v/>
      </c>
      <c r="D114" s="207"/>
      <c r="E114" s="211" t="str">
        <f t="shared" si="10"/>
        <v/>
      </c>
      <c r="F114" s="207"/>
      <c r="G114" s="211" t="str">
        <f t="shared" si="11"/>
        <v/>
      </c>
      <c r="H114" s="207"/>
      <c r="I114" s="211" t="str">
        <f t="shared" si="12"/>
        <v/>
      </c>
      <c r="J114" s="207"/>
      <c r="K114" s="211" t="str">
        <f t="shared" si="13"/>
        <v/>
      </c>
      <c r="L114" s="207"/>
      <c r="M114" s="211" t="str">
        <f t="shared" si="14"/>
        <v/>
      </c>
      <c r="N114" s="207"/>
      <c r="O114" s="211" t="str">
        <f t="shared" si="15"/>
        <v/>
      </c>
      <c r="P114" s="207"/>
      <c r="Q114" s="211" t="str">
        <f t="shared" si="16"/>
        <v/>
      </c>
      <c r="R114" s="207"/>
      <c r="S114" s="211" t="str">
        <f t="shared" si="17"/>
        <v/>
      </c>
      <c r="T114" s="272" t="str">
        <f t="shared" si="18"/>
        <v/>
      </c>
      <c r="U114" s="212" t="str">
        <f t="shared" si="19"/>
        <v/>
      </c>
    </row>
    <row r="115" spans="2:21" x14ac:dyDescent="0.25">
      <c r="B115" s="241" t="str">
        <f>IF(Contagem!B113=0,"",Contagem!B113)</f>
        <v/>
      </c>
      <c r="C115" s="242" t="str">
        <f>IF(Contagem!T113 &gt; 0,Contagem!T113,"")</f>
        <v/>
      </c>
      <c r="D115" s="207"/>
      <c r="E115" s="211" t="str">
        <f t="shared" si="10"/>
        <v/>
      </c>
      <c r="F115" s="207"/>
      <c r="G115" s="211" t="str">
        <f t="shared" si="11"/>
        <v/>
      </c>
      <c r="H115" s="207"/>
      <c r="I115" s="211" t="str">
        <f t="shared" si="12"/>
        <v/>
      </c>
      <c r="J115" s="207"/>
      <c r="K115" s="211" t="str">
        <f t="shared" si="13"/>
        <v/>
      </c>
      <c r="L115" s="207"/>
      <c r="M115" s="211" t="str">
        <f t="shared" si="14"/>
        <v/>
      </c>
      <c r="N115" s="207"/>
      <c r="O115" s="211" t="str">
        <f t="shared" si="15"/>
        <v/>
      </c>
      <c r="P115" s="207"/>
      <c r="Q115" s="211" t="str">
        <f t="shared" si="16"/>
        <v/>
      </c>
      <c r="R115" s="207"/>
      <c r="S115" s="211" t="str">
        <f t="shared" si="17"/>
        <v/>
      </c>
      <c r="T115" s="272" t="str">
        <f t="shared" si="18"/>
        <v/>
      </c>
      <c r="U115" s="212" t="str">
        <f t="shared" si="19"/>
        <v/>
      </c>
    </row>
    <row r="116" spans="2:21" x14ac:dyDescent="0.25">
      <c r="B116" s="241" t="str">
        <f>IF(Contagem!B114=0,"",Contagem!B114)</f>
        <v/>
      </c>
      <c r="C116" s="242" t="str">
        <f>IF(Contagem!T114 &gt; 0,Contagem!T114,"")</f>
        <v/>
      </c>
      <c r="D116" s="207"/>
      <c r="E116" s="211" t="str">
        <f t="shared" si="10"/>
        <v/>
      </c>
      <c r="F116" s="207"/>
      <c r="G116" s="211" t="str">
        <f t="shared" si="11"/>
        <v/>
      </c>
      <c r="H116" s="207"/>
      <c r="I116" s="211" t="str">
        <f t="shared" si="12"/>
        <v/>
      </c>
      <c r="J116" s="207"/>
      <c r="K116" s="211" t="str">
        <f t="shared" si="13"/>
        <v/>
      </c>
      <c r="L116" s="207"/>
      <c r="M116" s="211" t="str">
        <f t="shared" si="14"/>
        <v/>
      </c>
      <c r="N116" s="207"/>
      <c r="O116" s="211" t="str">
        <f t="shared" si="15"/>
        <v/>
      </c>
      <c r="P116" s="207"/>
      <c r="Q116" s="211" t="str">
        <f t="shared" si="16"/>
        <v/>
      </c>
      <c r="R116" s="207"/>
      <c r="S116" s="211" t="str">
        <f t="shared" si="17"/>
        <v/>
      </c>
      <c r="T116" s="272" t="str">
        <f t="shared" si="18"/>
        <v/>
      </c>
      <c r="U116" s="212" t="str">
        <f t="shared" si="19"/>
        <v/>
      </c>
    </row>
    <row r="117" spans="2:21" x14ac:dyDescent="0.25">
      <c r="B117" s="241" t="str">
        <f>IF(Contagem!B115=0,"",Contagem!B115)</f>
        <v/>
      </c>
      <c r="C117" s="242" t="str">
        <f>IF(Contagem!T115 &gt; 0,Contagem!T115,"")</f>
        <v/>
      </c>
      <c r="D117" s="207"/>
      <c r="E117" s="211" t="str">
        <f t="shared" si="10"/>
        <v/>
      </c>
      <c r="F117" s="207"/>
      <c r="G117" s="211" t="str">
        <f t="shared" si="11"/>
        <v/>
      </c>
      <c r="H117" s="207"/>
      <c r="I117" s="211" t="str">
        <f t="shared" si="12"/>
        <v/>
      </c>
      <c r="J117" s="207"/>
      <c r="K117" s="211" t="str">
        <f t="shared" si="13"/>
        <v/>
      </c>
      <c r="L117" s="207"/>
      <c r="M117" s="211" t="str">
        <f t="shared" si="14"/>
        <v/>
      </c>
      <c r="N117" s="207"/>
      <c r="O117" s="211" t="str">
        <f t="shared" si="15"/>
        <v/>
      </c>
      <c r="P117" s="207"/>
      <c r="Q117" s="211" t="str">
        <f t="shared" si="16"/>
        <v/>
      </c>
      <c r="R117" s="207"/>
      <c r="S117" s="211" t="str">
        <f t="shared" si="17"/>
        <v/>
      </c>
      <c r="T117" s="272" t="str">
        <f t="shared" si="18"/>
        <v/>
      </c>
      <c r="U117" s="212" t="str">
        <f t="shared" si="19"/>
        <v/>
      </c>
    </row>
    <row r="118" spans="2:21" x14ac:dyDescent="0.25">
      <c r="B118" s="241" t="str">
        <f>IF(Contagem!B116=0,"",Contagem!B116)</f>
        <v/>
      </c>
      <c r="C118" s="242" t="str">
        <f>IF(Contagem!T116 &gt; 0,Contagem!T116,"")</f>
        <v/>
      </c>
      <c r="D118" s="207"/>
      <c r="E118" s="211" t="str">
        <f t="shared" si="10"/>
        <v/>
      </c>
      <c r="F118" s="207"/>
      <c r="G118" s="211" t="str">
        <f t="shared" si="11"/>
        <v/>
      </c>
      <c r="H118" s="207"/>
      <c r="I118" s="211" t="str">
        <f t="shared" si="12"/>
        <v/>
      </c>
      <c r="J118" s="207"/>
      <c r="K118" s="211" t="str">
        <f t="shared" si="13"/>
        <v/>
      </c>
      <c r="L118" s="207"/>
      <c r="M118" s="211" t="str">
        <f t="shared" si="14"/>
        <v/>
      </c>
      <c r="N118" s="207"/>
      <c r="O118" s="211" t="str">
        <f t="shared" si="15"/>
        <v/>
      </c>
      <c r="P118" s="207"/>
      <c r="Q118" s="211" t="str">
        <f t="shared" si="16"/>
        <v/>
      </c>
      <c r="R118" s="207"/>
      <c r="S118" s="211" t="str">
        <f t="shared" si="17"/>
        <v/>
      </c>
      <c r="T118" s="272" t="str">
        <f t="shared" si="18"/>
        <v/>
      </c>
      <c r="U118" s="212" t="str">
        <f t="shared" si="19"/>
        <v/>
      </c>
    </row>
    <row r="119" spans="2:21" x14ac:dyDescent="0.25">
      <c r="B119" s="241" t="str">
        <f>IF(Contagem!B117=0,"",Contagem!B117)</f>
        <v/>
      </c>
      <c r="C119" s="242" t="str">
        <f>IF(Contagem!T117 &gt; 0,Contagem!T117,"")</f>
        <v/>
      </c>
      <c r="D119" s="207"/>
      <c r="E119" s="211" t="str">
        <f t="shared" si="10"/>
        <v/>
      </c>
      <c r="F119" s="207"/>
      <c r="G119" s="211" t="str">
        <f t="shared" si="11"/>
        <v/>
      </c>
      <c r="H119" s="207"/>
      <c r="I119" s="211" t="str">
        <f t="shared" si="12"/>
        <v/>
      </c>
      <c r="J119" s="207"/>
      <c r="K119" s="211" t="str">
        <f t="shared" si="13"/>
        <v/>
      </c>
      <c r="L119" s="207"/>
      <c r="M119" s="211" t="str">
        <f t="shared" si="14"/>
        <v/>
      </c>
      <c r="N119" s="207"/>
      <c r="O119" s="211" t="str">
        <f t="shared" si="15"/>
        <v/>
      </c>
      <c r="P119" s="207"/>
      <c r="Q119" s="211" t="str">
        <f t="shared" si="16"/>
        <v/>
      </c>
      <c r="R119" s="207"/>
      <c r="S119" s="211" t="str">
        <f t="shared" si="17"/>
        <v/>
      </c>
      <c r="T119" s="272" t="str">
        <f t="shared" si="18"/>
        <v/>
      </c>
      <c r="U119" s="212" t="str">
        <f t="shared" si="19"/>
        <v/>
      </c>
    </row>
    <row r="120" spans="2:21" x14ac:dyDescent="0.25">
      <c r="B120" s="241" t="str">
        <f>IF(Contagem!B118=0,"",Contagem!B118)</f>
        <v/>
      </c>
      <c r="C120" s="242" t="str">
        <f>IF(Contagem!T118 &gt; 0,Contagem!T118,"")</f>
        <v/>
      </c>
      <c r="D120" s="207"/>
      <c r="E120" s="211" t="str">
        <f t="shared" si="10"/>
        <v/>
      </c>
      <c r="F120" s="207"/>
      <c r="G120" s="211" t="str">
        <f t="shared" si="11"/>
        <v/>
      </c>
      <c r="H120" s="207"/>
      <c r="I120" s="211" t="str">
        <f t="shared" si="12"/>
        <v/>
      </c>
      <c r="J120" s="207"/>
      <c r="K120" s="211" t="str">
        <f t="shared" si="13"/>
        <v/>
      </c>
      <c r="L120" s="207"/>
      <c r="M120" s="211" t="str">
        <f t="shared" si="14"/>
        <v/>
      </c>
      <c r="N120" s="207"/>
      <c r="O120" s="211" t="str">
        <f t="shared" si="15"/>
        <v/>
      </c>
      <c r="P120" s="207"/>
      <c r="Q120" s="211" t="str">
        <f t="shared" si="16"/>
        <v/>
      </c>
      <c r="R120" s="207"/>
      <c r="S120" s="211" t="str">
        <f t="shared" si="17"/>
        <v/>
      </c>
      <c r="T120" s="272" t="str">
        <f t="shared" si="18"/>
        <v/>
      </c>
      <c r="U120" s="212" t="str">
        <f t="shared" si="19"/>
        <v/>
      </c>
    </row>
    <row r="121" spans="2:21" x14ac:dyDescent="0.25">
      <c r="B121" s="241" t="str">
        <f>IF(Contagem!B119=0,"",Contagem!B119)</f>
        <v/>
      </c>
      <c r="C121" s="242" t="str">
        <f>IF(Contagem!T119 &gt; 0,Contagem!T119,"")</f>
        <v/>
      </c>
      <c r="D121" s="207"/>
      <c r="E121" s="211" t="str">
        <f t="shared" si="10"/>
        <v/>
      </c>
      <c r="F121" s="207"/>
      <c r="G121" s="211" t="str">
        <f t="shared" si="11"/>
        <v/>
      </c>
      <c r="H121" s="207"/>
      <c r="I121" s="211" t="str">
        <f t="shared" si="12"/>
        <v/>
      </c>
      <c r="J121" s="207"/>
      <c r="K121" s="211" t="str">
        <f t="shared" si="13"/>
        <v/>
      </c>
      <c r="L121" s="207"/>
      <c r="M121" s="211" t="str">
        <f t="shared" si="14"/>
        <v/>
      </c>
      <c r="N121" s="207"/>
      <c r="O121" s="211" t="str">
        <f t="shared" si="15"/>
        <v/>
      </c>
      <c r="P121" s="207"/>
      <c r="Q121" s="211" t="str">
        <f t="shared" si="16"/>
        <v/>
      </c>
      <c r="R121" s="207"/>
      <c r="S121" s="211" t="str">
        <f t="shared" si="17"/>
        <v/>
      </c>
      <c r="T121" s="272" t="str">
        <f t="shared" si="18"/>
        <v/>
      </c>
      <c r="U121" s="212" t="str">
        <f t="shared" si="19"/>
        <v/>
      </c>
    </row>
    <row r="122" spans="2:21" x14ac:dyDescent="0.25">
      <c r="B122" s="241" t="str">
        <f>IF(Contagem!B120=0,"",Contagem!B120)</f>
        <v/>
      </c>
      <c r="C122" s="242" t="str">
        <f>IF(Contagem!T120 &gt; 0,Contagem!T120,"")</f>
        <v/>
      </c>
      <c r="D122" s="207"/>
      <c r="E122" s="211" t="str">
        <f t="shared" si="10"/>
        <v/>
      </c>
      <c r="F122" s="207"/>
      <c r="G122" s="211" t="str">
        <f t="shared" si="11"/>
        <v/>
      </c>
      <c r="H122" s="207"/>
      <c r="I122" s="211" t="str">
        <f t="shared" si="12"/>
        <v/>
      </c>
      <c r="J122" s="207"/>
      <c r="K122" s="211" t="str">
        <f t="shared" si="13"/>
        <v/>
      </c>
      <c r="L122" s="207"/>
      <c r="M122" s="211" t="str">
        <f t="shared" si="14"/>
        <v/>
      </c>
      <c r="N122" s="207"/>
      <c r="O122" s="211" t="str">
        <f t="shared" si="15"/>
        <v/>
      </c>
      <c r="P122" s="207"/>
      <c r="Q122" s="211" t="str">
        <f t="shared" si="16"/>
        <v/>
      </c>
      <c r="R122" s="207"/>
      <c r="S122" s="211" t="str">
        <f t="shared" si="17"/>
        <v/>
      </c>
      <c r="T122" s="272" t="str">
        <f t="shared" si="18"/>
        <v/>
      </c>
      <c r="U122" s="212" t="str">
        <f t="shared" si="19"/>
        <v/>
      </c>
    </row>
    <row r="123" spans="2:21" x14ac:dyDescent="0.25">
      <c r="B123" s="241" t="str">
        <f>IF(Contagem!B121=0,"",Contagem!B121)</f>
        <v/>
      </c>
      <c r="C123" s="242" t="str">
        <f>IF(Contagem!T121 &gt; 0,Contagem!T121,"")</f>
        <v/>
      </c>
      <c r="D123" s="207"/>
      <c r="E123" s="211" t="str">
        <f t="shared" si="10"/>
        <v/>
      </c>
      <c r="F123" s="207"/>
      <c r="G123" s="211" t="str">
        <f t="shared" si="11"/>
        <v/>
      </c>
      <c r="H123" s="207"/>
      <c r="I123" s="211" t="str">
        <f t="shared" si="12"/>
        <v/>
      </c>
      <c r="J123" s="207"/>
      <c r="K123" s="211" t="str">
        <f t="shared" si="13"/>
        <v/>
      </c>
      <c r="L123" s="207"/>
      <c r="M123" s="211" t="str">
        <f t="shared" si="14"/>
        <v/>
      </c>
      <c r="N123" s="207"/>
      <c r="O123" s="211" t="str">
        <f t="shared" si="15"/>
        <v/>
      </c>
      <c r="P123" s="207"/>
      <c r="Q123" s="211" t="str">
        <f t="shared" si="16"/>
        <v/>
      </c>
      <c r="R123" s="207"/>
      <c r="S123" s="211" t="str">
        <f t="shared" si="17"/>
        <v/>
      </c>
      <c r="T123" s="272" t="str">
        <f t="shared" si="18"/>
        <v/>
      </c>
      <c r="U123" s="212" t="str">
        <f t="shared" si="19"/>
        <v/>
      </c>
    </row>
    <row r="124" spans="2:21" x14ac:dyDescent="0.25">
      <c r="B124" s="241" t="str">
        <f>IF(Contagem!B122=0,"",Contagem!B122)</f>
        <v/>
      </c>
      <c r="C124" s="242" t="str">
        <f>IF(Contagem!T122 &gt; 0,Contagem!T122,"")</f>
        <v/>
      </c>
      <c r="D124" s="207"/>
      <c r="E124" s="211" t="str">
        <f t="shared" si="10"/>
        <v/>
      </c>
      <c r="F124" s="207"/>
      <c r="G124" s="211" t="str">
        <f t="shared" si="11"/>
        <v/>
      </c>
      <c r="H124" s="207"/>
      <c r="I124" s="211" t="str">
        <f t="shared" si="12"/>
        <v/>
      </c>
      <c r="J124" s="207"/>
      <c r="K124" s="211" t="str">
        <f t="shared" si="13"/>
        <v/>
      </c>
      <c r="L124" s="207"/>
      <c r="M124" s="211" t="str">
        <f t="shared" si="14"/>
        <v/>
      </c>
      <c r="N124" s="207"/>
      <c r="O124" s="211" t="str">
        <f t="shared" si="15"/>
        <v/>
      </c>
      <c r="P124" s="207"/>
      <c r="Q124" s="211" t="str">
        <f t="shared" si="16"/>
        <v/>
      </c>
      <c r="R124" s="207"/>
      <c r="S124" s="211" t="str">
        <f t="shared" si="17"/>
        <v/>
      </c>
      <c r="T124" s="272" t="str">
        <f t="shared" si="18"/>
        <v/>
      </c>
      <c r="U124" s="212" t="str">
        <f t="shared" si="19"/>
        <v/>
      </c>
    </row>
    <row r="125" spans="2:21" x14ac:dyDescent="0.25">
      <c r="B125" s="241" t="str">
        <f>IF(Contagem!B123=0,"",Contagem!B123)</f>
        <v/>
      </c>
      <c r="C125" s="242" t="str">
        <f>IF(Contagem!T123 &gt; 0,Contagem!T123,"")</f>
        <v/>
      </c>
      <c r="D125" s="207"/>
      <c r="E125" s="211" t="str">
        <f t="shared" si="10"/>
        <v/>
      </c>
      <c r="F125" s="207"/>
      <c r="G125" s="211" t="str">
        <f t="shared" si="11"/>
        <v/>
      </c>
      <c r="H125" s="207"/>
      <c r="I125" s="211" t="str">
        <f t="shared" si="12"/>
        <v/>
      </c>
      <c r="J125" s="207"/>
      <c r="K125" s="211" t="str">
        <f t="shared" si="13"/>
        <v/>
      </c>
      <c r="L125" s="207"/>
      <c r="M125" s="211" t="str">
        <f t="shared" si="14"/>
        <v/>
      </c>
      <c r="N125" s="207"/>
      <c r="O125" s="211" t="str">
        <f t="shared" si="15"/>
        <v/>
      </c>
      <c r="P125" s="207"/>
      <c r="Q125" s="211" t="str">
        <f t="shared" si="16"/>
        <v/>
      </c>
      <c r="R125" s="207"/>
      <c r="S125" s="211" t="str">
        <f t="shared" si="17"/>
        <v/>
      </c>
      <c r="T125" s="272" t="str">
        <f t="shared" si="18"/>
        <v/>
      </c>
      <c r="U125" s="212" t="str">
        <f t="shared" si="19"/>
        <v/>
      </c>
    </row>
    <row r="126" spans="2:21" x14ac:dyDescent="0.25">
      <c r="B126" s="241" t="str">
        <f>IF(Contagem!B124=0,"",Contagem!B124)</f>
        <v/>
      </c>
      <c r="C126" s="242" t="str">
        <f>IF(Contagem!T124 &gt; 0,Contagem!T124,"")</f>
        <v/>
      </c>
      <c r="D126" s="207"/>
      <c r="E126" s="211" t="str">
        <f t="shared" si="10"/>
        <v/>
      </c>
      <c r="F126" s="207"/>
      <c r="G126" s="211" t="str">
        <f t="shared" si="11"/>
        <v/>
      </c>
      <c r="H126" s="207"/>
      <c r="I126" s="211" t="str">
        <f t="shared" si="12"/>
        <v/>
      </c>
      <c r="J126" s="207"/>
      <c r="K126" s="211" t="str">
        <f t="shared" si="13"/>
        <v/>
      </c>
      <c r="L126" s="207"/>
      <c r="M126" s="211" t="str">
        <f t="shared" si="14"/>
        <v/>
      </c>
      <c r="N126" s="207"/>
      <c r="O126" s="211" t="str">
        <f t="shared" si="15"/>
        <v/>
      </c>
      <c r="P126" s="207"/>
      <c r="Q126" s="211" t="str">
        <f t="shared" si="16"/>
        <v/>
      </c>
      <c r="R126" s="207"/>
      <c r="S126" s="211" t="str">
        <f t="shared" si="17"/>
        <v/>
      </c>
      <c r="T126" s="272" t="str">
        <f t="shared" si="18"/>
        <v/>
      </c>
      <c r="U126" s="212" t="str">
        <f t="shared" si="19"/>
        <v/>
      </c>
    </row>
    <row r="127" spans="2:21" x14ac:dyDescent="0.25">
      <c r="B127" s="241" t="str">
        <f>IF(Contagem!B125=0,"",Contagem!B125)</f>
        <v/>
      </c>
      <c r="C127" s="242" t="str">
        <f>IF(Contagem!T125 &gt; 0,Contagem!T125,"")</f>
        <v/>
      </c>
      <c r="D127" s="207"/>
      <c r="E127" s="211" t="str">
        <f t="shared" si="10"/>
        <v/>
      </c>
      <c r="F127" s="207"/>
      <c r="G127" s="211" t="str">
        <f t="shared" si="11"/>
        <v/>
      </c>
      <c r="H127" s="207"/>
      <c r="I127" s="211" t="str">
        <f t="shared" si="12"/>
        <v/>
      </c>
      <c r="J127" s="207"/>
      <c r="K127" s="211" t="str">
        <f t="shared" si="13"/>
        <v/>
      </c>
      <c r="L127" s="207"/>
      <c r="M127" s="211" t="str">
        <f t="shared" si="14"/>
        <v/>
      </c>
      <c r="N127" s="207"/>
      <c r="O127" s="211" t="str">
        <f t="shared" si="15"/>
        <v/>
      </c>
      <c r="P127" s="207"/>
      <c r="Q127" s="211" t="str">
        <f t="shared" si="16"/>
        <v/>
      </c>
      <c r="R127" s="207"/>
      <c r="S127" s="211" t="str">
        <f t="shared" si="17"/>
        <v/>
      </c>
      <c r="T127" s="272" t="str">
        <f t="shared" si="18"/>
        <v/>
      </c>
      <c r="U127" s="212" t="str">
        <f t="shared" si="19"/>
        <v/>
      </c>
    </row>
    <row r="128" spans="2:21" x14ac:dyDescent="0.25">
      <c r="B128" s="241" t="str">
        <f>IF(Contagem!B126=0,"",Contagem!B126)</f>
        <v/>
      </c>
      <c r="C128" s="242" t="str">
        <f>IF(Contagem!T126 &gt; 0,Contagem!T126,"")</f>
        <v/>
      </c>
      <c r="D128" s="207"/>
      <c r="E128" s="211" t="str">
        <f t="shared" si="10"/>
        <v/>
      </c>
      <c r="F128" s="207"/>
      <c r="G128" s="211" t="str">
        <f t="shared" si="11"/>
        <v/>
      </c>
      <c r="H128" s="207"/>
      <c r="I128" s="211" t="str">
        <f t="shared" si="12"/>
        <v/>
      </c>
      <c r="J128" s="207"/>
      <c r="K128" s="211" t="str">
        <f t="shared" si="13"/>
        <v/>
      </c>
      <c r="L128" s="207"/>
      <c r="M128" s="211" t="str">
        <f t="shared" si="14"/>
        <v/>
      </c>
      <c r="N128" s="207"/>
      <c r="O128" s="211" t="str">
        <f t="shared" si="15"/>
        <v/>
      </c>
      <c r="P128" s="207"/>
      <c r="Q128" s="211" t="str">
        <f t="shared" si="16"/>
        <v/>
      </c>
      <c r="R128" s="207"/>
      <c r="S128" s="211" t="str">
        <f t="shared" si="17"/>
        <v/>
      </c>
      <c r="T128" s="272" t="str">
        <f t="shared" si="18"/>
        <v/>
      </c>
      <c r="U128" s="212" t="str">
        <f t="shared" si="19"/>
        <v/>
      </c>
    </row>
    <row r="129" spans="2:21" x14ac:dyDescent="0.25">
      <c r="B129" s="241" t="str">
        <f>IF(Contagem!B127=0,"",Contagem!B127)</f>
        <v/>
      </c>
      <c r="C129" s="242" t="str">
        <f>IF(Contagem!T127 &gt; 0,Contagem!T127,"")</f>
        <v/>
      </c>
      <c r="D129" s="207"/>
      <c r="E129" s="211" t="str">
        <f t="shared" si="10"/>
        <v/>
      </c>
      <c r="F129" s="207"/>
      <c r="G129" s="211" t="str">
        <f t="shared" si="11"/>
        <v/>
      </c>
      <c r="H129" s="207"/>
      <c r="I129" s="211" t="str">
        <f t="shared" si="12"/>
        <v/>
      </c>
      <c r="J129" s="207"/>
      <c r="K129" s="211" t="str">
        <f t="shared" si="13"/>
        <v/>
      </c>
      <c r="L129" s="207"/>
      <c r="M129" s="211" t="str">
        <f t="shared" si="14"/>
        <v/>
      </c>
      <c r="N129" s="207"/>
      <c r="O129" s="211" t="str">
        <f t="shared" si="15"/>
        <v/>
      </c>
      <c r="P129" s="207"/>
      <c r="Q129" s="211" t="str">
        <f t="shared" si="16"/>
        <v/>
      </c>
      <c r="R129" s="207"/>
      <c r="S129" s="211" t="str">
        <f t="shared" si="17"/>
        <v/>
      </c>
      <c r="T129" s="272" t="str">
        <f t="shared" si="18"/>
        <v/>
      </c>
      <c r="U129" s="212" t="str">
        <f t="shared" si="19"/>
        <v/>
      </c>
    </row>
    <row r="130" spans="2:21" x14ac:dyDescent="0.25">
      <c r="B130" s="241" t="str">
        <f>IF(Contagem!B128=0,"",Contagem!B128)</f>
        <v/>
      </c>
      <c r="C130" s="242" t="str">
        <f>IF(Contagem!T128 &gt; 0,Contagem!T128,"")</f>
        <v/>
      </c>
      <c r="D130" s="207"/>
      <c r="E130" s="211" t="str">
        <f t="shared" si="10"/>
        <v/>
      </c>
      <c r="F130" s="207"/>
      <c r="G130" s="211" t="str">
        <f t="shared" si="11"/>
        <v/>
      </c>
      <c r="H130" s="207"/>
      <c r="I130" s="211" t="str">
        <f t="shared" si="12"/>
        <v/>
      </c>
      <c r="J130" s="207"/>
      <c r="K130" s="211" t="str">
        <f t="shared" si="13"/>
        <v/>
      </c>
      <c r="L130" s="207"/>
      <c r="M130" s="211" t="str">
        <f t="shared" si="14"/>
        <v/>
      </c>
      <c r="N130" s="207"/>
      <c r="O130" s="211" t="str">
        <f t="shared" si="15"/>
        <v/>
      </c>
      <c r="P130" s="207"/>
      <c r="Q130" s="211" t="str">
        <f t="shared" si="16"/>
        <v/>
      </c>
      <c r="R130" s="207"/>
      <c r="S130" s="211" t="str">
        <f t="shared" si="17"/>
        <v/>
      </c>
      <c r="T130" s="272" t="str">
        <f t="shared" si="18"/>
        <v/>
      </c>
      <c r="U130" s="212" t="str">
        <f t="shared" si="19"/>
        <v/>
      </c>
    </row>
    <row r="131" spans="2:21" x14ac:dyDescent="0.25">
      <c r="B131" s="241" t="str">
        <f>IF(Contagem!B129=0,"",Contagem!B129)</f>
        <v/>
      </c>
      <c r="C131" s="242" t="str">
        <f>IF(Contagem!T129 &gt; 0,Contagem!T129,"")</f>
        <v/>
      </c>
      <c r="D131" s="207"/>
      <c r="E131" s="211" t="str">
        <f t="shared" si="10"/>
        <v/>
      </c>
      <c r="F131" s="207"/>
      <c r="G131" s="211" t="str">
        <f t="shared" si="11"/>
        <v/>
      </c>
      <c r="H131" s="207"/>
      <c r="I131" s="211" t="str">
        <f t="shared" si="12"/>
        <v/>
      </c>
      <c r="J131" s="207"/>
      <c r="K131" s="211" t="str">
        <f t="shared" si="13"/>
        <v/>
      </c>
      <c r="L131" s="207"/>
      <c r="M131" s="211" t="str">
        <f t="shared" si="14"/>
        <v/>
      </c>
      <c r="N131" s="207"/>
      <c r="O131" s="211" t="str">
        <f t="shared" si="15"/>
        <v/>
      </c>
      <c r="P131" s="207"/>
      <c r="Q131" s="211" t="str">
        <f t="shared" si="16"/>
        <v/>
      </c>
      <c r="R131" s="207"/>
      <c r="S131" s="211" t="str">
        <f t="shared" si="17"/>
        <v/>
      </c>
      <c r="T131" s="272" t="str">
        <f t="shared" si="18"/>
        <v/>
      </c>
      <c r="U131" s="212" t="str">
        <f t="shared" si="19"/>
        <v/>
      </c>
    </row>
    <row r="132" spans="2:21" x14ac:dyDescent="0.25">
      <c r="B132" s="241" t="str">
        <f>IF(Contagem!B130=0,"",Contagem!B130)</f>
        <v/>
      </c>
      <c r="C132" s="242" t="str">
        <f>IF(Contagem!T130 &gt; 0,Contagem!T130,"")</f>
        <v/>
      </c>
      <c r="D132" s="207"/>
      <c r="E132" s="211" t="str">
        <f t="shared" si="10"/>
        <v/>
      </c>
      <c r="F132" s="207"/>
      <c r="G132" s="211" t="str">
        <f t="shared" si="11"/>
        <v/>
      </c>
      <c r="H132" s="207"/>
      <c r="I132" s="211" t="str">
        <f t="shared" si="12"/>
        <v/>
      </c>
      <c r="J132" s="207"/>
      <c r="K132" s="211" t="str">
        <f t="shared" si="13"/>
        <v/>
      </c>
      <c r="L132" s="207"/>
      <c r="M132" s="211" t="str">
        <f t="shared" si="14"/>
        <v/>
      </c>
      <c r="N132" s="207"/>
      <c r="O132" s="211" t="str">
        <f t="shared" si="15"/>
        <v/>
      </c>
      <c r="P132" s="207"/>
      <c r="Q132" s="211" t="str">
        <f t="shared" si="16"/>
        <v/>
      </c>
      <c r="R132" s="207"/>
      <c r="S132" s="211" t="str">
        <f t="shared" si="17"/>
        <v/>
      </c>
      <c r="T132" s="272" t="str">
        <f t="shared" si="18"/>
        <v/>
      </c>
      <c r="U132" s="212" t="str">
        <f t="shared" si="19"/>
        <v/>
      </c>
    </row>
    <row r="133" spans="2:21" x14ac:dyDescent="0.25">
      <c r="B133" s="241" t="str">
        <f>IF(Contagem!B131=0,"",Contagem!B131)</f>
        <v/>
      </c>
      <c r="C133" s="242" t="str">
        <f>IF(Contagem!T131 &gt; 0,Contagem!T131,"")</f>
        <v/>
      </c>
      <c r="D133" s="207"/>
      <c r="E133" s="211" t="str">
        <f t="shared" si="10"/>
        <v/>
      </c>
      <c r="F133" s="207"/>
      <c r="G133" s="211" t="str">
        <f t="shared" si="11"/>
        <v/>
      </c>
      <c r="H133" s="207"/>
      <c r="I133" s="211" t="str">
        <f t="shared" si="12"/>
        <v/>
      </c>
      <c r="J133" s="207"/>
      <c r="K133" s="211" t="str">
        <f t="shared" si="13"/>
        <v/>
      </c>
      <c r="L133" s="207"/>
      <c r="M133" s="211" t="str">
        <f t="shared" si="14"/>
        <v/>
      </c>
      <c r="N133" s="207"/>
      <c r="O133" s="211" t="str">
        <f t="shared" si="15"/>
        <v/>
      </c>
      <c r="P133" s="207"/>
      <c r="Q133" s="211" t="str">
        <f t="shared" si="16"/>
        <v/>
      </c>
      <c r="R133" s="207"/>
      <c r="S133" s="211" t="str">
        <f t="shared" si="17"/>
        <v/>
      </c>
      <c r="T133" s="272" t="str">
        <f t="shared" si="18"/>
        <v/>
      </c>
      <c r="U133" s="212" t="str">
        <f t="shared" si="19"/>
        <v/>
      </c>
    </row>
    <row r="134" spans="2:21" x14ac:dyDescent="0.25">
      <c r="B134" s="241" t="str">
        <f>IF(Contagem!B132=0,"",Contagem!B132)</f>
        <v/>
      </c>
      <c r="C134" s="242" t="str">
        <f>IF(Contagem!T132 &gt; 0,Contagem!T132,"")</f>
        <v/>
      </c>
      <c r="D134" s="207"/>
      <c r="E134" s="211" t="str">
        <f t="shared" si="10"/>
        <v/>
      </c>
      <c r="F134" s="207"/>
      <c r="G134" s="211" t="str">
        <f t="shared" si="11"/>
        <v/>
      </c>
      <c r="H134" s="207"/>
      <c r="I134" s="211" t="str">
        <f t="shared" si="12"/>
        <v/>
      </c>
      <c r="J134" s="207"/>
      <c r="K134" s="211" t="str">
        <f t="shared" si="13"/>
        <v/>
      </c>
      <c r="L134" s="207"/>
      <c r="M134" s="211" t="str">
        <f t="shared" si="14"/>
        <v/>
      </c>
      <c r="N134" s="207"/>
      <c r="O134" s="211" t="str">
        <f t="shared" si="15"/>
        <v/>
      </c>
      <c r="P134" s="207"/>
      <c r="Q134" s="211" t="str">
        <f t="shared" si="16"/>
        <v/>
      </c>
      <c r="R134" s="207"/>
      <c r="S134" s="211" t="str">
        <f t="shared" si="17"/>
        <v/>
      </c>
      <c r="T134" s="272" t="str">
        <f t="shared" si="18"/>
        <v/>
      </c>
      <c r="U134" s="212" t="str">
        <f t="shared" si="19"/>
        <v/>
      </c>
    </row>
    <row r="135" spans="2:21" x14ac:dyDescent="0.25">
      <c r="B135" s="241" t="str">
        <f>IF(Contagem!B133=0,"",Contagem!B133)</f>
        <v/>
      </c>
      <c r="C135" s="242" t="str">
        <f>IF(Contagem!T133 &gt; 0,Contagem!T133,"")</f>
        <v/>
      </c>
      <c r="D135" s="207"/>
      <c r="E135" s="211" t="str">
        <f t="shared" ref="E135:E198" si="20">IFERROR(IF(AND($D$4&lt;&gt; 0,D135="Sim", $C135 &gt; 0),$C135*$D$4,""),0)</f>
        <v/>
      </c>
      <c r="F135" s="207"/>
      <c r="G135" s="211" t="str">
        <f t="shared" ref="G135:G198" si="21">IFERROR(IF(AND($F$4&lt;&gt; 0,F135="Sim", $C135 &gt; 0),$C135*$F$4,""),0)</f>
        <v/>
      </c>
      <c r="H135" s="207"/>
      <c r="I135" s="211" t="str">
        <f t="shared" ref="I135:I198" si="22">IFERROR(IF(AND($H$4&lt;&gt; 0,H135="Sim", $C135 &gt; 0),$C135*$H$4,""),0)</f>
        <v/>
      </c>
      <c r="J135" s="207"/>
      <c r="K135" s="211" t="str">
        <f t="shared" ref="K135:K198" si="23">IFERROR(IF(AND($J$4&lt;&gt; 0,J135="Sim", $C135 &gt; 0),$C135*$J$4,""),0)</f>
        <v/>
      </c>
      <c r="L135" s="207"/>
      <c r="M135" s="211" t="str">
        <f t="shared" ref="M135:M198" si="24">IFERROR(IF(AND($L$4&lt;&gt; 0,L135="Sim", $C135 &gt; 0),$C135*$L$4,""),0)</f>
        <v/>
      </c>
      <c r="N135" s="207"/>
      <c r="O135" s="211" t="str">
        <f t="shared" ref="O135:O198" si="25">IFERROR(IF(AND($N$4&lt;&gt; 0,N135="Sim", $C135 &gt; 0),$C135*$N$4,""),0)</f>
        <v/>
      </c>
      <c r="P135" s="207"/>
      <c r="Q135" s="211" t="str">
        <f t="shared" ref="Q135:Q198" si="26">IFERROR(IF(AND($P$4&lt;&gt; 0,P135="Sim", $C135 &gt; 0),$C135*$P$4,""),0)</f>
        <v/>
      </c>
      <c r="R135" s="207"/>
      <c r="S135" s="211" t="str">
        <f t="shared" ref="S135:S198" si="27">IFERROR(IF(AND($R$4&lt;&gt; 0,R135="Sim", $C135 &gt; 0),$C135*$R$4,""),0)</f>
        <v/>
      </c>
      <c r="T135" s="272" t="str">
        <f t="shared" ref="T135:T198" si="28">IFERROR(U135/C135,"")</f>
        <v/>
      </c>
      <c r="U135" s="212" t="str">
        <f t="shared" ref="U135:U198" si="29">IF(SUM(E135,G135,I135,K135,M135,O135,Q135,S135) &gt; 0,SUM(E135,G135,I135,K135,M135,O135,Q135,S135),"")</f>
        <v/>
      </c>
    </row>
    <row r="136" spans="2:21" x14ac:dyDescent="0.25">
      <c r="B136" s="241" t="str">
        <f>IF(Contagem!B134=0,"",Contagem!B134)</f>
        <v/>
      </c>
      <c r="C136" s="242" t="str">
        <f>IF(Contagem!T134 &gt; 0,Contagem!T134,"")</f>
        <v/>
      </c>
      <c r="D136" s="207"/>
      <c r="E136" s="211" t="str">
        <f t="shared" si="20"/>
        <v/>
      </c>
      <c r="F136" s="207"/>
      <c r="G136" s="211" t="str">
        <f t="shared" si="21"/>
        <v/>
      </c>
      <c r="H136" s="207"/>
      <c r="I136" s="211" t="str">
        <f t="shared" si="22"/>
        <v/>
      </c>
      <c r="J136" s="207"/>
      <c r="K136" s="211" t="str">
        <f t="shared" si="23"/>
        <v/>
      </c>
      <c r="L136" s="207"/>
      <c r="M136" s="211" t="str">
        <f t="shared" si="24"/>
        <v/>
      </c>
      <c r="N136" s="207"/>
      <c r="O136" s="211" t="str">
        <f t="shared" si="25"/>
        <v/>
      </c>
      <c r="P136" s="207"/>
      <c r="Q136" s="211" t="str">
        <f t="shared" si="26"/>
        <v/>
      </c>
      <c r="R136" s="207"/>
      <c r="S136" s="211" t="str">
        <f t="shared" si="27"/>
        <v/>
      </c>
      <c r="T136" s="272" t="str">
        <f t="shared" si="28"/>
        <v/>
      </c>
      <c r="U136" s="212" t="str">
        <f t="shared" si="29"/>
        <v/>
      </c>
    </row>
    <row r="137" spans="2:21" x14ac:dyDescent="0.25">
      <c r="B137" s="241" t="str">
        <f>IF(Contagem!B135=0,"",Contagem!B135)</f>
        <v/>
      </c>
      <c r="C137" s="242" t="str">
        <f>IF(Contagem!T135 &gt; 0,Contagem!T135,"")</f>
        <v/>
      </c>
      <c r="D137" s="207"/>
      <c r="E137" s="211" t="str">
        <f t="shared" si="20"/>
        <v/>
      </c>
      <c r="F137" s="207"/>
      <c r="G137" s="211" t="str">
        <f t="shared" si="21"/>
        <v/>
      </c>
      <c r="H137" s="207"/>
      <c r="I137" s="211" t="str">
        <f t="shared" si="22"/>
        <v/>
      </c>
      <c r="J137" s="207"/>
      <c r="K137" s="211" t="str">
        <f t="shared" si="23"/>
        <v/>
      </c>
      <c r="L137" s="207"/>
      <c r="M137" s="211" t="str">
        <f t="shared" si="24"/>
        <v/>
      </c>
      <c r="N137" s="207"/>
      <c r="O137" s="211" t="str">
        <f t="shared" si="25"/>
        <v/>
      </c>
      <c r="P137" s="207"/>
      <c r="Q137" s="211" t="str">
        <f t="shared" si="26"/>
        <v/>
      </c>
      <c r="R137" s="207"/>
      <c r="S137" s="211" t="str">
        <f t="shared" si="27"/>
        <v/>
      </c>
      <c r="T137" s="272" t="str">
        <f t="shared" si="28"/>
        <v/>
      </c>
      <c r="U137" s="212" t="str">
        <f t="shared" si="29"/>
        <v/>
      </c>
    </row>
    <row r="138" spans="2:21" x14ac:dyDescent="0.25">
      <c r="B138" s="241" t="str">
        <f>IF(Contagem!B136=0,"",Contagem!B136)</f>
        <v/>
      </c>
      <c r="C138" s="242" t="str">
        <f>IF(Contagem!T136 &gt; 0,Contagem!T136,"")</f>
        <v/>
      </c>
      <c r="D138" s="207"/>
      <c r="E138" s="211" t="str">
        <f t="shared" si="20"/>
        <v/>
      </c>
      <c r="F138" s="207"/>
      <c r="G138" s="211" t="str">
        <f t="shared" si="21"/>
        <v/>
      </c>
      <c r="H138" s="207"/>
      <c r="I138" s="211" t="str">
        <f t="shared" si="22"/>
        <v/>
      </c>
      <c r="J138" s="207"/>
      <c r="K138" s="211" t="str">
        <f t="shared" si="23"/>
        <v/>
      </c>
      <c r="L138" s="207"/>
      <c r="M138" s="211" t="str">
        <f t="shared" si="24"/>
        <v/>
      </c>
      <c r="N138" s="207"/>
      <c r="O138" s="211" t="str">
        <f t="shared" si="25"/>
        <v/>
      </c>
      <c r="P138" s="207"/>
      <c r="Q138" s="211" t="str">
        <f t="shared" si="26"/>
        <v/>
      </c>
      <c r="R138" s="207"/>
      <c r="S138" s="211" t="str">
        <f t="shared" si="27"/>
        <v/>
      </c>
      <c r="T138" s="272" t="str">
        <f t="shared" si="28"/>
        <v/>
      </c>
      <c r="U138" s="212" t="str">
        <f t="shared" si="29"/>
        <v/>
      </c>
    </row>
    <row r="139" spans="2:21" x14ac:dyDescent="0.25">
      <c r="B139" s="241" t="str">
        <f>IF(Contagem!B137=0,"",Contagem!B137)</f>
        <v/>
      </c>
      <c r="C139" s="242" t="str">
        <f>IF(Contagem!T137 &gt; 0,Contagem!T137,"")</f>
        <v/>
      </c>
      <c r="D139" s="207"/>
      <c r="E139" s="211" t="str">
        <f t="shared" si="20"/>
        <v/>
      </c>
      <c r="F139" s="207"/>
      <c r="G139" s="211" t="str">
        <f t="shared" si="21"/>
        <v/>
      </c>
      <c r="H139" s="207"/>
      <c r="I139" s="211" t="str">
        <f t="shared" si="22"/>
        <v/>
      </c>
      <c r="J139" s="207"/>
      <c r="K139" s="211" t="str">
        <f t="shared" si="23"/>
        <v/>
      </c>
      <c r="L139" s="207"/>
      <c r="M139" s="211" t="str">
        <f t="shared" si="24"/>
        <v/>
      </c>
      <c r="N139" s="207"/>
      <c r="O139" s="211" t="str">
        <f t="shared" si="25"/>
        <v/>
      </c>
      <c r="P139" s="207"/>
      <c r="Q139" s="211" t="str">
        <f t="shared" si="26"/>
        <v/>
      </c>
      <c r="R139" s="207"/>
      <c r="S139" s="211" t="str">
        <f t="shared" si="27"/>
        <v/>
      </c>
      <c r="T139" s="272" t="str">
        <f t="shared" si="28"/>
        <v/>
      </c>
      <c r="U139" s="212" t="str">
        <f t="shared" si="29"/>
        <v/>
      </c>
    </row>
    <row r="140" spans="2:21" x14ac:dyDescent="0.25">
      <c r="B140" s="241" t="str">
        <f>IF(Contagem!B138=0,"",Contagem!B138)</f>
        <v/>
      </c>
      <c r="C140" s="242" t="str">
        <f>IF(Contagem!T138 &gt; 0,Contagem!T138,"")</f>
        <v/>
      </c>
      <c r="D140" s="207"/>
      <c r="E140" s="211" t="str">
        <f t="shared" si="20"/>
        <v/>
      </c>
      <c r="F140" s="207"/>
      <c r="G140" s="211" t="str">
        <f t="shared" si="21"/>
        <v/>
      </c>
      <c r="H140" s="207"/>
      <c r="I140" s="211" t="str">
        <f t="shared" si="22"/>
        <v/>
      </c>
      <c r="J140" s="207"/>
      <c r="K140" s="211" t="str">
        <f t="shared" si="23"/>
        <v/>
      </c>
      <c r="L140" s="207"/>
      <c r="M140" s="211" t="str">
        <f t="shared" si="24"/>
        <v/>
      </c>
      <c r="N140" s="207"/>
      <c r="O140" s="211" t="str">
        <f t="shared" si="25"/>
        <v/>
      </c>
      <c r="P140" s="207"/>
      <c r="Q140" s="211" t="str">
        <f t="shared" si="26"/>
        <v/>
      </c>
      <c r="R140" s="207"/>
      <c r="S140" s="211" t="str">
        <f t="shared" si="27"/>
        <v/>
      </c>
      <c r="T140" s="272" t="str">
        <f t="shared" si="28"/>
        <v/>
      </c>
      <c r="U140" s="212" t="str">
        <f t="shared" si="29"/>
        <v/>
      </c>
    </row>
    <row r="141" spans="2:21" x14ac:dyDescent="0.25">
      <c r="B141" s="241" t="str">
        <f>IF(Contagem!B139=0,"",Contagem!B139)</f>
        <v/>
      </c>
      <c r="C141" s="242" t="str">
        <f>IF(Contagem!T139 &gt; 0,Contagem!T139,"")</f>
        <v/>
      </c>
      <c r="D141" s="207"/>
      <c r="E141" s="211" t="str">
        <f t="shared" si="20"/>
        <v/>
      </c>
      <c r="F141" s="207"/>
      <c r="G141" s="211" t="str">
        <f t="shared" si="21"/>
        <v/>
      </c>
      <c r="H141" s="207"/>
      <c r="I141" s="211" t="str">
        <f t="shared" si="22"/>
        <v/>
      </c>
      <c r="J141" s="207"/>
      <c r="K141" s="211" t="str">
        <f t="shared" si="23"/>
        <v/>
      </c>
      <c r="L141" s="207"/>
      <c r="M141" s="211" t="str">
        <f t="shared" si="24"/>
        <v/>
      </c>
      <c r="N141" s="207"/>
      <c r="O141" s="211" t="str">
        <f t="shared" si="25"/>
        <v/>
      </c>
      <c r="P141" s="207"/>
      <c r="Q141" s="211" t="str">
        <f t="shared" si="26"/>
        <v/>
      </c>
      <c r="R141" s="207"/>
      <c r="S141" s="211" t="str">
        <f t="shared" si="27"/>
        <v/>
      </c>
      <c r="T141" s="272" t="str">
        <f t="shared" si="28"/>
        <v/>
      </c>
      <c r="U141" s="212" t="str">
        <f t="shared" si="29"/>
        <v/>
      </c>
    </row>
    <row r="142" spans="2:21" x14ac:dyDescent="0.25">
      <c r="B142" s="241" t="str">
        <f>IF(Contagem!B140=0,"",Contagem!B140)</f>
        <v/>
      </c>
      <c r="C142" s="242" t="str">
        <f>IF(Contagem!T140 &gt; 0,Contagem!T140,"")</f>
        <v/>
      </c>
      <c r="D142" s="207"/>
      <c r="E142" s="211" t="str">
        <f t="shared" si="20"/>
        <v/>
      </c>
      <c r="F142" s="207"/>
      <c r="G142" s="211" t="str">
        <f t="shared" si="21"/>
        <v/>
      </c>
      <c r="H142" s="207"/>
      <c r="I142" s="211" t="str">
        <f t="shared" si="22"/>
        <v/>
      </c>
      <c r="J142" s="207"/>
      <c r="K142" s="211" t="str">
        <f t="shared" si="23"/>
        <v/>
      </c>
      <c r="L142" s="207"/>
      <c r="M142" s="211" t="str">
        <f t="shared" si="24"/>
        <v/>
      </c>
      <c r="N142" s="207"/>
      <c r="O142" s="211" t="str">
        <f t="shared" si="25"/>
        <v/>
      </c>
      <c r="P142" s="207"/>
      <c r="Q142" s="211" t="str">
        <f t="shared" si="26"/>
        <v/>
      </c>
      <c r="R142" s="207"/>
      <c r="S142" s="211" t="str">
        <f t="shared" si="27"/>
        <v/>
      </c>
      <c r="T142" s="272" t="str">
        <f t="shared" si="28"/>
        <v/>
      </c>
      <c r="U142" s="212" t="str">
        <f t="shared" si="29"/>
        <v/>
      </c>
    </row>
    <row r="143" spans="2:21" x14ac:dyDescent="0.25">
      <c r="B143" s="241" t="str">
        <f>IF(Contagem!B141=0,"",Contagem!B141)</f>
        <v/>
      </c>
      <c r="C143" s="242" t="str">
        <f>IF(Contagem!T141 &gt; 0,Contagem!T141,"")</f>
        <v/>
      </c>
      <c r="D143" s="207"/>
      <c r="E143" s="211" t="str">
        <f t="shared" si="20"/>
        <v/>
      </c>
      <c r="F143" s="207"/>
      <c r="G143" s="211" t="str">
        <f t="shared" si="21"/>
        <v/>
      </c>
      <c r="H143" s="207"/>
      <c r="I143" s="211" t="str">
        <f t="shared" si="22"/>
        <v/>
      </c>
      <c r="J143" s="207"/>
      <c r="K143" s="211" t="str">
        <f t="shared" si="23"/>
        <v/>
      </c>
      <c r="L143" s="207"/>
      <c r="M143" s="211" t="str">
        <f t="shared" si="24"/>
        <v/>
      </c>
      <c r="N143" s="207"/>
      <c r="O143" s="211" t="str">
        <f t="shared" si="25"/>
        <v/>
      </c>
      <c r="P143" s="207"/>
      <c r="Q143" s="211" t="str">
        <f t="shared" si="26"/>
        <v/>
      </c>
      <c r="R143" s="207"/>
      <c r="S143" s="211" t="str">
        <f t="shared" si="27"/>
        <v/>
      </c>
      <c r="T143" s="272" t="str">
        <f t="shared" si="28"/>
        <v/>
      </c>
      <c r="U143" s="212" t="str">
        <f t="shared" si="29"/>
        <v/>
      </c>
    </row>
    <row r="144" spans="2:21" x14ac:dyDescent="0.25">
      <c r="B144" s="241" t="str">
        <f>IF(Contagem!B142=0,"",Contagem!B142)</f>
        <v/>
      </c>
      <c r="C144" s="242" t="str">
        <f>IF(Contagem!T142 &gt; 0,Contagem!T142,"")</f>
        <v/>
      </c>
      <c r="D144" s="207"/>
      <c r="E144" s="211" t="str">
        <f t="shared" si="20"/>
        <v/>
      </c>
      <c r="F144" s="207"/>
      <c r="G144" s="211" t="str">
        <f t="shared" si="21"/>
        <v/>
      </c>
      <c r="H144" s="207"/>
      <c r="I144" s="211" t="str">
        <f t="shared" si="22"/>
        <v/>
      </c>
      <c r="J144" s="207"/>
      <c r="K144" s="211" t="str">
        <f t="shared" si="23"/>
        <v/>
      </c>
      <c r="L144" s="207"/>
      <c r="M144" s="211" t="str">
        <f t="shared" si="24"/>
        <v/>
      </c>
      <c r="N144" s="207"/>
      <c r="O144" s="211" t="str">
        <f t="shared" si="25"/>
        <v/>
      </c>
      <c r="P144" s="207"/>
      <c r="Q144" s="211" t="str">
        <f t="shared" si="26"/>
        <v/>
      </c>
      <c r="R144" s="207"/>
      <c r="S144" s="211" t="str">
        <f t="shared" si="27"/>
        <v/>
      </c>
      <c r="T144" s="272" t="str">
        <f t="shared" si="28"/>
        <v/>
      </c>
      <c r="U144" s="212" t="str">
        <f t="shared" si="29"/>
        <v/>
      </c>
    </row>
    <row r="145" spans="2:21" x14ac:dyDescent="0.25">
      <c r="B145" s="241" t="str">
        <f>IF(Contagem!B143=0,"",Contagem!B143)</f>
        <v/>
      </c>
      <c r="C145" s="242" t="str">
        <f>IF(Contagem!T143 &gt; 0,Contagem!T143,"")</f>
        <v/>
      </c>
      <c r="D145" s="207"/>
      <c r="E145" s="211" t="str">
        <f t="shared" si="20"/>
        <v/>
      </c>
      <c r="F145" s="207"/>
      <c r="G145" s="211" t="str">
        <f t="shared" si="21"/>
        <v/>
      </c>
      <c r="H145" s="207"/>
      <c r="I145" s="211" t="str">
        <f t="shared" si="22"/>
        <v/>
      </c>
      <c r="J145" s="207"/>
      <c r="K145" s="211" t="str">
        <f t="shared" si="23"/>
        <v/>
      </c>
      <c r="L145" s="207"/>
      <c r="M145" s="211" t="str">
        <f t="shared" si="24"/>
        <v/>
      </c>
      <c r="N145" s="207"/>
      <c r="O145" s="211" t="str">
        <f t="shared" si="25"/>
        <v/>
      </c>
      <c r="P145" s="207"/>
      <c r="Q145" s="211" t="str">
        <f t="shared" si="26"/>
        <v/>
      </c>
      <c r="R145" s="207"/>
      <c r="S145" s="211" t="str">
        <f t="shared" si="27"/>
        <v/>
      </c>
      <c r="T145" s="272" t="str">
        <f t="shared" si="28"/>
        <v/>
      </c>
      <c r="U145" s="212" t="str">
        <f t="shared" si="29"/>
        <v/>
      </c>
    </row>
    <row r="146" spans="2:21" x14ac:dyDescent="0.25">
      <c r="B146" s="241" t="str">
        <f>IF(Contagem!B144=0,"",Contagem!B144)</f>
        <v/>
      </c>
      <c r="C146" s="242" t="str">
        <f>IF(Contagem!T144 &gt; 0,Contagem!T144,"")</f>
        <v/>
      </c>
      <c r="D146" s="207"/>
      <c r="E146" s="211" t="str">
        <f t="shared" si="20"/>
        <v/>
      </c>
      <c r="F146" s="207"/>
      <c r="G146" s="211" t="str">
        <f t="shared" si="21"/>
        <v/>
      </c>
      <c r="H146" s="207"/>
      <c r="I146" s="211" t="str">
        <f t="shared" si="22"/>
        <v/>
      </c>
      <c r="J146" s="207"/>
      <c r="K146" s="211" t="str">
        <f t="shared" si="23"/>
        <v/>
      </c>
      <c r="L146" s="207"/>
      <c r="M146" s="211" t="str">
        <f t="shared" si="24"/>
        <v/>
      </c>
      <c r="N146" s="207"/>
      <c r="O146" s="211" t="str">
        <f t="shared" si="25"/>
        <v/>
      </c>
      <c r="P146" s="207"/>
      <c r="Q146" s="211" t="str">
        <f t="shared" si="26"/>
        <v/>
      </c>
      <c r="R146" s="207"/>
      <c r="S146" s="211" t="str">
        <f t="shared" si="27"/>
        <v/>
      </c>
      <c r="T146" s="272" t="str">
        <f t="shared" si="28"/>
        <v/>
      </c>
      <c r="U146" s="212" t="str">
        <f t="shared" si="29"/>
        <v/>
      </c>
    </row>
    <row r="147" spans="2:21" x14ac:dyDescent="0.25">
      <c r="B147" s="241" t="str">
        <f>IF(Contagem!B145=0,"",Contagem!B145)</f>
        <v/>
      </c>
      <c r="C147" s="242" t="str">
        <f>IF(Contagem!T145 &gt; 0,Contagem!T145,"")</f>
        <v/>
      </c>
      <c r="D147" s="207"/>
      <c r="E147" s="211" t="str">
        <f t="shared" si="20"/>
        <v/>
      </c>
      <c r="F147" s="207"/>
      <c r="G147" s="211" t="str">
        <f t="shared" si="21"/>
        <v/>
      </c>
      <c r="H147" s="207"/>
      <c r="I147" s="211" t="str">
        <f t="shared" si="22"/>
        <v/>
      </c>
      <c r="J147" s="207"/>
      <c r="K147" s="211" t="str">
        <f t="shared" si="23"/>
        <v/>
      </c>
      <c r="L147" s="207"/>
      <c r="M147" s="211" t="str">
        <f t="shared" si="24"/>
        <v/>
      </c>
      <c r="N147" s="207"/>
      <c r="O147" s="211" t="str">
        <f t="shared" si="25"/>
        <v/>
      </c>
      <c r="P147" s="207"/>
      <c r="Q147" s="211" t="str">
        <f t="shared" si="26"/>
        <v/>
      </c>
      <c r="R147" s="207"/>
      <c r="S147" s="211" t="str">
        <f t="shared" si="27"/>
        <v/>
      </c>
      <c r="T147" s="272" t="str">
        <f t="shared" si="28"/>
        <v/>
      </c>
      <c r="U147" s="212" t="str">
        <f t="shared" si="29"/>
        <v/>
      </c>
    </row>
    <row r="148" spans="2:21" x14ac:dyDescent="0.25">
      <c r="B148" s="241" t="str">
        <f>IF(Contagem!B146=0,"",Contagem!B146)</f>
        <v/>
      </c>
      <c r="C148" s="242" t="str">
        <f>IF(Contagem!T146 &gt; 0,Contagem!T146,"")</f>
        <v/>
      </c>
      <c r="D148" s="207"/>
      <c r="E148" s="211" t="str">
        <f t="shared" si="20"/>
        <v/>
      </c>
      <c r="F148" s="207"/>
      <c r="G148" s="211" t="str">
        <f t="shared" si="21"/>
        <v/>
      </c>
      <c r="H148" s="207"/>
      <c r="I148" s="211" t="str">
        <f t="shared" si="22"/>
        <v/>
      </c>
      <c r="J148" s="207"/>
      <c r="K148" s="211" t="str">
        <f t="shared" si="23"/>
        <v/>
      </c>
      <c r="L148" s="207"/>
      <c r="M148" s="211" t="str">
        <f t="shared" si="24"/>
        <v/>
      </c>
      <c r="N148" s="207"/>
      <c r="O148" s="211" t="str">
        <f t="shared" si="25"/>
        <v/>
      </c>
      <c r="P148" s="207"/>
      <c r="Q148" s="211" t="str">
        <f t="shared" si="26"/>
        <v/>
      </c>
      <c r="R148" s="207"/>
      <c r="S148" s="211" t="str">
        <f t="shared" si="27"/>
        <v/>
      </c>
      <c r="T148" s="272" t="str">
        <f t="shared" si="28"/>
        <v/>
      </c>
      <c r="U148" s="212" t="str">
        <f t="shared" si="29"/>
        <v/>
      </c>
    </row>
    <row r="149" spans="2:21" x14ac:dyDescent="0.25">
      <c r="B149" s="241" t="str">
        <f>IF(Contagem!B147=0,"",Contagem!B147)</f>
        <v/>
      </c>
      <c r="C149" s="242" t="str">
        <f>IF(Contagem!T147 &gt; 0,Contagem!T147,"")</f>
        <v/>
      </c>
      <c r="D149" s="207"/>
      <c r="E149" s="211" t="str">
        <f t="shared" si="20"/>
        <v/>
      </c>
      <c r="F149" s="207"/>
      <c r="G149" s="211" t="str">
        <f t="shared" si="21"/>
        <v/>
      </c>
      <c r="H149" s="207"/>
      <c r="I149" s="211" t="str">
        <f t="shared" si="22"/>
        <v/>
      </c>
      <c r="J149" s="207"/>
      <c r="K149" s="211" t="str">
        <f t="shared" si="23"/>
        <v/>
      </c>
      <c r="L149" s="207"/>
      <c r="M149" s="211" t="str">
        <f t="shared" si="24"/>
        <v/>
      </c>
      <c r="N149" s="207"/>
      <c r="O149" s="211" t="str">
        <f t="shared" si="25"/>
        <v/>
      </c>
      <c r="P149" s="207"/>
      <c r="Q149" s="211" t="str">
        <f t="shared" si="26"/>
        <v/>
      </c>
      <c r="R149" s="207"/>
      <c r="S149" s="211" t="str">
        <f t="shared" si="27"/>
        <v/>
      </c>
      <c r="T149" s="272" t="str">
        <f t="shared" si="28"/>
        <v/>
      </c>
      <c r="U149" s="212" t="str">
        <f t="shared" si="29"/>
        <v/>
      </c>
    </row>
    <row r="150" spans="2:21" x14ac:dyDescent="0.25">
      <c r="B150" s="241" t="str">
        <f>IF(Contagem!B148=0,"",Contagem!B148)</f>
        <v/>
      </c>
      <c r="C150" s="242" t="str">
        <f>IF(Contagem!T148 &gt; 0,Contagem!T148,"")</f>
        <v/>
      </c>
      <c r="D150" s="207"/>
      <c r="E150" s="211" t="str">
        <f t="shared" si="20"/>
        <v/>
      </c>
      <c r="F150" s="207"/>
      <c r="G150" s="211" t="str">
        <f t="shared" si="21"/>
        <v/>
      </c>
      <c r="H150" s="207"/>
      <c r="I150" s="211" t="str">
        <f t="shared" si="22"/>
        <v/>
      </c>
      <c r="J150" s="207"/>
      <c r="K150" s="211" t="str">
        <f t="shared" si="23"/>
        <v/>
      </c>
      <c r="L150" s="207"/>
      <c r="M150" s="211" t="str">
        <f t="shared" si="24"/>
        <v/>
      </c>
      <c r="N150" s="207"/>
      <c r="O150" s="211" t="str">
        <f t="shared" si="25"/>
        <v/>
      </c>
      <c r="P150" s="207"/>
      <c r="Q150" s="211" t="str">
        <f t="shared" si="26"/>
        <v/>
      </c>
      <c r="R150" s="207"/>
      <c r="S150" s="211" t="str">
        <f t="shared" si="27"/>
        <v/>
      </c>
      <c r="T150" s="272" t="str">
        <f t="shared" si="28"/>
        <v/>
      </c>
      <c r="U150" s="212" t="str">
        <f t="shared" si="29"/>
        <v/>
      </c>
    </row>
    <row r="151" spans="2:21" x14ac:dyDescent="0.25">
      <c r="B151" s="241" t="str">
        <f>IF(Contagem!B149=0,"",Contagem!B149)</f>
        <v/>
      </c>
      <c r="C151" s="242" t="str">
        <f>IF(Contagem!T149 &gt; 0,Contagem!T149,"")</f>
        <v/>
      </c>
      <c r="D151" s="207"/>
      <c r="E151" s="211" t="str">
        <f t="shared" si="20"/>
        <v/>
      </c>
      <c r="F151" s="207"/>
      <c r="G151" s="211" t="str">
        <f t="shared" si="21"/>
        <v/>
      </c>
      <c r="H151" s="207"/>
      <c r="I151" s="211" t="str">
        <f t="shared" si="22"/>
        <v/>
      </c>
      <c r="J151" s="207"/>
      <c r="K151" s="211" t="str">
        <f t="shared" si="23"/>
        <v/>
      </c>
      <c r="L151" s="207"/>
      <c r="M151" s="211" t="str">
        <f t="shared" si="24"/>
        <v/>
      </c>
      <c r="N151" s="207"/>
      <c r="O151" s="211" t="str">
        <f t="shared" si="25"/>
        <v/>
      </c>
      <c r="P151" s="207"/>
      <c r="Q151" s="211" t="str">
        <f t="shared" si="26"/>
        <v/>
      </c>
      <c r="R151" s="207"/>
      <c r="S151" s="211" t="str">
        <f t="shared" si="27"/>
        <v/>
      </c>
      <c r="T151" s="272" t="str">
        <f t="shared" si="28"/>
        <v/>
      </c>
      <c r="U151" s="212" t="str">
        <f t="shared" si="29"/>
        <v/>
      </c>
    </row>
    <row r="152" spans="2:21" x14ac:dyDescent="0.25">
      <c r="B152" s="241" t="str">
        <f>IF(Contagem!B150=0,"",Contagem!B150)</f>
        <v/>
      </c>
      <c r="C152" s="242" t="str">
        <f>IF(Contagem!T150 &gt; 0,Contagem!T150,"")</f>
        <v/>
      </c>
      <c r="D152" s="207"/>
      <c r="E152" s="211" t="str">
        <f t="shared" si="20"/>
        <v/>
      </c>
      <c r="F152" s="207"/>
      <c r="G152" s="211" t="str">
        <f t="shared" si="21"/>
        <v/>
      </c>
      <c r="H152" s="207"/>
      <c r="I152" s="211" t="str">
        <f t="shared" si="22"/>
        <v/>
      </c>
      <c r="J152" s="207"/>
      <c r="K152" s="211" t="str">
        <f t="shared" si="23"/>
        <v/>
      </c>
      <c r="L152" s="207"/>
      <c r="M152" s="211" t="str">
        <f t="shared" si="24"/>
        <v/>
      </c>
      <c r="N152" s="207"/>
      <c r="O152" s="211" t="str">
        <f t="shared" si="25"/>
        <v/>
      </c>
      <c r="P152" s="207"/>
      <c r="Q152" s="211" t="str">
        <f t="shared" si="26"/>
        <v/>
      </c>
      <c r="R152" s="207"/>
      <c r="S152" s="211" t="str">
        <f t="shared" si="27"/>
        <v/>
      </c>
      <c r="T152" s="272" t="str">
        <f t="shared" si="28"/>
        <v/>
      </c>
      <c r="U152" s="212" t="str">
        <f t="shared" si="29"/>
        <v/>
      </c>
    </row>
    <row r="153" spans="2:21" x14ac:dyDescent="0.25">
      <c r="B153" s="241" t="str">
        <f>IF(Contagem!B151=0,"",Contagem!B151)</f>
        <v/>
      </c>
      <c r="C153" s="242" t="str">
        <f>IF(Contagem!T151 &gt; 0,Contagem!T151,"")</f>
        <v/>
      </c>
      <c r="D153" s="207"/>
      <c r="E153" s="211" t="str">
        <f t="shared" si="20"/>
        <v/>
      </c>
      <c r="F153" s="207"/>
      <c r="G153" s="211" t="str">
        <f t="shared" si="21"/>
        <v/>
      </c>
      <c r="H153" s="207"/>
      <c r="I153" s="211" t="str">
        <f t="shared" si="22"/>
        <v/>
      </c>
      <c r="J153" s="207"/>
      <c r="K153" s="211" t="str">
        <f t="shared" si="23"/>
        <v/>
      </c>
      <c r="L153" s="207"/>
      <c r="M153" s="211" t="str">
        <f t="shared" si="24"/>
        <v/>
      </c>
      <c r="N153" s="207"/>
      <c r="O153" s="211" t="str">
        <f t="shared" si="25"/>
        <v/>
      </c>
      <c r="P153" s="207"/>
      <c r="Q153" s="211" t="str">
        <f t="shared" si="26"/>
        <v/>
      </c>
      <c r="R153" s="207"/>
      <c r="S153" s="211" t="str">
        <f t="shared" si="27"/>
        <v/>
      </c>
      <c r="T153" s="272" t="str">
        <f t="shared" si="28"/>
        <v/>
      </c>
      <c r="U153" s="212" t="str">
        <f t="shared" si="29"/>
        <v/>
      </c>
    </row>
    <row r="154" spans="2:21" x14ac:dyDescent="0.25">
      <c r="B154" s="241" t="str">
        <f>IF(Contagem!B152=0,"",Contagem!B152)</f>
        <v/>
      </c>
      <c r="C154" s="242" t="str">
        <f>IF(Contagem!T152 &gt; 0,Contagem!T152,"")</f>
        <v/>
      </c>
      <c r="D154" s="207"/>
      <c r="E154" s="211" t="str">
        <f t="shared" si="20"/>
        <v/>
      </c>
      <c r="F154" s="207"/>
      <c r="G154" s="211" t="str">
        <f t="shared" si="21"/>
        <v/>
      </c>
      <c r="H154" s="207"/>
      <c r="I154" s="211" t="str">
        <f t="shared" si="22"/>
        <v/>
      </c>
      <c r="J154" s="207"/>
      <c r="K154" s="211" t="str">
        <f t="shared" si="23"/>
        <v/>
      </c>
      <c r="L154" s="207"/>
      <c r="M154" s="211" t="str">
        <f t="shared" si="24"/>
        <v/>
      </c>
      <c r="N154" s="207"/>
      <c r="O154" s="211" t="str">
        <f t="shared" si="25"/>
        <v/>
      </c>
      <c r="P154" s="207"/>
      <c r="Q154" s="211" t="str">
        <f t="shared" si="26"/>
        <v/>
      </c>
      <c r="R154" s="207"/>
      <c r="S154" s="211" t="str">
        <f t="shared" si="27"/>
        <v/>
      </c>
      <c r="T154" s="272" t="str">
        <f t="shared" si="28"/>
        <v/>
      </c>
      <c r="U154" s="212" t="str">
        <f t="shared" si="29"/>
        <v/>
      </c>
    </row>
    <row r="155" spans="2:21" x14ac:dyDescent="0.25">
      <c r="B155" s="241" t="str">
        <f>IF(Contagem!B153=0,"",Contagem!B153)</f>
        <v/>
      </c>
      <c r="C155" s="242" t="str">
        <f>IF(Contagem!T153 &gt; 0,Contagem!T153,"")</f>
        <v/>
      </c>
      <c r="D155" s="207"/>
      <c r="E155" s="211" t="str">
        <f t="shared" si="20"/>
        <v/>
      </c>
      <c r="F155" s="207"/>
      <c r="G155" s="211" t="str">
        <f t="shared" si="21"/>
        <v/>
      </c>
      <c r="H155" s="207"/>
      <c r="I155" s="211" t="str">
        <f t="shared" si="22"/>
        <v/>
      </c>
      <c r="J155" s="207"/>
      <c r="K155" s="211" t="str">
        <f t="shared" si="23"/>
        <v/>
      </c>
      <c r="L155" s="207"/>
      <c r="M155" s="211" t="str">
        <f t="shared" si="24"/>
        <v/>
      </c>
      <c r="N155" s="207"/>
      <c r="O155" s="211" t="str">
        <f t="shared" si="25"/>
        <v/>
      </c>
      <c r="P155" s="207"/>
      <c r="Q155" s="211" t="str">
        <f t="shared" si="26"/>
        <v/>
      </c>
      <c r="R155" s="207"/>
      <c r="S155" s="211" t="str">
        <f t="shared" si="27"/>
        <v/>
      </c>
      <c r="T155" s="272" t="str">
        <f t="shared" si="28"/>
        <v/>
      </c>
      <c r="U155" s="212" t="str">
        <f t="shared" si="29"/>
        <v/>
      </c>
    </row>
    <row r="156" spans="2:21" x14ac:dyDescent="0.25">
      <c r="B156" s="241" t="str">
        <f>IF(Contagem!B154=0,"",Contagem!B154)</f>
        <v/>
      </c>
      <c r="C156" s="242" t="str">
        <f>IF(Contagem!T154 &gt; 0,Contagem!T154,"")</f>
        <v/>
      </c>
      <c r="D156" s="207"/>
      <c r="E156" s="211" t="str">
        <f t="shared" si="20"/>
        <v/>
      </c>
      <c r="F156" s="207"/>
      <c r="G156" s="211" t="str">
        <f t="shared" si="21"/>
        <v/>
      </c>
      <c r="H156" s="207"/>
      <c r="I156" s="211" t="str">
        <f t="shared" si="22"/>
        <v/>
      </c>
      <c r="J156" s="207"/>
      <c r="K156" s="211" t="str">
        <f t="shared" si="23"/>
        <v/>
      </c>
      <c r="L156" s="207"/>
      <c r="M156" s="211" t="str">
        <f t="shared" si="24"/>
        <v/>
      </c>
      <c r="N156" s="207"/>
      <c r="O156" s="211" t="str">
        <f t="shared" si="25"/>
        <v/>
      </c>
      <c r="P156" s="207"/>
      <c r="Q156" s="211" t="str">
        <f t="shared" si="26"/>
        <v/>
      </c>
      <c r="R156" s="207"/>
      <c r="S156" s="211" t="str">
        <f t="shared" si="27"/>
        <v/>
      </c>
      <c r="T156" s="272" t="str">
        <f t="shared" si="28"/>
        <v/>
      </c>
      <c r="U156" s="212" t="str">
        <f t="shared" si="29"/>
        <v/>
      </c>
    </row>
    <row r="157" spans="2:21" x14ac:dyDescent="0.25">
      <c r="B157" s="241" t="str">
        <f>IF(Contagem!B155=0,"",Contagem!B155)</f>
        <v/>
      </c>
      <c r="C157" s="242" t="str">
        <f>IF(Contagem!T155 &gt; 0,Contagem!T155,"")</f>
        <v/>
      </c>
      <c r="D157" s="207"/>
      <c r="E157" s="211" t="str">
        <f t="shared" si="20"/>
        <v/>
      </c>
      <c r="F157" s="207"/>
      <c r="G157" s="211" t="str">
        <f t="shared" si="21"/>
        <v/>
      </c>
      <c r="H157" s="207"/>
      <c r="I157" s="211" t="str">
        <f t="shared" si="22"/>
        <v/>
      </c>
      <c r="J157" s="207"/>
      <c r="K157" s="211" t="str">
        <f t="shared" si="23"/>
        <v/>
      </c>
      <c r="L157" s="207"/>
      <c r="M157" s="211" t="str">
        <f t="shared" si="24"/>
        <v/>
      </c>
      <c r="N157" s="207"/>
      <c r="O157" s="211" t="str">
        <f t="shared" si="25"/>
        <v/>
      </c>
      <c r="P157" s="207"/>
      <c r="Q157" s="211" t="str">
        <f t="shared" si="26"/>
        <v/>
      </c>
      <c r="R157" s="207"/>
      <c r="S157" s="211" t="str">
        <f t="shared" si="27"/>
        <v/>
      </c>
      <c r="T157" s="272" t="str">
        <f t="shared" si="28"/>
        <v/>
      </c>
      <c r="U157" s="212" t="str">
        <f t="shared" si="29"/>
        <v/>
      </c>
    </row>
    <row r="158" spans="2:21" x14ac:dyDescent="0.25">
      <c r="B158" s="241" t="str">
        <f>IF(Contagem!B156=0,"",Contagem!B156)</f>
        <v/>
      </c>
      <c r="C158" s="242" t="str">
        <f>IF(Contagem!T156 &gt; 0,Contagem!T156,"")</f>
        <v/>
      </c>
      <c r="D158" s="207"/>
      <c r="E158" s="211" t="str">
        <f t="shared" si="20"/>
        <v/>
      </c>
      <c r="F158" s="207"/>
      <c r="G158" s="211" t="str">
        <f t="shared" si="21"/>
        <v/>
      </c>
      <c r="H158" s="207"/>
      <c r="I158" s="211" t="str">
        <f t="shared" si="22"/>
        <v/>
      </c>
      <c r="J158" s="207"/>
      <c r="K158" s="211" t="str">
        <f t="shared" si="23"/>
        <v/>
      </c>
      <c r="L158" s="207"/>
      <c r="M158" s="211" t="str">
        <f t="shared" si="24"/>
        <v/>
      </c>
      <c r="N158" s="207"/>
      <c r="O158" s="211" t="str">
        <f t="shared" si="25"/>
        <v/>
      </c>
      <c r="P158" s="207"/>
      <c r="Q158" s="211" t="str">
        <f t="shared" si="26"/>
        <v/>
      </c>
      <c r="R158" s="207"/>
      <c r="S158" s="211" t="str">
        <f t="shared" si="27"/>
        <v/>
      </c>
      <c r="T158" s="272" t="str">
        <f t="shared" si="28"/>
        <v/>
      </c>
      <c r="U158" s="212" t="str">
        <f t="shared" si="29"/>
        <v/>
      </c>
    </row>
    <row r="159" spans="2:21" x14ac:dyDescent="0.25">
      <c r="B159" s="241" t="str">
        <f>IF(Contagem!B157=0,"",Contagem!B157)</f>
        <v/>
      </c>
      <c r="C159" s="242" t="str">
        <f>IF(Contagem!T157 &gt; 0,Contagem!T157,"")</f>
        <v/>
      </c>
      <c r="D159" s="207"/>
      <c r="E159" s="211" t="str">
        <f t="shared" si="20"/>
        <v/>
      </c>
      <c r="F159" s="207"/>
      <c r="G159" s="211" t="str">
        <f t="shared" si="21"/>
        <v/>
      </c>
      <c r="H159" s="207"/>
      <c r="I159" s="211" t="str">
        <f t="shared" si="22"/>
        <v/>
      </c>
      <c r="J159" s="207"/>
      <c r="K159" s="211" t="str">
        <f t="shared" si="23"/>
        <v/>
      </c>
      <c r="L159" s="207"/>
      <c r="M159" s="211" t="str">
        <f t="shared" si="24"/>
        <v/>
      </c>
      <c r="N159" s="207"/>
      <c r="O159" s="211" t="str">
        <f t="shared" si="25"/>
        <v/>
      </c>
      <c r="P159" s="207"/>
      <c r="Q159" s="211" t="str">
        <f t="shared" si="26"/>
        <v/>
      </c>
      <c r="R159" s="207"/>
      <c r="S159" s="211" t="str">
        <f t="shared" si="27"/>
        <v/>
      </c>
      <c r="T159" s="272" t="str">
        <f t="shared" si="28"/>
        <v/>
      </c>
      <c r="U159" s="212" t="str">
        <f t="shared" si="29"/>
        <v/>
      </c>
    </row>
    <row r="160" spans="2:21" x14ac:dyDescent="0.25">
      <c r="B160" s="241" t="str">
        <f>IF(Contagem!B158=0,"",Contagem!B158)</f>
        <v/>
      </c>
      <c r="C160" s="242" t="str">
        <f>IF(Contagem!T158 &gt; 0,Contagem!T158,"")</f>
        <v/>
      </c>
      <c r="D160" s="207"/>
      <c r="E160" s="211" t="str">
        <f t="shared" si="20"/>
        <v/>
      </c>
      <c r="F160" s="207"/>
      <c r="G160" s="211" t="str">
        <f t="shared" si="21"/>
        <v/>
      </c>
      <c r="H160" s="207"/>
      <c r="I160" s="211" t="str">
        <f t="shared" si="22"/>
        <v/>
      </c>
      <c r="J160" s="207"/>
      <c r="K160" s="211" t="str">
        <f t="shared" si="23"/>
        <v/>
      </c>
      <c r="L160" s="207"/>
      <c r="M160" s="211" t="str">
        <f t="shared" si="24"/>
        <v/>
      </c>
      <c r="N160" s="207"/>
      <c r="O160" s="211" t="str">
        <f t="shared" si="25"/>
        <v/>
      </c>
      <c r="P160" s="207"/>
      <c r="Q160" s="211" t="str">
        <f t="shared" si="26"/>
        <v/>
      </c>
      <c r="R160" s="207"/>
      <c r="S160" s="211" t="str">
        <f t="shared" si="27"/>
        <v/>
      </c>
      <c r="T160" s="272" t="str">
        <f t="shared" si="28"/>
        <v/>
      </c>
      <c r="U160" s="212" t="str">
        <f t="shared" si="29"/>
        <v/>
      </c>
    </row>
    <row r="161" spans="2:21" x14ac:dyDescent="0.25">
      <c r="B161" s="241" t="str">
        <f>IF(Contagem!B159=0,"",Contagem!B159)</f>
        <v/>
      </c>
      <c r="C161" s="242" t="str">
        <f>IF(Contagem!T159 &gt; 0,Contagem!T159,"")</f>
        <v/>
      </c>
      <c r="D161" s="207"/>
      <c r="E161" s="211" t="str">
        <f t="shared" si="20"/>
        <v/>
      </c>
      <c r="F161" s="207"/>
      <c r="G161" s="211" t="str">
        <f t="shared" si="21"/>
        <v/>
      </c>
      <c r="H161" s="207"/>
      <c r="I161" s="211" t="str">
        <f t="shared" si="22"/>
        <v/>
      </c>
      <c r="J161" s="207"/>
      <c r="K161" s="211" t="str">
        <f t="shared" si="23"/>
        <v/>
      </c>
      <c r="L161" s="207"/>
      <c r="M161" s="211" t="str">
        <f t="shared" si="24"/>
        <v/>
      </c>
      <c r="N161" s="207"/>
      <c r="O161" s="211" t="str">
        <f t="shared" si="25"/>
        <v/>
      </c>
      <c r="P161" s="207"/>
      <c r="Q161" s="211" t="str">
        <f t="shared" si="26"/>
        <v/>
      </c>
      <c r="R161" s="207"/>
      <c r="S161" s="211" t="str">
        <f t="shared" si="27"/>
        <v/>
      </c>
      <c r="T161" s="272" t="str">
        <f t="shared" si="28"/>
        <v/>
      </c>
      <c r="U161" s="212" t="str">
        <f t="shared" si="29"/>
        <v/>
      </c>
    </row>
    <row r="162" spans="2:21" x14ac:dyDescent="0.25">
      <c r="B162" s="241" t="str">
        <f>IF(Contagem!B160=0,"",Contagem!B160)</f>
        <v/>
      </c>
      <c r="C162" s="242" t="str">
        <f>IF(Contagem!T160 &gt; 0,Contagem!T160,"")</f>
        <v/>
      </c>
      <c r="D162" s="207"/>
      <c r="E162" s="211" t="str">
        <f t="shared" si="20"/>
        <v/>
      </c>
      <c r="F162" s="207"/>
      <c r="G162" s="211" t="str">
        <f t="shared" si="21"/>
        <v/>
      </c>
      <c r="H162" s="207"/>
      <c r="I162" s="211" t="str">
        <f t="shared" si="22"/>
        <v/>
      </c>
      <c r="J162" s="207"/>
      <c r="K162" s="211" t="str">
        <f t="shared" si="23"/>
        <v/>
      </c>
      <c r="L162" s="207"/>
      <c r="M162" s="211" t="str">
        <f t="shared" si="24"/>
        <v/>
      </c>
      <c r="N162" s="207"/>
      <c r="O162" s="211" t="str">
        <f t="shared" si="25"/>
        <v/>
      </c>
      <c r="P162" s="207"/>
      <c r="Q162" s="211" t="str">
        <f t="shared" si="26"/>
        <v/>
      </c>
      <c r="R162" s="207"/>
      <c r="S162" s="211" t="str">
        <f t="shared" si="27"/>
        <v/>
      </c>
      <c r="T162" s="272" t="str">
        <f t="shared" si="28"/>
        <v/>
      </c>
      <c r="U162" s="212" t="str">
        <f t="shared" si="29"/>
        <v/>
      </c>
    </row>
    <row r="163" spans="2:21" x14ac:dyDescent="0.25">
      <c r="B163" s="241" t="str">
        <f>IF(Contagem!B161=0,"",Contagem!B161)</f>
        <v/>
      </c>
      <c r="C163" s="242" t="str">
        <f>IF(Contagem!T161 &gt; 0,Contagem!T161,"")</f>
        <v/>
      </c>
      <c r="D163" s="207"/>
      <c r="E163" s="211" t="str">
        <f t="shared" si="20"/>
        <v/>
      </c>
      <c r="F163" s="207"/>
      <c r="G163" s="211" t="str">
        <f t="shared" si="21"/>
        <v/>
      </c>
      <c r="H163" s="207"/>
      <c r="I163" s="211" t="str">
        <f t="shared" si="22"/>
        <v/>
      </c>
      <c r="J163" s="207"/>
      <c r="K163" s="211" t="str">
        <f t="shared" si="23"/>
        <v/>
      </c>
      <c r="L163" s="207"/>
      <c r="M163" s="211" t="str">
        <f t="shared" si="24"/>
        <v/>
      </c>
      <c r="N163" s="207"/>
      <c r="O163" s="211" t="str">
        <f t="shared" si="25"/>
        <v/>
      </c>
      <c r="P163" s="207"/>
      <c r="Q163" s="211" t="str">
        <f t="shared" si="26"/>
        <v/>
      </c>
      <c r="R163" s="207"/>
      <c r="S163" s="211" t="str">
        <f t="shared" si="27"/>
        <v/>
      </c>
      <c r="T163" s="272" t="str">
        <f t="shared" si="28"/>
        <v/>
      </c>
      <c r="U163" s="212" t="str">
        <f t="shared" si="29"/>
        <v/>
      </c>
    </row>
    <row r="164" spans="2:21" x14ac:dyDescent="0.25">
      <c r="B164" s="241" t="str">
        <f>IF(Contagem!B162=0,"",Contagem!B162)</f>
        <v/>
      </c>
      <c r="C164" s="242" t="str">
        <f>IF(Contagem!T162 &gt; 0,Contagem!T162,"")</f>
        <v/>
      </c>
      <c r="D164" s="207"/>
      <c r="E164" s="211" t="str">
        <f t="shared" si="20"/>
        <v/>
      </c>
      <c r="F164" s="207"/>
      <c r="G164" s="211" t="str">
        <f t="shared" si="21"/>
        <v/>
      </c>
      <c r="H164" s="207"/>
      <c r="I164" s="211" t="str">
        <f t="shared" si="22"/>
        <v/>
      </c>
      <c r="J164" s="207"/>
      <c r="K164" s="211" t="str">
        <f t="shared" si="23"/>
        <v/>
      </c>
      <c r="L164" s="207"/>
      <c r="M164" s="211" t="str">
        <f t="shared" si="24"/>
        <v/>
      </c>
      <c r="N164" s="207"/>
      <c r="O164" s="211" t="str">
        <f t="shared" si="25"/>
        <v/>
      </c>
      <c r="P164" s="207"/>
      <c r="Q164" s="211" t="str">
        <f t="shared" si="26"/>
        <v/>
      </c>
      <c r="R164" s="207"/>
      <c r="S164" s="211" t="str">
        <f t="shared" si="27"/>
        <v/>
      </c>
      <c r="T164" s="272" t="str">
        <f t="shared" si="28"/>
        <v/>
      </c>
      <c r="U164" s="212" t="str">
        <f t="shared" si="29"/>
        <v/>
      </c>
    </row>
    <row r="165" spans="2:21" x14ac:dyDescent="0.25">
      <c r="B165" s="241" t="str">
        <f>IF(Contagem!B163=0,"",Contagem!B163)</f>
        <v/>
      </c>
      <c r="C165" s="242" t="str">
        <f>IF(Contagem!T163 &gt; 0,Contagem!T163,"")</f>
        <v/>
      </c>
      <c r="D165" s="207"/>
      <c r="E165" s="211" t="str">
        <f t="shared" si="20"/>
        <v/>
      </c>
      <c r="F165" s="207"/>
      <c r="G165" s="211" t="str">
        <f t="shared" si="21"/>
        <v/>
      </c>
      <c r="H165" s="207"/>
      <c r="I165" s="211" t="str">
        <f t="shared" si="22"/>
        <v/>
      </c>
      <c r="J165" s="207"/>
      <c r="K165" s="211" t="str">
        <f t="shared" si="23"/>
        <v/>
      </c>
      <c r="L165" s="207"/>
      <c r="M165" s="211" t="str">
        <f t="shared" si="24"/>
        <v/>
      </c>
      <c r="N165" s="207"/>
      <c r="O165" s="211" t="str">
        <f t="shared" si="25"/>
        <v/>
      </c>
      <c r="P165" s="207"/>
      <c r="Q165" s="211" t="str">
        <f t="shared" si="26"/>
        <v/>
      </c>
      <c r="R165" s="207"/>
      <c r="S165" s="211" t="str">
        <f t="shared" si="27"/>
        <v/>
      </c>
      <c r="T165" s="272" t="str">
        <f t="shared" si="28"/>
        <v/>
      </c>
      <c r="U165" s="212" t="str">
        <f t="shared" si="29"/>
        <v/>
      </c>
    </row>
    <row r="166" spans="2:21" x14ac:dyDescent="0.25">
      <c r="B166" s="241" t="str">
        <f>IF(Contagem!B164=0,"",Contagem!B164)</f>
        <v/>
      </c>
      <c r="C166" s="242" t="str">
        <f>IF(Contagem!T164 &gt; 0,Contagem!T164,"")</f>
        <v/>
      </c>
      <c r="D166" s="207"/>
      <c r="E166" s="211" t="str">
        <f t="shared" si="20"/>
        <v/>
      </c>
      <c r="F166" s="207"/>
      <c r="G166" s="211" t="str">
        <f t="shared" si="21"/>
        <v/>
      </c>
      <c r="H166" s="207"/>
      <c r="I166" s="211" t="str">
        <f t="shared" si="22"/>
        <v/>
      </c>
      <c r="J166" s="207"/>
      <c r="K166" s="211" t="str">
        <f t="shared" si="23"/>
        <v/>
      </c>
      <c r="L166" s="207"/>
      <c r="M166" s="211" t="str">
        <f t="shared" si="24"/>
        <v/>
      </c>
      <c r="N166" s="207"/>
      <c r="O166" s="211" t="str">
        <f t="shared" si="25"/>
        <v/>
      </c>
      <c r="P166" s="207"/>
      <c r="Q166" s="211" t="str">
        <f t="shared" si="26"/>
        <v/>
      </c>
      <c r="R166" s="207"/>
      <c r="S166" s="211" t="str">
        <f t="shared" si="27"/>
        <v/>
      </c>
      <c r="T166" s="272" t="str">
        <f t="shared" si="28"/>
        <v/>
      </c>
      <c r="U166" s="212" t="str">
        <f t="shared" si="29"/>
        <v/>
      </c>
    </row>
    <row r="167" spans="2:21" x14ac:dyDescent="0.25">
      <c r="B167" s="241" t="str">
        <f>IF(Contagem!B165=0,"",Contagem!B165)</f>
        <v/>
      </c>
      <c r="C167" s="242" t="str">
        <f>IF(Contagem!T165 &gt; 0,Contagem!T165,"")</f>
        <v/>
      </c>
      <c r="D167" s="207"/>
      <c r="E167" s="211" t="str">
        <f t="shared" si="20"/>
        <v/>
      </c>
      <c r="F167" s="207"/>
      <c r="G167" s="211" t="str">
        <f t="shared" si="21"/>
        <v/>
      </c>
      <c r="H167" s="207"/>
      <c r="I167" s="211" t="str">
        <f t="shared" si="22"/>
        <v/>
      </c>
      <c r="J167" s="207"/>
      <c r="K167" s="211" t="str">
        <f t="shared" si="23"/>
        <v/>
      </c>
      <c r="L167" s="207"/>
      <c r="M167" s="211" t="str">
        <f t="shared" si="24"/>
        <v/>
      </c>
      <c r="N167" s="207"/>
      <c r="O167" s="211" t="str">
        <f t="shared" si="25"/>
        <v/>
      </c>
      <c r="P167" s="207"/>
      <c r="Q167" s="211" t="str">
        <f t="shared" si="26"/>
        <v/>
      </c>
      <c r="R167" s="207"/>
      <c r="S167" s="211" t="str">
        <f t="shared" si="27"/>
        <v/>
      </c>
      <c r="T167" s="272" t="str">
        <f t="shared" si="28"/>
        <v/>
      </c>
      <c r="U167" s="212" t="str">
        <f t="shared" si="29"/>
        <v/>
      </c>
    </row>
    <row r="168" spans="2:21" x14ac:dyDescent="0.25">
      <c r="B168" s="241" t="str">
        <f>IF(Contagem!B166=0,"",Contagem!B166)</f>
        <v/>
      </c>
      <c r="C168" s="242" t="str">
        <f>IF(Contagem!T166 &gt; 0,Contagem!T166,"")</f>
        <v/>
      </c>
      <c r="D168" s="207"/>
      <c r="E168" s="211" t="str">
        <f t="shared" si="20"/>
        <v/>
      </c>
      <c r="F168" s="207"/>
      <c r="G168" s="211" t="str">
        <f t="shared" si="21"/>
        <v/>
      </c>
      <c r="H168" s="207"/>
      <c r="I168" s="211" t="str">
        <f t="shared" si="22"/>
        <v/>
      </c>
      <c r="J168" s="207"/>
      <c r="K168" s="211" t="str">
        <f t="shared" si="23"/>
        <v/>
      </c>
      <c r="L168" s="207"/>
      <c r="M168" s="211" t="str">
        <f t="shared" si="24"/>
        <v/>
      </c>
      <c r="N168" s="207"/>
      <c r="O168" s="211" t="str">
        <f t="shared" si="25"/>
        <v/>
      </c>
      <c r="P168" s="207"/>
      <c r="Q168" s="211" t="str">
        <f t="shared" si="26"/>
        <v/>
      </c>
      <c r="R168" s="207"/>
      <c r="S168" s="211" t="str">
        <f t="shared" si="27"/>
        <v/>
      </c>
      <c r="T168" s="272" t="str">
        <f t="shared" si="28"/>
        <v/>
      </c>
      <c r="U168" s="212" t="str">
        <f t="shared" si="29"/>
        <v/>
      </c>
    </row>
    <row r="169" spans="2:21" x14ac:dyDescent="0.25">
      <c r="B169" s="241" t="str">
        <f>IF(Contagem!B167=0,"",Contagem!B167)</f>
        <v/>
      </c>
      <c r="C169" s="242" t="str">
        <f>IF(Contagem!T167 &gt; 0,Contagem!T167,"")</f>
        <v/>
      </c>
      <c r="D169" s="207"/>
      <c r="E169" s="211" t="str">
        <f t="shared" si="20"/>
        <v/>
      </c>
      <c r="F169" s="207"/>
      <c r="G169" s="211" t="str">
        <f t="shared" si="21"/>
        <v/>
      </c>
      <c r="H169" s="207"/>
      <c r="I169" s="211" t="str">
        <f t="shared" si="22"/>
        <v/>
      </c>
      <c r="J169" s="207"/>
      <c r="K169" s="211" t="str">
        <f t="shared" si="23"/>
        <v/>
      </c>
      <c r="L169" s="207"/>
      <c r="M169" s="211" t="str">
        <f t="shared" si="24"/>
        <v/>
      </c>
      <c r="N169" s="207"/>
      <c r="O169" s="211" t="str">
        <f t="shared" si="25"/>
        <v/>
      </c>
      <c r="P169" s="207"/>
      <c r="Q169" s="211" t="str">
        <f t="shared" si="26"/>
        <v/>
      </c>
      <c r="R169" s="207"/>
      <c r="S169" s="211" t="str">
        <f t="shared" si="27"/>
        <v/>
      </c>
      <c r="T169" s="272" t="str">
        <f t="shared" si="28"/>
        <v/>
      </c>
      <c r="U169" s="212" t="str">
        <f t="shared" si="29"/>
        <v/>
      </c>
    </row>
    <row r="170" spans="2:21" x14ac:dyDescent="0.25">
      <c r="B170" s="241" t="str">
        <f>IF(Contagem!B168=0,"",Contagem!B168)</f>
        <v/>
      </c>
      <c r="C170" s="242" t="str">
        <f>IF(Contagem!T168 &gt; 0,Contagem!T168,"")</f>
        <v/>
      </c>
      <c r="D170" s="207"/>
      <c r="E170" s="211" t="str">
        <f t="shared" si="20"/>
        <v/>
      </c>
      <c r="F170" s="207"/>
      <c r="G170" s="211" t="str">
        <f t="shared" si="21"/>
        <v/>
      </c>
      <c r="H170" s="207"/>
      <c r="I170" s="211" t="str">
        <f t="shared" si="22"/>
        <v/>
      </c>
      <c r="J170" s="207"/>
      <c r="K170" s="211" t="str">
        <f t="shared" si="23"/>
        <v/>
      </c>
      <c r="L170" s="207"/>
      <c r="M170" s="211" t="str">
        <f t="shared" si="24"/>
        <v/>
      </c>
      <c r="N170" s="207"/>
      <c r="O170" s="211" t="str">
        <f t="shared" si="25"/>
        <v/>
      </c>
      <c r="P170" s="207"/>
      <c r="Q170" s="211" t="str">
        <f t="shared" si="26"/>
        <v/>
      </c>
      <c r="R170" s="207"/>
      <c r="S170" s="211" t="str">
        <f t="shared" si="27"/>
        <v/>
      </c>
      <c r="T170" s="272" t="str">
        <f t="shared" si="28"/>
        <v/>
      </c>
      <c r="U170" s="212" t="str">
        <f t="shared" si="29"/>
        <v/>
      </c>
    </row>
    <row r="171" spans="2:21" x14ac:dyDescent="0.25">
      <c r="B171" s="241" t="str">
        <f>IF(Contagem!B169=0,"",Contagem!B169)</f>
        <v/>
      </c>
      <c r="C171" s="242" t="str">
        <f>IF(Contagem!T169 &gt; 0,Contagem!T169,"")</f>
        <v/>
      </c>
      <c r="D171" s="207"/>
      <c r="E171" s="211" t="str">
        <f t="shared" si="20"/>
        <v/>
      </c>
      <c r="F171" s="207"/>
      <c r="G171" s="211" t="str">
        <f t="shared" si="21"/>
        <v/>
      </c>
      <c r="H171" s="207"/>
      <c r="I171" s="211" t="str">
        <f t="shared" si="22"/>
        <v/>
      </c>
      <c r="J171" s="207"/>
      <c r="K171" s="211" t="str">
        <f t="shared" si="23"/>
        <v/>
      </c>
      <c r="L171" s="207"/>
      <c r="M171" s="211" t="str">
        <f t="shared" si="24"/>
        <v/>
      </c>
      <c r="N171" s="207"/>
      <c r="O171" s="211" t="str">
        <f t="shared" si="25"/>
        <v/>
      </c>
      <c r="P171" s="207"/>
      <c r="Q171" s="211" t="str">
        <f t="shared" si="26"/>
        <v/>
      </c>
      <c r="R171" s="207"/>
      <c r="S171" s="211" t="str">
        <f t="shared" si="27"/>
        <v/>
      </c>
      <c r="T171" s="272" t="str">
        <f t="shared" si="28"/>
        <v/>
      </c>
      <c r="U171" s="212" t="str">
        <f t="shared" si="29"/>
        <v/>
      </c>
    </row>
    <row r="172" spans="2:21" x14ac:dyDescent="0.25">
      <c r="B172" s="241" t="str">
        <f>IF(Contagem!B170=0,"",Contagem!B170)</f>
        <v/>
      </c>
      <c r="C172" s="242" t="str">
        <f>IF(Contagem!T170 &gt; 0,Contagem!T170,"")</f>
        <v/>
      </c>
      <c r="D172" s="207"/>
      <c r="E172" s="211" t="str">
        <f t="shared" si="20"/>
        <v/>
      </c>
      <c r="F172" s="207"/>
      <c r="G172" s="211" t="str">
        <f t="shared" si="21"/>
        <v/>
      </c>
      <c r="H172" s="207"/>
      <c r="I172" s="211" t="str">
        <f t="shared" si="22"/>
        <v/>
      </c>
      <c r="J172" s="207"/>
      <c r="K172" s="211" t="str">
        <f t="shared" si="23"/>
        <v/>
      </c>
      <c r="L172" s="207"/>
      <c r="M172" s="211" t="str">
        <f t="shared" si="24"/>
        <v/>
      </c>
      <c r="N172" s="207"/>
      <c r="O172" s="211" t="str">
        <f t="shared" si="25"/>
        <v/>
      </c>
      <c r="P172" s="207"/>
      <c r="Q172" s="211" t="str">
        <f t="shared" si="26"/>
        <v/>
      </c>
      <c r="R172" s="207"/>
      <c r="S172" s="211" t="str">
        <f t="shared" si="27"/>
        <v/>
      </c>
      <c r="T172" s="272" t="str">
        <f t="shared" si="28"/>
        <v/>
      </c>
      <c r="U172" s="212" t="str">
        <f t="shared" si="29"/>
        <v/>
      </c>
    </row>
    <row r="173" spans="2:21" x14ac:dyDescent="0.25">
      <c r="B173" s="241" t="str">
        <f>IF(Contagem!B171=0,"",Contagem!B171)</f>
        <v/>
      </c>
      <c r="C173" s="242" t="str">
        <f>IF(Contagem!T171 &gt; 0,Contagem!T171,"")</f>
        <v/>
      </c>
      <c r="D173" s="207"/>
      <c r="E173" s="211" t="str">
        <f t="shared" si="20"/>
        <v/>
      </c>
      <c r="F173" s="207"/>
      <c r="G173" s="211" t="str">
        <f t="shared" si="21"/>
        <v/>
      </c>
      <c r="H173" s="207"/>
      <c r="I173" s="211" t="str">
        <f t="shared" si="22"/>
        <v/>
      </c>
      <c r="J173" s="207"/>
      <c r="K173" s="211" t="str">
        <f t="shared" si="23"/>
        <v/>
      </c>
      <c r="L173" s="207"/>
      <c r="M173" s="211" t="str">
        <f t="shared" si="24"/>
        <v/>
      </c>
      <c r="N173" s="207"/>
      <c r="O173" s="211" t="str">
        <f t="shared" si="25"/>
        <v/>
      </c>
      <c r="P173" s="207"/>
      <c r="Q173" s="211" t="str">
        <f t="shared" si="26"/>
        <v/>
      </c>
      <c r="R173" s="207"/>
      <c r="S173" s="211" t="str">
        <f t="shared" si="27"/>
        <v/>
      </c>
      <c r="T173" s="272" t="str">
        <f t="shared" si="28"/>
        <v/>
      </c>
      <c r="U173" s="212" t="str">
        <f t="shared" si="29"/>
        <v/>
      </c>
    </row>
    <row r="174" spans="2:21" x14ac:dyDescent="0.25">
      <c r="B174" s="241" t="str">
        <f>IF(Contagem!B172=0,"",Contagem!B172)</f>
        <v/>
      </c>
      <c r="C174" s="242" t="str">
        <f>IF(Contagem!T172 &gt; 0,Contagem!T172,"")</f>
        <v/>
      </c>
      <c r="D174" s="207"/>
      <c r="E174" s="211" t="str">
        <f t="shared" si="20"/>
        <v/>
      </c>
      <c r="F174" s="207"/>
      <c r="G174" s="211" t="str">
        <f t="shared" si="21"/>
        <v/>
      </c>
      <c r="H174" s="207"/>
      <c r="I174" s="211" t="str">
        <f t="shared" si="22"/>
        <v/>
      </c>
      <c r="J174" s="207"/>
      <c r="K174" s="211" t="str">
        <f t="shared" si="23"/>
        <v/>
      </c>
      <c r="L174" s="207"/>
      <c r="M174" s="211" t="str">
        <f t="shared" si="24"/>
        <v/>
      </c>
      <c r="N174" s="207"/>
      <c r="O174" s="211" t="str">
        <f t="shared" si="25"/>
        <v/>
      </c>
      <c r="P174" s="207"/>
      <c r="Q174" s="211" t="str">
        <f t="shared" si="26"/>
        <v/>
      </c>
      <c r="R174" s="207"/>
      <c r="S174" s="211" t="str">
        <f t="shared" si="27"/>
        <v/>
      </c>
      <c r="T174" s="272" t="str">
        <f t="shared" si="28"/>
        <v/>
      </c>
      <c r="U174" s="212" t="str">
        <f t="shared" si="29"/>
        <v/>
      </c>
    </row>
    <row r="175" spans="2:21" x14ac:dyDescent="0.25">
      <c r="B175" s="241" t="str">
        <f>IF(Contagem!B173=0,"",Contagem!B173)</f>
        <v/>
      </c>
      <c r="C175" s="242" t="str">
        <f>IF(Contagem!T173 &gt; 0,Contagem!T173,"")</f>
        <v/>
      </c>
      <c r="D175" s="207"/>
      <c r="E175" s="211" t="str">
        <f t="shared" si="20"/>
        <v/>
      </c>
      <c r="F175" s="207"/>
      <c r="G175" s="211" t="str">
        <f t="shared" si="21"/>
        <v/>
      </c>
      <c r="H175" s="207"/>
      <c r="I175" s="211" t="str">
        <f t="shared" si="22"/>
        <v/>
      </c>
      <c r="J175" s="207"/>
      <c r="K175" s="211" t="str">
        <f t="shared" si="23"/>
        <v/>
      </c>
      <c r="L175" s="207"/>
      <c r="M175" s="211" t="str">
        <f t="shared" si="24"/>
        <v/>
      </c>
      <c r="N175" s="207"/>
      <c r="O175" s="211" t="str">
        <f t="shared" si="25"/>
        <v/>
      </c>
      <c r="P175" s="207"/>
      <c r="Q175" s="211" t="str">
        <f t="shared" si="26"/>
        <v/>
      </c>
      <c r="R175" s="207"/>
      <c r="S175" s="211" t="str">
        <f t="shared" si="27"/>
        <v/>
      </c>
      <c r="T175" s="272" t="str">
        <f t="shared" si="28"/>
        <v/>
      </c>
      <c r="U175" s="212" t="str">
        <f t="shared" si="29"/>
        <v/>
      </c>
    </row>
    <row r="176" spans="2:21" x14ac:dyDescent="0.25">
      <c r="B176" s="241" t="str">
        <f>IF(Contagem!B174=0,"",Contagem!B174)</f>
        <v/>
      </c>
      <c r="C176" s="242" t="str">
        <f>IF(Contagem!T174 &gt; 0,Contagem!T174,"")</f>
        <v/>
      </c>
      <c r="D176" s="207"/>
      <c r="E176" s="211" t="str">
        <f t="shared" si="20"/>
        <v/>
      </c>
      <c r="F176" s="207"/>
      <c r="G176" s="211" t="str">
        <f t="shared" si="21"/>
        <v/>
      </c>
      <c r="H176" s="207"/>
      <c r="I176" s="211" t="str">
        <f t="shared" si="22"/>
        <v/>
      </c>
      <c r="J176" s="207"/>
      <c r="K176" s="211" t="str">
        <f t="shared" si="23"/>
        <v/>
      </c>
      <c r="L176" s="207"/>
      <c r="M176" s="211" t="str">
        <f t="shared" si="24"/>
        <v/>
      </c>
      <c r="N176" s="207"/>
      <c r="O176" s="211" t="str">
        <f t="shared" si="25"/>
        <v/>
      </c>
      <c r="P176" s="207"/>
      <c r="Q176" s="211" t="str">
        <f t="shared" si="26"/>
        <v/>
      </c>
      <c r="R176" s="207"/>
      <c r="S176" s="211" t="str">
        <f t="shared" si="27"/>
        <v/>
      </c>
      <c r="T176" s="272" t="str">
        <f t="shared" si="28"/>
        <v/>
      </c>
      <c r="U176" s="212" t="str">
        <f t="shared" si="29"/>
        <v/>
      </c>
    </row>
    <row r="177" spans="2:21" x14ac:dyDescent="0.25">
      <c r="B177" s="241" t="str">
        <f>IF(Contagem!B175=0,"",Contagem!B175)</f>
        <v/>
      </c>
      <c r="C177" s="242" t="str">
        <f>IF(Contagem!T175 &gt; 0,Contagem!T175,"")</f>
        <v/>
      </c>
      <c r="D177" s="207"/>
      <c r="E177" s="211" t="str">
        <f t="shared" si="20"/>
        <v/>
      </c>
      <c r="F177" s="207"/>
      <c r="G177" s="211" t="str">
        <f t="shared" si="21"/>
        <v/>
      </c>
      <c r="H177" s="207"/>
      <c r="I177" s="211" t="str">
        <f t="shared" si="22"/>
        <v/>
      </c>
      <c r="J177" s="207"/>
      <c r="K177" s="211" t="str">
        <f t="shared" si="23"/>
        <v/>
      </c>
      <c r="L177" s="207"/>
      <c r="M177" s="211" t="str">
        <f t="shared" si="24"/>
        <v/>
      </c>
      <c r="N177" s="207"/>
      <c r="O177" s="211" t="str">
        <f t="shared" si="25"/>
        <v/>
      </c>
      <c r="P177" s="207"/>
      <c r="Q177" s="211" t="str">
        <f t="shared" si="26"/>
        <v/>
      </c>
      <c r="R177" s="207"/>
      <c r="S177" s="211" t="str">
        <f t="shared" si="27"/>
        <v/>
      </c>
      <c r="T177" s="272" t="str">
        <f t="shared" si="28"/>
        <v/>
      </c>
      <c r="U177" s="212" t="str">
        <f t="shared" si="29"/>
        <v/>
      </c>
    </row>
    <row r="178" spans="2:21" x14ac:dyDescent="0.25">
      <c r="B178" s="241" t="str">
        <f>IF(Contagem!B176=0,"",Contagem!B176)</f>
        <v/>
      </c>
      <c r="C178" s="242" t="str">
        <f>IF(Contagem!T176 &gt; 0,Contagem!T176,"")</f>
        <v/>
      </c>
      <c r="D178" s="207"/>
      <c r="E178" s="211" t="str">
        <f t="shared" si="20"/>
        <v/>
      </c>
      <c r="F178" s="207"/>
      <c r="G178" s="211" t="str">
        <f t="shared" si="21"/>
        <v/>
      </c>
      <c r="H178" s="207"/>
      <c r="I178" s="211" t="str">
        <f t="shared" si="22"/>
        <v/>
      </c>
      <c r="J178" s="207"/>
      <c r="K178" s="211" t="str">
        <f t="shared" si="23"/>
        <v/>
      </c>
      <c r="L178" s="207"/>
      <c r="M178" s="211" t="str">
        <f t="shared" si="24"/>
        <v/>
      </c>
      <c r="N178" s="207"/>
      <c r="O178" s="211" t="str">
        <f t="shared" si="25"/>
        <v/>
      </c>
      <c r="P178" s="207"/>
      <c r="Q178" s="211" t="str">
        <f t="shared" si="26"/>
        <v/>
      </c>
      <c r="R178" s="207"/>
      <c r="S178" s="211" t="str">
        <f t="shared" si="27"/>
        <v/>
      </c>
      <c r="T178" s="272" t="str">
        <f t="shared" si="28"/>
        <v/>
      </c>
      <c r="U178" s="212" t="str">
        <f t="shared" si="29"/>
        <v/>
      </c>
    </row>
    <row r="179" spans="2:21" x14ac:dyDescent="0.25">
      <c r="B179" s="241" t="str">
        <f>IF(Contagem!B177=0,"",Contagem!B177)</f>
        <v/>
      </c>
      <c r="C179" s="242" t="str">
        <f>IF(Contagem!T177 &gt; 0,Contagem!T177,"")</f>
        <v/>
      </c>
      <c r="D179" s="207"/>
      <c r="E179" s="211" t="str">
        <f t="shared" si="20"/>
        <v/>
      </c>
      <c r="F179" s="207"/>
      <c r="G179" s="211" t="str">
        <f t="shared" si="21"/>
        <v/>
      </c>
      <c r="H179" s="207"/>
      <c r="I179" s="211" t="str">
        <f t="shared" si="22"/>
        <v/>
      </c>
      <c r="J179" s="207"/>
      <c r="K179" s="211" t="str">
        <f t="shared" si="23"/>
        <v/>
      </c>
      <c r="L179" s="207"/>
      <c r="M179" s="211" t="str">
        <f t="shared" si="24"/>
        <v/>
      </c>
      <c r="N179" s="207"/>
      <c r="O179" s="211" t="str">
        <f t="shared" si="25"/>
        <v/>
      </c>
      <c r="P179" s="207"/>
      <c r="Q179" s="211" t="str">
        <f t="shared" si="26"/>
        <v/>
      </c>
      <c r="R179" s="207"/>
      <c r="S179" s="211" t="str">
        <f t="shared" si="27"/>
        <v/>
      </c>
      <c r="T179" s="272" t="str">
        <f t="shared" si="28"/>
        <v/>
      </c>
      <c r="U179" s="212" t="str">
        <f t="shared" si="29"/>
        <v/>
      </c>
    </row>
    <row r="180" spans="2:21" x14ac:dyDescent="0.25">
      <c r="B180" s="241" t="str">
        <f>IF(Contagem!B178=0,"",Contagem!B178)</f>
        <v/>
      </c>
      <c r="C180" s="242" t="str">
        <f>IF(Contagem!T178 &gt; 0,Contagem!T178,"")</f>
        <v/>
      </c>
      <c r="D180" s="207"/>
      <c r="E180" s="211" t="str">
        <f t="shared" si="20"/>
        <v/>
      </c>
      <c r="F180" s="207"/>
      <c r="G180" s="211" t="str">
        <f t="shared" si="21"/>
        <v/>
      </c>
      <c r="H180" s="207"/>
      <c r="I180" s="211" t="str">
        <f t="shared" si="22"/>
        <v/>
      </c>
      <c r="J180" s="207"/>
      <c r="K180" s="211" t="str">
        <f t="shared" si="23"/>
        <v/>
      </c>
      <c r="L180" s="207"/>
      <c r="M180" s="211" t="str">
        <f t="shared" si="24"/>
        <v/>
      </c>
      <c r="N180" s="207"/>
      <c r="O180" s="211" t="str">
        <f t="shared" si="25"/>
        <v/>
      </c>
      <c r="P180" s="207"/>
      <c r="Q180" s="211" t="str">
        <f t="shared" si="26"/>
        <v/>
      </c>
      <c r="R180" s="207"/>
      <c r="S180" s="211" t="str">
        <f t="shared" si="27"/>
        <v/>
      </c>
      <c r="T180" s="272" t="str">
        <f t="shared" si="28"/>
        <v/>
      </c>
      <c r="U180" s="212" t="str">
        <f t="shared" si="29"/>
        <v/>
      </c>
    </row>
    <row r="181" spans="2:21" x14ac:dyDescent="0.25">
      <c r="B181" s="241" t="str">
        <f>IF(Contagem!B179=0,"",Contagem!B179)</f>
        <v/>
      </c>
      <c r="C181" s="242" t="str">
        <f>IF(Contagem!T179 &gt; 0,Contagem!T179,"")</f>
        <v/>
      </c>
      <c r="D181" s="207"/>
      <c r="E181" s="211" t="str">
        <f t="shared" si="20"/>
        <v/>
      </c>
      <c r="F181" s="207"/>
      <c r="G181" s="211" t="str">
        <f t="shared" si="21"/>
        <v/>
      </c>
      <c r="H181" s="207"/>
      <c r="I181" s="211" t="str">
        <f t="shared" si="22"/>
        <v/>
      </c>
      <c r="J181" s="207"/>
      <c r="K181" s="211" t="str">
        <f t="shared" si="23"/>
        <v/>
      </c>
      <c r="L181" s="207"/>
      <c r="M181" s="211" t="str">
        <f t="shared" si="24"/>
        <v/>
      </c>
      <c r="N181" s="207"/>
      <c r="O181" s="211" t="str">
        <f t="shared" si="25"/>
        <v/>
      </c>
      <c r="P181" s="207"/>
      <c r="Q181" s="211" t="str">
        <f t="shared" si="26"/>
        <v/>
      </c>
      <c r="R181" s="207"/>
      <c r="S181" s="211" t="str">
        <f t="shared" si="27"/>
        <v/>
      </c>
      <c r="T181" s="272" t="str">
        <f t="shared" si="28"/>
        <v/>
      </c>
      <c r="U181" s="212" t="str">
        <f t="shared" si="29"/>
        <v/>
      </c>
    </row>
    <row r="182" spans="2:21" x14ac:dyDescent="0.25">
      <c r="B182" s="241" t="str">
        <f>IF(Contagem!B180=0,"",Contagem!B180)</f>
        <v/>
      </c>
      <c r="C182" s="242" t="str">
        <f>IF(Contagem!T180 &gt; 0,Contagem!T180,"")</f>
        <v/>
      </c>
      <c r="D182" s="207"/>
      <c r="E182" s="211" t="str">
        <f t="shared" si="20"/>
        <v/>
      </c>
      <c r="F182" s="207"/>
      <c r="G182" s="211" t="str">
        <f t="shared" si="21"/>
        <v/>
      </c>
      <c r="H182" s="207"/>
      <c r="I182" s="211" t="str">
        <f t="shared" si="22"/>
        <v/>
      </c>
      <c r="J182" s="207"/>
      <c r="K182" s="211" t="str">
        <f t="shared" si="23"/>
        <v/>
      </c>
      <c r="L182" s="207"/>
      <c r="M182" s="211" t="str">
        <f t="shared" si="24"/>
        <v/>
      </c>
      <c r="N182" s="207"/>
      <c r="O182" s="211" t="str">
        <f t="shared" si="25"/>
        <v/>
      </c>
      <c r="P182" s="207"/>
      <c r="Q182" s="211" t="str">
        <f t="shared" si="26"/>
        <v/>
      </c>
      <c r="R182" s="207"/>
      <c r="S182" s="211" t="str">
        <f t="shared" si="27"/>
        <v/>
      </c>
      <c r="T182" s="272" t="str">
        <f t="shared" si="28"/>
        <v/>
      </c>
      <c r="U182" s="212" t="str">
        <f t="shared" si="29"/>
        <v/>
      </c>
    </row>
    <row r="183" spans="2:21" x14ac:dyDescent="0.25">
      <c r="B183" s="241" t="str">
        <f>IF(Contagem!B181=0,"",Contagem!B181)</f>
        <v/>
      </c>
      <c r="C183" s="242" t="str">
        <f>IF(Contagem!T181 &gt; 0,Contagem!T181,"")</f>
        <v/>
      </c>
      <c r="D183" s="207"/>
      <c r="E183" s="211" t="str">
        <f t="shared" si="20"/>
        <v/>
      </c>
      <c r="F183" s="207"/>
      <c r="G183" s="211" t="str">
        <f t="shared" si="21"/>
        <v/>
      </c>
      <c r="H183" s="207"/>
      <c r="I183" s="211" t="str">
        <f t="shared" si="22"/>
        <v/>
      </c>
      <c r="J183" s="207"/>
      <c r="K183" s="211" t="str">
        <f t="shared" si="23"/>
        <v/>
      </c>
      <c r="L183" s="207"/>
      <c r="M183" s="211" t="str">
        <f t="shared" si="24"/>
        <v/>
      </c>
      <c r="N183" s="207"/>
      <c r="O183" s="211" t="str">
        <f t="shared" si="25"/>
        <v/>
      </c>
      <c r="P183" s="207"/>
      <c r="Q183" s="211" t="str">
        <f t="shared" si="26"/>
        <v/>
      </c>
      <c r="R183" s="207"/>
      <c r="S183" s="211" t="str">
        <f t="shared" si="27"/>
        <v/>
      </c>
      <c r="T183" s="272" t="str">
        <f t="shared" si="28"/>
        <v/>
      </c>
      <c r="U183" s="212" t="str">
        <f t="shared" si="29"/>
        <v/>
      </c>
    </row>
    <row r="184" spans="2:21" x14ac:dyDescent="0.25">
      <c r="B184" s="241" t="str">
        <f>IF(Contagem!B182=0,"",Contagem!B182)</f>
        <v/>
      </c>
      <c r="C184" s="242" t="str">
        <f>IF(Contagem!T182 &gt; 0,Contagem!T182,"")</f>
        <v/>
      </c>
      <c r="D184" s="207"/>
      <c r="E184" s="211" t="str">
        <f t="shared" si="20"/>
        <v/>
      </c>
      <c r="F184" s="207"/>
      <c r="G184" s="211" t="str">
        <f t="shared" si="21"/>
        <v/>
      </c>
      <c r="H184" s="207"/>
      <c r="I184" s="211" t="str">
        <f t="shared" si="22"/>
        <v/>
      </c>
      <c r="J184" s="207"/>
      <c r="K184" s="211" t="str">
        <f t="shared" si="23"/>
        <v/>
      </c>
      <c r="L184" s="207"/>
      <c r="M184" s="211" t="str">
        <f t="shared" si="24"/>
        <v/>
      </c>
      <c r="N184" s="207"/>
      <c r="O184" s="211" t="str">
        <f t="shared" si="25"/>
        <v/>
      </c>
      <c r="P184" s="207"/>
      <c r="Q184" s="211" t="str">
        <f t="shared" si="26"/>
        <v/>
      </c>
      <c r="R184" s="207"/>
      <c r="S184" s="211" t="str">
        <f t="shared" si="27"/>
        <v/>
      </c>
      <c r="T184" s="272" t="str">
        <f t="shared" si="28"/>
        <v/>
      </c>
      <c r="U184" s="212" t="str">
        <f t="shared" si="29"/>
        <v/>
      </c>
    </row>
    <row r="185" spans="2:21" x14ac:dyDescent="0.25">
      <c r="B185" s="241" t="str">
        <f>IF(Contagem!B183=0,"",Contagem!B183)</f>
        <v/>
      </c>
      <c r="C185" s="242" t="str">
        <f>IF(Contagem!T183 &gt; 0,Contagem!T183,"")</f>
        <v/>
      </c>
      <c r="D185" s="207"/>
      <c r="E185" s="211" t="str">
        <f t="shared" si="20"/>
        <v/>
      </c>
      <c r="F185" s="207"/>
      <c r="G185" s="211" t="str">
        <f t="shared" si="21"/>
        <v/>
      </c>
      <c r="H185" s="207"/>
      <c r="I185" s="211" t="str">
        <f t="shared" si="22"/>
        <v/>
      </c>
      <c r="J185" s="207"/>
      <c r="K185" s="211" t="str">
        <f t="shared" si="23"/>
        <v/>
      </c>
      <c r="L185" s="207"/>
      <c r="M185" s="211" t="str">
        <f t="shared" si="24"/>
        <v/>
      </c>
      <c r="N185" s="207"/>
      <c r="O185" s="211" t="str">
        <f t="shared" si="25"/>
        <v/>
      </c>
      <c r="P185" s="207"/>
      <c r="Q185" s="211" t="str">
        <f t="shared" si="26"/>
        <v/>
      </c>
      <c r="R185" s="207"/>
      <c r="S185" s="211" t="str">
        <f t="shared" si="27"/>
        <v/>
      </c>
      <c r="T185" s="272" t="str">
        <f t="shared" si="28"/>
        <v/>
      </c>
      <c r="U185" s="212" t="str">
        <f t="shared" si="29"/>
        <v/>
      </c>
    </row>
    <row r="186" spans="2:21" x14ac:dyDescent="0.25">
      <c r="B186" s="241" t="str">
        <f>IF(Contagem!B184=0,"",Contagem!B184)</f>
        <v/>
      </c>
      <c r="C186" s="242" t="str">
        <f>IF(Contagem!T184 &gt; 0,Contagem!T184,"")</f>
        <v/>
      </c>
      <c r="D186" s="207"/>
      <c r="E186" s="211" t="str">
        <f t="shared" si="20"/>
        <v/>
      </c>
      <c r="F186" s="207"/>
      <c r="G186" s="211" t="str">
        <f t="shared" si="21"/>
        <v/>
      </c>
      <c r="H186" s="207"/>
      <c r="I186" s="211" t="str">
        <f t="shared" si="22"/>
        <v/>
      </c>
      <c r="J186" s="207"/>
      <c r="K186" s="211" t="str">
        <f t="shared" si="23"/>
        <v/>
      </c>
      <c r="L186" s="207"/>
      <c r="M186" s="211" t="str">
        <f t="shared" si="24"/>
        <v/>
      </c>
      <c r="N186" s="207"/>
      <c r="O186" s="211" t="str">
        <f t="shared" si="25"/>
        <v/>
      </c>
      <c r="P186" s="207"/>
      <c r="Q186" s="211" t="str">
        <f t="shared" si="26"/>
        <v/>
      </c>
      <c r="R186" s="207"/>
      <c r="S186" s="211" t="str">
        <f t="shared" si="27"/>
        <v/>
      </c>
      <c r="T186" s="272" t="str">
        <f t="shared" si="28"/>
        <v/>
      </c>
      <c r="U186" s="212" t="str">
        <f t="shared" si="29"/>
        <v/>
      </c>
    </row>
    <row r="187" spans="2:21" x14ac:dyDescent="0.25">
      <c r="B187" s="241" t="str">
        <f>IF(Contagem!B185=0,"",Contagem!B185)</f>
        <v/>
      </c>
      <c r="C187" s="242" t="str">
        <f>IF(Contagem!T185 &gt; 0,Contagem!T185,"")</f>
        <v/>
      </c>
      <c r="D187" s="207"/>
      <c r="E187" s="211" t="str">
        <f t="shared" si="20"/>
        <v/>
      </c>
      <c r="F187" s="207"/>
      <c r="G187" s="211" t="str">
        <f t="shared" si="21"/>
        <v/>
      </c>
      <c r="H187" s="207"/>
      <c r="I187" s="211" t="str">
        <f t="shared" si="22"/>
        <v/>
      </c>
      <c r="J187" s="207"/>
      <c r="K187" s="211" t="str">
        <f t="shared" si="23"/>
        <v/>
      </c>
      <c r="L187" s="207"/>
      <c r="M187" s="211" t="str">
        <f t="shared" si="24"/>
        <v/>
      </c>
      <c r="N187" s="207"/>
      <c r="O187" s="211" t="str">
        <f t="shared" si="25"/>
        <v/>
      </c>
      <c r="P187" s="207"/>
      <c r="Q187" s="211" t="str">
        <f t="shared" si="26"/>
        <v/>
      </c>
      <c r="R187" s="207"/>
      <c r="S187" s="211" t="str">
        <f t="shared" si="27"/>
        <v/>
      </c>
      <c r="T187" s="272" t="str">
        <f t="shared" si="28"/>
        <v/>
      </c>
      <c r="U187" s="212" t="str">
        <f t="shared" si="29"/>
        <v/>
      </c>
    </row>
    <row r="188" spans="2:21" x14ac:dyDescent="0.25">
      <c r="B188" s="241" t="str">
        <f>IF(Contagem!B186=0,"",Contagem!B186)</f>
        <v/>
      </c>
      <c r="C188" s="242" t="str">
        <f>IF(Contagem!T186 &gt; 0,Contagem!T186,"")</f>
        <v/>
      </c>
      <c r="D188" s="207"/>
      <c r="E188" s="211" t="str">
        <f t="shared" si="20"/>
        <v/>
      </c>
      <c r="F188" s="207"/>
      <c r="G188" s="211" t="str">
        <f t="shared" si="21"/>
        <v/>
      </c>
      <c r="H188" s="207"/>
      <c r="I188" s="211" t="str">
        <f t="shared" si="22"/>
        <v/>
      </c>
      <c r="J188" s="207"/>
      <c r="K188" s="211" t="str">
        <f t="shared" si="23"/>
        <v/>
      </c>
      <c r="L188" s="207"/>
      <c r="M188" s="211" t="str">
        <f t="shared" si="24"/>
        <v/>
      </c>
      <c r="N188" s="207"/>
      <c r="O188" s="211" t="str">
        <f t="shared" si="25"/>
        <v/>
      </c>
      <c r="P188" s="207"/>
      <c r="Q188" s="211" t="str">
        <f t="shared" si="26"/>
        <v/>
      </c>
      <c r="R188" s="207"/>
      <c r="S188" s="211" t="str">
        <f t="shared" si="27"/>
        <v/>
      </c>
      <c r="T188" s="272" t="str">
        <f t="shared" si="28"/>
        <v/>
      </c>
      <c r="U188" s="212" t="str">
        <f t="shared" si="29"/>
        <v/>
      </c>
    </row>
    <row r="189" spans="2:21" x14ac:dyDescent="0.25">
      <c r="B189" s="241" t="str">
        <f>IF(Contagem!B187=0,"",Contagem!B187)</f>
        <v/>
      </c>
      <c r="C189" s="242" t="str">
        <f>IF(Contagem!T187 &gt; 0,Contagem!T187,"")</f>
        <v/>
      </c>
      <c r="D189" s="207"/>
      <c r="E189" s="211" t="str">
        <f t="shared" si="20"/>
        <v/>
      </c>
      <c r="F189" s="207"/>
      <c r="G189" s="211" t="str">
        <f t="shared" si="21"/>
        <v/>
      </c>
      <c r="H189" s="207"/>
      <c r="I189" s="211" t="str">
        <f t="shared" si="22"/>
        <v/>
      </c>
      <c r="J189" s="207"/>
      <c r="K189" s="211" t="str">
        <f t="shared" si="23"/>
        <v/>
      </c>
      <c r="L189" s="207"/>
      <c r="M189" s="211" t="str">
        <f t="shared" si="24"/>
        <v/>
      </c>
      <c r="N189" s="207"/>
      <c r="O189" s="211" t="str">
        <f t="shared" si="25"/>
        <v/>
      </c>
      <c r="P189" s="207"/>
      <c r="Q189" s="211" t="str">
        <f t="shared" si="26"/>
        <v/>
      </c>
      <c r="R189" s="207"/>
      <c r="S189" s="211" t="str">
        <f t="shared" si="27"/>
        <v/>
      </c>
      <c r="T189" s="272" t="str">
        <f t="shared" si="28"/>
        <v/>
      </c>
      <c r="U189" s="212" t="str">
        <f t="shared" si="29"/>
        <v/>
      </c>
    </row>
    <row r="190" spans="2:21" x14ac:dyDescent="0.25">
      <c r="B190" s="241" t="str">
        <f>IF(Contagem!B188=0,"",Contagem!B188)</f>
        <v/>
      </c>
      <c r="C190" s="242" t="str">
        <f>IF(Contagem!T188 &gt; 0,Contagem!T188,"")</f>
        <v/>
      </c>
      <c r="D190" s="207"/>
      <c r="E190" s="211" t="str">
        <f t="shared" si="20"/>
        <v/>
      </c>
      <c r="F190" s="207"/>
      <c r="G190" s="211" t="str">
        <f t="shared" si="21"/>
        <v/>
      </c>
      <c r="H190" s="207"/>
      <c r="I190" s="211" t="str">
        <f t="shared" si="22"/>
        <v/>
      </c>
      <c r="J190" s="207"/>
      <c r="K190" s="211" t="str">
        <f t="shared" si="23"/>
        <v/>
      </c>
      <c r="L190" s="207"/>
      <c r="M190" s="211" t="str">
        <f t="shared" si="24"/>
        <v/>
      </c>
      <c r="N190" s="207"/>
      <c r="O190" s="211" t="str">
        <f t="shared" si="25"/>
        <v/>
      </c>
      <c r="P190" s="207"/>
      <c r="Q190" s="211" t="str">
        <f t="shared" si="26"/>
        <v/>
      </c>
      <c r="R190" s="207"/>
      <c r="S190" s="211" t="str">
        <f t="shared" si="27"/>
        <v/>
      </c>
      <c r="T190" s="272" t="str">
        <f t="shared" si="28"/>
        <v/>
      </c>
      <c r="U190" s="212" t="str">
        <f t="shared" si="29"/>
        <v/>
      </c>
    </row>
    <row r="191" spans="2:21" x14ac:dyDescent="0.25">
      <c r="B191" s="241" t="str">
        <f>IF(Contagem!B189=0,"",Contagem!B189)</f>
        <v/>
      </c>
      <c r="C191" s="242" t="str">
        <f>IF(Contagem!T189 &gt; 0,Contagem!T189,"")</f>
        <v/>
      </c>
      <c r="D191" s="207"/>
      <c r="E191" s="211" t="str">
        <f t="shared" si="20"/>
        <v/>
      </c>
      <c r="F191" s="207"/>
      <c r="G191" s="211" t="str">
        <f t="shared" si="21"/>
        <v/>
      </c>
      <c r="H191" s="207"/>
      <c r="I191" s="211" t="str">
        <f t="shared" si="22"/>
        <v/>
      </c>
      <c r="J191" s="207"/>
      <c r="K191" s="211" t="str">
        <f t="shared" si="23"/>
        <v/>
      </c>
      <c r="L191" s="207"/>
      <c r="M191" s="211" t="str">
        <f t="shared" si="24"/>
        <v/>
      </c>
      <c r="N191" s="207"/>
      <c r="O191" s="211" t="str">
        <f t="shared" si="25"/>
        <v/>
      </c>
      <c r="P191" s="207"/>
      <c r="Q191" s="211" t="str">
        <f t="shared" si="26"/>
        <v/>
      </c>
      <c r="R191" s="207"/>
      <c r="S191" s="211" t="str">
        <f t="shared" si="27"/>
        <v/>
      </c>
      <c r="T191" s="272" t="str">
        <f t="shared" si="28"/>
        <v/>
      </c>
      <c r="U191" s="212" t="str">
        <f t="shared" si="29"/>
        <v/>
      </c>
    </row>
    <row r="192" spans="2:21" x14ac:dyDescent="0.25">
      <c r="B192" s="241" t="str">
        <f>IF(Contagem!B190=0,"",Contagem!B190)</f>
        <v/>
      </c>
      <c r="C192" s="242" t="str">
        <f>IF(Contagem!T190 &gt; 0,Contagem!T190,"")</f>
        <v/>
      </c>
      <c r="D192" s="207"/>
      <c r="E192" s="211" t="str">
        <f t="shared" si="20"/>
        <v/>
      </c>
      <c r="F192" s="207"/>
      <c r="G192" s="211" t="str">
        <f t="shared" si="21"/>
        <v/>
      </c>
      <c r="H192" s="207"/>
      <c r="I192" s="211" t="str">
        <f t="shared" si="22"/>
        <v/>
      </c>
      <c r="J192" s="207"/>
      <c r="K192" s="211" t="str">
        <f t="shared" si="23"/>
        <v/>
      </c>
      <c r="L192" s="207"/>
      <c r="M192" s="211" t="str">
        <f t="shared" si="24"/>
        <v/>
      </c>
      <c r="N192" s="207"/>
      <c r="O192" s="211" t="str">
        <f t="shared" si="25"/>
        <v/>
      </c>
      <c r="P192" s="207"/>
      <c r="Q192" s="211" t="str">
        <f t="shared" si="26"/>
        <v/>
      </c>
      <c r="R192" s="207"/>
      <c r="S192" s="211" t="str">
        <f t="shared" si="27"/>
        <v/>
      </c>
      <c r="T192" s="272" t="str">
        <f t="shared" si="28"/>
        <v/>
      </c>
      <c r="U192" s="212" t="str">
        <f t="shared" si="29"/>
        <v/>
      </c>
    </row>
    <row r="193" spans="2:21" x14ac:dyDescent="0.25">
      <c r="B193" s="241" t="str">
        <f>IF(Contagem!B191=0,"",Contagem!B191)</f>
        <v/>
      </c>
      <c r="C193" s="242" t="str">
        <f>IF(Contagem!T191 &gt; 0,Contagem!T191,"")</f>
        <v/>
      </c>
      <c r="D193" s="207"/>
      <c r="E193" s="211" t="str">
        <f t="shared" si="20"/>
        <v/>
      </c>
      <c r="F193" s="207"/>
      <c r="G193" s="211" t="str">
        <f t="shared" si="21"/>
        <v/>
      </c>
      <c r="H193" s="207"/>
      <c r="I193" s="211" t="str">
        <f t="shared" si="22"/>
        <v/>
      </c>
      <c r="J193" s="207"/>
      <c r="K193" s="211" t="str">
        <f t="shared" si="23"/>
        <v/>
      </c>
      <c r="L193" s="207"/>
      <c r="M193" s="211" t="str">
        <f t="shared" si="24"/>
        <v/>
      </c>
      <c r="N193" s="207"/>
      <c r="O193" s="211" t="str">
        <f t="shared" si="25"/>
        <v/>
      </c>
      <c r="P193" s="207"/>
      <c r="Q193" s="211" t="str">
        <f t="shared" si="26"/>
        <v/>
      </c>
      <c r="R193" s="207"/>
      <c r="S193" s="211" t="str">
        <f t="shared" si="27"/>
        <v/>
      </c>
      <c r="T193" s="272" t="str">
        <f t="shared" si="28"/>
        <v/>
      </c>
      <c r="U193" s="212" t="str">
        <f t="shared" si="29"/>
        <v/>
      </c>
    </row>
    <row r="194" spans="2:21" x14ac:dyDescent="0.25">
      <c r="B194" s="241" t="str">
        <f>IF(Contagem!B192=0,"",Contagem!B192)</f>
        <v/>
      </c>
      <c r="C194" s="242" t="str">
        <f>IF(Contagem!T192 &gt; 0,Contagem!T192,"")</f>
        <v/>
      </c>
      <c r="D194" s="207"/>
      <c r="E194" s="211" t="str">
        <f t="shared" si="20"/>
        <v/>
      </c>
      <c r="F194" s="207"/>
      <c r="G194" s="211" t="str">
        <f t="shared" si="21"/>
        <v/>
      </c>
      <c r="H194" s="207"/>
      <c r="I194" s="211" t="str">
        <f t="shared" si="22"/>
        <v/>
      </c>
      <c r="J194" s="207"/>
      <c r="K194" s="211" t="str">
        <f t="shared" si="23"/>
        <v/>
      </c>
      <c r="L194" s="207"/>
      <c r="M194" s="211" t="str">
        <f t="shared" si="24"/>
        <v/>
      </c>
      <c r="N194" s="207"/>
      <c r="O194" s="211" t="str">
        <f t="shared" si="25"/>
        <v/>
      </c>
      <c r="P194" s="207"/>
      <c r="Q194" s="211" t="str">
        <f t="shared" si="26"/>
        <v/>
      </c>
      <c r="R194" s="207"/>
      <c r="S194" s="211" t="str">
        <f t="shared" si="27"/>
        <v/>
      </c>
      <c r="T194" s="272" t="str">
        <f t="shared" si="28"/>
        <v/>
      </c>
      <c r="U194" s="212" t="str">
        <f t="shared" si="29"/>
        <v/>
      </c>
    </row>
    <row r="195" spans="2:21" x14ac:dyDescent="0.25">
      <c r="B195" s="241" t="str">
        <f>IF(Contagem!B193=0,"",Contagem!B193)</f>
        <v/>
      </c>
      <c r="C195" s="242" t="str">
        <f>IF(Contagem!T193 &gt; 0,Contagem!T193,"")</f>
        <v/>
      </c>
      <c r="D195" s="207"/>
      <c r="E195" s="211" t="str">
        <f t="shared" si="20"/>
        <v/>
      </c>
      <c r="F195" s="207"/>
      <c r="G195" s="211" t="str">
        <f t="shared" si="21"/>
        <v/>
      </c>
      <c r="H195" s="207"/>
      <c r="I195" s="211" t="str">
        <f t="shared" si="22"/>
        <v/>
      </c>
      <c r="J195" s="207"/>
      <c r="K195" s="211" t="str">
        <f t="shared" si="23"/>
        <v/>
      </c>
      <c r="L195" s="207"/>
      <c r="M195" s="211" t="str">
        <f t="shared" si="24"/>
        <v/>
      </c>
      <c r="N195" s="207"/>
      <c r="O195" s="211" t="str">
        <f t="shared" si="25"/>
        <v/>
      </c>
      <c r="P195" s="207"/>
      <c r="Q195" s="211" t="str">
        <f t="shared" si="26"/>
        <v/>
      </c>
      <c r="R195" s="207"/>
      <c r="S195" s="211" t="str">
        <f t="shared" si="27"/>
        <v/>
      </c>
      <c r="T195" s="272" t="str">
        <f t="shared" si="28"/>
        <v/>
      </c>
      <c r="U195" s="212" t="str">
        <f t="shared" si="29"/>
        <v/>
      </c>
    </row>
    <row r="196" spans="2:21" x14ac:dyDescent="0.25">
      <c r="B196" s="241" t="str">
        <f>IF(Contagem!B194=0,"",Contagem!B194)</f>
        <v/>
      </c>
      <c r="C196" s="242" t="str">
        <f>IF(Contagem!T194 &gt; 0,Contagem!T194,"")</f>
        <v/>
      </c>
      <c r="D196" s="207"/>
      <c r="E196" s="211" t="str">
        <f t="shared" si="20"/>
        <v/>
      </c>
      <c r="F196" s="207"/>
      <c r="G196" s="211" t="str">
        <f t="shared" si="21"/>
        <v/>
      </c>
      <c r="H196" s="207"/>
      <c r="I196" s="211" t="str">
        <f t="shared" si="22"/>
        <v/>
      </c>
      <c r="J196" s="207"/>
      <c r="K196" s="211" t="str">
        <f t="shared" si="23"/>
        <v/>
      </c>
      <c r="L196" s="207"/>
      <c r="M196" s="211" t="str">
        <f t="shared" si="24"/>
        <v/>
      </c>
      <c r="N196" s="207"/>
      <c r="O196" s="211" t="str">
        <f t="shared" si="25"/>
        <v/>
      </c>
      <c r="P196" s="207"/>
      <c r="Q196" s="211" t="str">
        <f t="shared" si="26"/>
        <v/>
      </c>
      <c r="R196" s="207"/>
      <c r="S196" s="211" t="str">
        <f t="shared" si="27"/>
        <v/>
      </c>
      <c r="T196" s="272" t="str">
        <f t="shared" si="28"/>
        <v/>
      </c>
      <c r="U196" s="212" t="str">
        <f t="shared" si="29"/>
        <v/>
      </c>
    </row>
    <row r="197" spans="2:21" x14ac:dyDescent="0.25">
      <c r="B197" s="241" t="str">
        <f>IF(Contagem!B195=0,"",Contagem!B195)</f>
        <v/>
      </c>
      <c r="C197" s="242" t="str">
        <f>IF(Contagem!T195 &gt; 0,Contagem!T195,"")</f>
        <v/>
      </c>
      <c r="D197" s="207"/>
      <c r="E197" s="211" t="str">
        <f t="shared" si="20"/>
        <v/>
      </c>
      <c r="F197" s="207"/>
      <c r="G197" s="211" t="str">
        <f t="shared" si="21"/>
        <v/>
      </c>
      <c r="H197" s="207"/>
      <c r="I197" s="211" t="str">
        <f t="shared" si="22"/>
        <v/>
      </c>
      <c r="J197" s="207"/>
      <c r="K197" s="211" t="str">
        <f t="shared" si="23"/>
        <v/>
      </c>
      <c r="L197" s="207"/>
      <c r="M197" s="211" t="str">
        <f t="shared" si="24"/>
        <v/>
      </c>
      <c r="N197" s="207"/>
      <c r="O197" s="211" t="str">
        <f t="shared" si="25"/>
        <v/>
      </c>
      <c r="P197" s="207"/>
      <c r="Q197" s="211" t="str">
        <f t="shared" si="26"/>
        <v/>
      </c>
      <c r="R197" s="207"/>
      <c r="S197" s="211" t="str">
        <f t="shared" si="27"/>
        <v/>
      </c>
      <c r="T197" s="272" t="str">
        <f t="shared" si="28"/>
        <v/>
      </c>
      <c r="U197" s="212" t="str">
        <f t="shared" si="29"/>
        <v/>
      </c>
    </row>
    <row r="198" spans="2:21" x14ac:dyDescent="0.25">
      <c r="B198" s="241" t="str">
        <f>IF(Contagem!B196=0,"",Contagem!B196)</f>
        <v/>
      </c>
      <c r="C198" s="242" t="str">
        <f>IF(Contagem!T196 &gt; 0,Contagem!T196,"")</f>
        <v/>
      </c>
      <c r="D198" s="207"/>
      <c r="E198" s="211" t="str">
        <f t="shared" si="20"/>
        <v/>
      </c>
      <c r="F198" s="207"/>
      <c r="G198" s="211" t="str">
        <f t="shared" si="21"/>
        <v/>
      </c>
      <c r="H198" s="207"/>
      <c r="I198" s="211" t="str">
        <f t="shared" si="22"/>
        <v/>
      </c>
      <c r="J198" s="207"/>
      <c r="K198" s="211" t="str">
        <f t="shared" si="23"/>
        <v/>
      </c>
      <c r="L198" s="207"/>
      <c r="M198" s="211" t="str">
        <f t="shared" si="24"/>
        <v/>
      </c>
      <c r="N198" s="207"/>
      <c r="O198" s="211" t="str">
        <f t="shared" si="25"/>
        <v/>
      </c>
      <c r="P198" s="207"/>
      <c r="Q198" s="211" t="str">
        <f t="shared" si="26"/>
        <v/>
      </c>
      <c r="R198" s="207"/>
      <c r="S198" s="211" t="str">
        <f t="shared" si="27"/>
        <v/>
      </c>
      <c r="T198" s="272" t="str">
        <f t="shared" si="28"/>
        <v/>
      </c>
      <c r="U198" s="212" t="str">
        <f t="shared" si="29"/>
        <v/>
      </c>
    </row>
    <row r="199" spans="2:21" x14ac:dyDescent="0.25">
      <c r="B199" s="241" t="str">
        <f>IF(Contagem!B197=0,"",Contagem!B197)</f>
        <v/>
      </c>
      <c r="C199" s="242" t="str">
        <f>IF(Contagem!T197 &gt; 0,Contagem!T197,"")</f>
        <v/>
      </c>
      <c r="D199" s="207"/>
      <c r="E199" s="211" t="str">
        <f t="shared" ref="E199:E262" si="30">IFERROR(IF(AND($D$4&lt;&gt; 0,D199="Sim", $C199 &gt; 0),$C199*$D$4,""),0)</f>
        <v/>
      </c>
      <c r="F199" s="207"/>
      <c r="G199" s="211" t="str">
        <f t="shared" ref="G199:G262" si="31">IFERROR(IF(AND($F$4&lt;&gt; 0,F199="Sim", $C199 &gt; 0),$C199*$F$4,""),0)</f>
        <v/>
      </c>
      <c r="H199" s="207"/>
      <c r="I199" s="211" t="str">
        <f t="shared" ref="I199:I262" si="32">IFERROR(IF(AND($H$4&lt;&gt; 0,H199="Sim", $C199 &gt; 0),$C199*$H$4,""),0)</f>
        <v/>
      </c>
      <c r="J199" s="207"/>
      <c r="K199" s="211" t="str">
        <f t="shared" ref="K199:K262" si="33">IFERROR(IF(AND($J$4&lt;&gt; 0,J199="Sim", $C199 &gt; 0),$C199*$J$4,""),0)</f>
        <v/>
      </c>
      <c r="L199" s="207"/>
      <c r="M199" s="211" t="str">
        <f t="shared" ref="M199:M262" si="34">IFERROR(IF(AND($L$4&lt;&gt; 0,L199="Sim", $C199 &gt; 0),$C199*$L$4,""),0)</f>
        <v/>
      </c>
      <c r="N199" s="207"/>
      <c r="O199" s="211" t="str">
        <f t="shared" ref="O199:O262" si="35">IFERROR(IF(AND($N$4&lt;&gt; 0,N199="Sim", $C199 &gt; 0),$C199*$N$4,""),0)</f>
        <v/>
      </c>
      <c r="P199" s="207"/>
      <c r="Q199" s="211" t="str">
        <f t="shared" ref="Q199:Q262" si="36">IFERROR(IF(AND($P$4&lt;&gt; 0,P199="Sim", $C199 &gt; 0),$C199*$P$4,""),0)</f>
        <v/>
      </c>
      <c r="R199" s="207"/>
      <c r="S199" s="211" t="str">
        <f t="shared" ref="S199:S262" si="37">IFERROR(IF(AND($R$4&lt;&gt; 0,R199="Sim", $C199 &gt; 0),$C199*$R$4,""),0)</f>
        <v/>
      </c>
      <c r="T199" s="272" t="str">
        <f t="shared" ref="T199:T262" si="38">IFERROR(U199/C199,"")</f>
        <v/>
      </c>
      <c r="U199" s="212" t="str">
        <f t="shared" ref="U199:U262" si="39">IF(SUM(E199,G199,I199,K199,M199,O199,Q199,S199) &gt; 0,SUM(E199,G199,I199,K199,M199,O199,Q199,S199),"")</f>
        <v/>
      </c>
    </row>
    <row r="200" spans="2:21" x14ac:dyDescent="0.25">
      <c r="B200" s="241" t="str">
        <f>IF(Contagem!B198=0,"",Contagem!B198)</f>
        <v/>
      </c>
      <c r="C200" s="242" t="str">
        <f>IF(Contagem!T198 &gt; 0,Contagem!T198,"")</f>
        <v/>
      </c>
      <c r="D200" s="207"/>
      <c r="E200" s="211" t="str">
        <f t="shared" si="30"/>
        <v/>
      </c>
      <c r="F200" s="207"/>
      <c r="G200" s="211" t="str">
        <f t="shared" si="31"/>
        <v/>
      </c>
      <c r="H200" s="207"/>
      <c r="I200" s="211" t="str">
        <f t="shared" si="32"/>
        <v/>
      </c>
      <c r="J200" s="207"/>
      <c r="K200" s="211" t="str">
        <f t="shared" si="33"/>
        <v/>
      </c>
      <c r="L200" s="207"/>
      <c r="M200" s="211" t="str">
        <f t="shared" si="34"/>
        <v/>
      </c>
      <c r="N200" s="207"/>
      <c r="O200" s="211" t="str">
        <f t="shared" si="35"/>
        <v/>
      </c>
      <c r="P200" s="207"/>
      <c r="Q200" s="211" t="str">
        <f t="shared" si="36"/>
        <v/>
      </c>
      <c r="R200" s="207"/>
      <c r="S200" s="211" t="str">
        <f t="shared" si="37"/>
        <v/>
      </c>
      <c r="T200" s="272" t="str">
        <f t="shared" si="38"/>
        <v/>
      </c>
      <c r="U200" s="212" t="str">
        <f t="shared" si="39"/>
        <v/>
      </c>
    </row>
    <row r="201" spans="2:21" x14ac:dyDescent="0.25">
      <c r="B201" s="241" t="str">
        <f>IF(Contagem!B199=0,"",Contagem!B199)</f>
        <v/>
      </c>
      <c r="C201" s="242" t="str">
        <f>IF(Contagem!T199 &gt; 0,Contagem!T199,"")</f>
        <v/>
      </c>
      <c r="D201" s="207"/>
      <c r="E201" s="211" t="str">
        <f t="shared" si="30"/>
        <v/>
      </c>
      <c r="F201" s="207"/>
      <c r="G201" s="211" t="str">
        <f t="shared" si="31"/>
        <v/>
      </c>
      <c r="H201" s="207"/>
      <c r="I201" s="211" t="str">
        <f t="shared" si="32"/>
        <v/>
      </c>
      <c r="J201" s="207"/>
      <c r="K201" s="211" t="str">
        <f t="shared" si="33"/>
        <v/>
      </c>
      <c r="L201" s="207"/>
      <c r="M201" s="211" t="str">
        <f t="shared" si="34"/>
        <v/>
      </c>
      <c r="N201" s="207"/>
      <c r="O201" s="211" t="str">
        <f t="shared" si="35"/>
        <v/>
      </c>
      <c r="P201" s="207"/>
      <c r="Q201" s="211" t="str">
        <f t="shared" si="36"/>
        <v/>
      </c>
      <c r="R201" s="207"/>
      <c r="S201" s="211" t="str">
        <f t="shared" si="37"/>
        <v/>
      </c>
      <c r="T201" s="272" t="str">
        <f t="shared" si="38"/>
        <v/>
      </c>
      <c r="U201" s="212" t="str">
        <f t="shared" si="39"/>
        <v/>
      </c>
    </row>
    <row r="202" spans="2:21" x14ac:dyDescent="0.25">
      <c r="B202" s="241" t="str">
        <f>IF(Contagem!B200=0,"",Contagem!B200)</f>
        <v/>
      </c>
      <c r="C202" s="242" t="str">
        <f>IF(Contagem!T200 &gt; 0,Contagem!T200,"")</f>
        <v/>
      </c>
      <c r="D202" s="207"/>
      <c r="E202" s="211" t="str">
        <f t="shared" si="30"/>
        <v/>
      </c>
      <c r="F202" s="207"/>
      <c r="G202" s="211" t="str">
        <f t="shared" si="31"/>
        <v/>
      </c>
      <c r="H202" s="207"/>
      <c r="I202" s="211" t="str">
        <f t="shared" si="32"/>
        <v/>
      </c>
      <c r="J202" s="207"/>
      <c r="K202" s="211" t="str">
        <f t="shared" si="33"/>
        <v/>
      </c>
      <c r="L202" s="207"/>
      <c r="M202" s="211" t="str">
        <f t="shared" si="34"/>
        <v/>
      </c>
      <c r="N202" s="207"/>
      <c r="O202" s="211" t="str">
        <f t="shared" si="35"/>
        <v/>
      </c>
      <c r="P202" s="207"/>
      <c r="Q202" s="211" t="str">
        <f t="shared" si="36"/>
        <v/>
      </c>
      <c r="R202" s="207"/>
      <c r="S202" s="211" t="str">
        <f t="shared" si="37"/>
        <v/>
      </c>
      <c r="T202" s="272" t="str">
        <f t="shared" si="38"/>
        <v/>
      </c>
      <c r="U202" s="212" t="str">
        <f t="shared" si="39"/>
        <v/>
      </c>
    </row>
    <row r="203" spans="2:21" x14ac:dyDescent="0.25">
      <c r="B203" s="241" t="str">
        <f>IF(Contagem!B201=0,"",Contagem!B201)</f>
        <v/>
      </c>
      <c r="C203" s="242" t="str">
        <f>IF(Contagem!T201 &gt; 0,Contagem!T201,"")</f>
        <v/>
      </c>
      <c r="D203" s="207"/>
      <c r="E203" s="211" t="str">
        <f t="shared" si="30"/>
        <v/>
      </c>
      <c r="F203" s="207"/>
      <c r="G203" s="211" t="str">
        <f t="shared" si="31"/>
        <v/>
      </c>
      <c r="H203" s="207"/>
      <c r="I203" s="211" t="str">
        <f t="shared" si="32"/>
        <v/>
      </c>
      <c r="J203" s="207"/>
      <c r="K203" s="211" t="str">
        <f t="shared" si="33"/>
        <v/>
      </c>
      <c r="L203" s="207"/>
      <c r="M203" s="211" t="str">
        <f t="shared" si="34"/>
        <v/>
      </c>
      <c r="N203" s="207"/>
      <c r="O203" s="211" t="str">
        <f t="shared" si="35"/>
        <v/>
      </c>
      <c r="P203" s="207"/>
      <c r="Q203" s="211" t="str">
        <f t="shared" si="36"/>
        <v/>
      </c>
      <c r="R203" s="207"/>
      <c r="S203" s="211" t="str">
        <f t="shared" si="37"/>
        <v/>
      </c>
      <c r="T203" s="272" t="str">
        <f t="shared" si="38"/>
        <v/>
      </c>
      <c r="U203" s="212" t="str">
        <f t="shared" si="39"/>
        <v/>
      </c>
    </row>
    <row r="204" spans="2:21" x14ac:dyDescent="0.25">
      <c r="B204" s="241" t="str">
        <f>IF(Contagem!B202=0,"",Contagem!B202)</f>
        <v/>
      </c>
      <c r="C204" s="242" t="str">
        <f>IF(Contagem!T202 &gt; 0,Contagem!T202,"")</f>
        <v/>
      </c>
      <c r="D204" s="207"/>
      <c r="E204" s="211" t="str">
        <f t="shared" si="30"/>
        <v/>
      </c>
      <c r="F204" s="207"/>
      <c r="G204" s="211" t="str">
        <f t="shared" si="31"/>
        <v/>
      </c>
      <c r="H204" s="207"/>
      <c r="I204" s="211" t="str">
        <f t="shared" si="32"/>
        <v/>
      </c>
      <c r="J204" s="207"/>
      <c r="K204" s="211" t="str">
        <f t="shared" si="33"/>
        <v/>
      </c>
      <c r="L204" s="207"/>
      <c r="M204" s="211" t="str">
        <f t="shared" si="34"/>
        <v/>
      </c>
      <c r="N204" s="207"/>
      <c r="O204" s="211" t="str">
        <f t="shared" si="35"/>
        <v/>
      </c>
      <c r="P204" s="207"/>
      <c r="Q204" s="211" t="str">
        <f t="shared" si="36"/>
        <v/>
      </c>
      <c r="R204" s="207"/>
      <c r="S204" s="211" t="str">
        <f t="shared" si="37"/>
        <v/>
      </c>
      <c r="T204" s="272" t="str">
        <f t="shared" si="38"/>
        <v/>
      </c>
      <c r="U204" s="212" t="str">
        <f t="shared" si="39"/>
        <v/>
      </c>
    </row>
    <row r="205" spans="2:21" x14ac:dyDescent="0.25">
      <c r="B205" s="241" t="str">
        <f>IF(Contagem!B203=0,"",Contagem!B203)</f>
        <v/>
      </c>
      <c r="C205" s="242" t="str">
        <f>IF(Contagem!T203 &gt; 0,Contagem!T203,"")</f>
        <v/>
      </c>
      <c r="D205" s="207"/>
      <c r="E205" s="211" t="str">
        <f t="shared" si="30"/>
        <v/>
      </c>
      <c r="F205" s="207"/>
      <c r="G205" s="211" t="str">
        <f t="shared" si="31"/>
        <v/>
      </c>
      <c r="H205" s="207"/>
      <c r="I205" s="211" t="str">
        <f t="shared" si="32"/>
        <v/>
      </c>
      <c r="J205" s="207"/>
      <c r="K205" s="211" t="str">
        <f t="shared" si="33"/>
        <v/>
      </c>
      <c r="L205" s="207"/>
      <c r="M205" s="211" t="str">
        <f t="shared" si="34"/>
        <v/>
      </c>
      <c r="N205" s="207"/>
      <c r="O205" s="211" t="str">
        <f t="shared" si="35"/>
        <v/>
      </c>
      <c r="P205" s="207"/>
      <c r="Q205" s="211" t="str">
        <f t="shared" si="36"/>
        <v/>
      </c>
      <c r="R205" s="207"/>
      <c r="S205" s="211" t="str">
        <f t="shared" si="37"/>
        <v/>
      </c>
      <c r="T205" s="272" t="str">
        <f t="shared" si="38"/>
        <v/>
      </c>
      <c r="U205" s="212" t="str">
        <f t="shared" si="39"/>
        <v/>
      </c>
    </row>
    <row r="206" spans="2:21" x14ac:dyDescent="0.25">
      <c r="B206" s="241" t="str">
        <f>IF(Contagem!B204=0,"",Contagem!B204)</f>
        <v/>
      </c>
      <c r="C206" s="242" t="str">
        <f>IF(Contagem!T204 &gt; 0,Contagem!T204,"")</f>
        <v/>
      </c>
      <c r="D206" s="207"/>
      <c r="E206" s="211" t="str">
        <f t="shared" si="30"/>
        <v/>
      </c>
      <c r="F206" s="207"/>
      <c r="G206" s="211" t="str">
        <f t="shared" si="31"/>
        <v/>
      </c>
      <c r="H206" s="207"/>
      <c r="I206" s="211" t="str">
        <f t="shared" si="32"/>
        <v/>
      </c>
      <c r="J206" s="207"/>
      <c r="K206" s="211" t="str">
        <f t="shared" si="33"/>
        <v/>
      </c>
      <c r="L206" s="207"/>
      <c r="M206" s="211" t="str">
        <f t="shared" si="34"/>
        <v/>
      </c>
      <c r="N206" s="207"/>
      <c r="O206" s="211" t="str">
        <f t="shared" si="35"/>
        <v/>
      </c>
      <c r="P206" s="207"/>
      <c r="Q206" s="211" t="str">
        <f t="shared" si="36"/>
        <v/>
      </c>
      <c r="R206" s="207"/>
      <c r="S206" s="211" t="str">
        <f t="shared" si="37"/>
        <v/>
      </c>
      <c r="T206" s="272" t="str">
        <f t="shared" si="38"/>
        <v/>
      </c>
      <c r="U206" s="212" t="str">
        <f t="shared" si="39"/>
        <v/>
      </c>
    </row>
    <row r="207" spans="2:21" x14ac:dyDescent="0.25">
      <c r="B207" s="241" t="str">
        <f>IF(Contagem!B205=0,"",Contagem!B205)</f>
        <v/>
      </c>
      <c r="C207" s="242" t="str">
        <f>IF(Contagem!T205 &gt; 0,Contagem!T205,"")</f>
        <v/>
      </c>
      <c r="D207" s="207"/>
      <c r="E207" s="211" t="str">
        <f t="shared" si="30"/>
        <v/>
      </c>
      <c r="F207" s="207"/>
      <c r="G207" s="211" t="str">
        <f t="shared" si="31"/>
        <v/>
      </c>
      <c r="H207" s="207"/>
      <c r="I207" s="211" t="str">
        <f t="shared" si="32"/>
        <v/>
      </c>
      <c r="J207" s="207"/>
      <c r="K207" s="211" t="str">
        <f t="shared" si="33"/>
        <v/>
      </c>
      <c r="L207" s="207"/>
      <c r="M207" s="211" t="str">
        <f t="shared" si="34"/>
        <v/>
      </c>
      <c r="N207" s="207"/>
      <c r="O207" s="211" t="str">
        <f t="shared" si="35"/>
        <v/>
      </c>
      <c r="P207" s="207"/>
      <c r="Q207" s="211" t="str">
        <f t="shared" si="36"/>
        <v/>
      </c>
      <c r="R207" s="207"/>
      <c r="S207" s="211" t="str">
        <f t="shared" si="37"/>
        <v/>
      </c>
      <c r="T207" s="272" t="str">
        <f t="shared" si="38"/>
        <v/>
      </c>
      <c r="U207" s="212" t="str">
        <f t="shared" si="39"/>
        <v/>
      </c>
    </row>
    <row r="208" spans="2:21" x14ac:dyDescent="0.25">
      <c r="B208" s="241" t="str">
        <f>IF(Contagem!B206=0,"",Contagem!B206)</f>
        <v/>
      </c>
      <c r="C208" s="242" t="str">
        <f>IF(Contagem!T206 &gt; 0,Contagem!T206,"")</f>
        <v/>
      </c>
      <c r="D208" s="207"/>
      <c r="E208" s="211" t="str">
        <f t="shared" si="30"/>
        <v/>
      </c>
      <c r="F208" s="207"/>
      <c r="G208" s="211" t="str">
        <f t="shared" si="31"/>
        <v/>
      </c>
      <c r="H208" s="207"/>
      <c r="I208" s="211" t="str">
        <f t="shared" si="32"/>
        <v/>
      </c>
      <c r="J208" s="207"/>
      <c r="K208" s="211" t="str">
        <f t="shared" si="33"/>
        <v/>
      </c>
      <c r="L208" s="207"/>
      <c r="M208" s="211" t="str">
        <f t="shared" si="34"/>
        <v/>
      </c>
      <c r="N208" s="207"/>
      <c r="O208" s="211" t="str">
        <f t="shared" si="35"/>
        <v/>
      </c>
      <c r="P208" s="207"/>
      <c r="Q208" s="211" t="str">
        <f t="shared" si="36"/>
        <v/>
      </c>
      <c r="R208" s="207"/>
      <c r="S208" s="211" t="str">
        <f t="shared" si="37"/>
        <v/>
      </c>
      <c r="T208" s="272" t="str">
        <f t="shared" si="38"/>
        <v/>
      </c>
      <c r="U208" s="212" t="str">
        <f t="shared" si="39"/>
        <v/>
      </c>
    </row>
    <row r="209" spans="2:21" x14ac:dyDescent="0.25">
      <c r="B209" s="241" t="str">
        <f>IF(Contagem!B207=0,"",Contagem!B207)</f>
        <v/>
      </c>
      <c r="C209" s="242" t="str">
        <f>IF(Contagem!T207 &gt; 0,Contagem!T207,"")</f>
        <v/>
      </c>
      <c r="D209" s="207"/>
      <c r="E209" s="211" t="str">
        <f t="shared" si="30"/>
        <v/>
      </c>
      <c r="F209" s="207"/>
      <c r="G209" s="211" t="str">
        <f t="shared" si="31"/>
        <v/>
      </c>
      <c r="H209" s="207"/>
      <c r="I209" s="211" t="str">
        <f t="shared" si="32"/>
        <v/>
      </c>
      <c r="J209" s="207"/>
      <c r="K209" s="211" t="str">
        <f t="shared" si="33"/>
        <v/>
      </c>
      <c r="L209" s="207"/>
      <c r="M209" s="211" t="str">
        <f t="shared" si="34"/>
        <v/>
      </c>
      <c r="N209" s="207"/>
      <c r="O209" s="211" t="str">
        <f t="shared" si="35"/>
        <v/>
      </c>
      <c r="P209" s="207"/>
      <c r="Q209" s="211" t="str">
        <f t="shared" si="36"/>
        <v/>
      </c>
      <c r="R209" s="207"/>
      <c r="S209" s="211" t="str">
        <f t="shared" si="37"/>
        <v/>
      </c>
      <c r="T209" s="272" t="str">
        <f t="shared" si="38"/>
        <v/>
      </c>
      <c r="U209" s="212" t="str">
        <f t="shared" si="39"/>
        <v/>
      </c>
    </row>
    <row r="210" spans="2:21" x14ac:dyDescent="0.25">
      <c r="B210" s="241" t="str">
        <f>IF(Contagem!B208=0,"",Contagem!B208)</f>
        <v/>
      </c>
      <c r="C210" s="242" t="str">
        <f>IF(Contagem!T208 &gt; 0,Contagem!T208,"")</f>
        <v/>
      </c>
      <c r="D210" s="207"/>
      <c r="E210" s="211" t="str">
        <f t="shared" si="30"/>
        <v/>
      </c>
      <c r="F210" s="207"/>
      <c r="G210" s="211" t="str">
        <f t="shared" si="31"/>
        <v/>
      </c>
      <c r="H210" s="207"/>
      <c r="I210" s="211" t="str">
        <f t="shared" si="32"/>
        <v/>
      </c>
      <c r="J210" s="207"/>
      <c r="K210" s="211" t="str">
        <f t="shared" si="33"/>
        <v/>
      </c>
      <c r="L210" s="207"/>
      <c r="M210" s="211" t="str">
        <f t="shared" si="34"/>
        <v/>
      </c>
      <c r="N210" s="207"/>
      <c r="O210" s="211" t="str">
        <f t="shared" si="35"/>
        <v/>
      </c>
      <c r="P210" s="207"/>
      <c r="Q210" s="211" t="str">
        <f t="shared" si="36"/>
        <v/>
      </c>
      <c r="R210" s="207"/>
      <c r="S210" s="211" t="str">
        <f t="shared" si="37"/>
        <v/>
      </c>
      <c r="T210" s="272" t="str">
        <f t="shared" si="38"/>
        <v/>
      </c>
      <c r="U210" s="212" t="str">
        <f t="shared" si="39"/>
        <v/>
      </c>
    </row>
    <row r="211" spans="2:21" x14ac:dyDescent="0.25">
      <c r="B211" s="241" t="str">
        <f>IF(Contagem!B209=0,"",Contagem!B209)</f>
        <v/>
      </c>
      <c r="C211" s="242" t="str">
        <f>IF(Contagem!T209 &gt; 0,Contagem!T209,"")</f>
        <v/>
      </c>
      <c r="D211" s="207"/>
      <c r="E211" s="211" t="str">
        <f t="shared" si="30"/>
        <v/>
      </c>
      <c r="F211" s="207"/>
      <c r="G211" s="211" t="str">
        <f t="shared" si="31"/>
        <v/>
      </c>
      <c r="H211" s="207"/>
      <c r="I211" s="211" t="str">
        <f t="shared" si="32"/>
        <v/>
      </c>
      <c r="J211" s="207"/>
      <c r="K211" s="211" t="str">
        <f t="shared" si="33"/>
        <v/>
      </c>
      <c r="L211" s="207"/>
      <c r="M211" s="211" t="str">
        <f t="shared" si="34"/>
        <v/>
      </c>
      <c r="N211" s="207"/>
      <c r="O211" s="211" t="str">
        <f t="shared" si="35"/>
        <v/>
      </c>
      <c r="P211" s="207"/>
      <c r="Q211" s="211" t="str">
        <f t="shared" si="36"/>
        <v/>
      </c>
      <c r="R211" s="207"/>
      <c r="S211" s="211" t="str">
        <f t="shared" si="37"/>
        <v/>
      </c>
      <c r="T211" s="272" t="str">
        <f t="shared" si="38"/>
        <v/>
      </c>
      <c r="U211" s="212" t="str">
        <f t="shared" si="39"/>
        <v/>
      </c>
    </row>
    <row r="212" spans="2:21" x14ac:dyDescent="0.25">
      <c r="B212" s="241" t="str">
        <f>IF(Contagem!B210=0,"",Contagem!B210)</f>
        <v/>
      </c>
      <c r="C212" s="242" t="str">
        <f>IF(Contagem!T210 &gt; 0,Contagem!T210,"")</f>
        <v/>
      </c>
      <c r="D212" s="207"/>
      <c r="E212" s="211" t="str">
        <f t="shared" si="30"/>
        <v/>
      </c>
      <c r="F212" s="207"/>
      <c r="G212" s="211" t="str">
        <f t="shared" si="31"/>
        <v/>
      </c>
      <c r="H212" s="207"/>
      <c r="I212" s="211" t="str">
        <f t="shared" si="32"/>
        <v/>
      </c>
      <c r="J212" s="207"/>
      <c r="K212" s="211" t="str">
        <f t="shared" si="33"/>
        <v/>
      </c>
      <c r="L212" s="207"/>
      <c r="M212" s="211" t="str">
        <f t="shared" si="34"/>
        <v/>
      </c>
      <c r="N212" s="207"/>
      <c r="O212" s="211" t="str">
        <f t="shared" si="35"/>
        <v/>
      </c>
      <c r="P212" s="207"/>
      <c r="Q212" s="211" t="str">
        <f t="shared" si="36"/>
        <v/>
      </c>
      <c r="R212" s="207"/>
      <c r="S212" s="211" t="str">
        <f t="shared" si="37"/>
        <v/>
      </c>
      <c r="T212" s="272" t="str">
        <f t="shared" si="38"/>
        <v/>
      </c>
      <c r="U212" s="212" t="str">
        <f t="shared" si="39"/>
        <v/>
      </c>
    </row>
    <row r="213" spans="2:21" x14ac:dyDescent="0.25">
      <c r="B213" s="241" t="str">
        <f>IF(Contagem!B211=0,"",Contagem!B211)</f>
        <v/>
      </c>
      <c r="C213" s="242" t="str">
        <f>IF(Contagem!T211 &gt; 0,Contagem!T211,"")</f>
        <v/>
      </c>
      <c r="D213" s="207"/>
      <c r="E213" s="211" t="str">
        <f t="shared" si="30"/>
        <v/>
      </c>
      <c r="F213" s="207"/>
      <c r="G213" s="211" t="str">
        <f t="shared" si="31"/>
        <v/>
      </c>
      <c r="H213" s="207"/>
      <c r="I213" s="211" t="str">
        <f t="shared" si="32"/>
        <v/>
      </c>
      <c r="J213" s="207"/>
      <c r="K213" s="211" t="str">
        <f t="shared" si="33"/>
        <v/>
      </c>
      <c r="L213" s="207"/>
      <c r="M213" s="211" t="str">
        <f t="shared" si="34"/>
        <v/>
      </c>
      <c r="N213" s="207"/>
      <c r="O213" s="211" t="str">
        <f t="shared" si="35"/>
        <v/>
      </c>
      <c r="P213" s="207"/>
      <c r="Q213" s="211" t="str">
        <f t="shared" si="36"/>
        <v/>
      </c>
      <c r="R213" s="207"/>
      <c r="S213" s="211" t="str">
        <f t="shared" si="37"/>
        <v/>
      </c>
      <c r="T213" s="272" t="str">
        <f t="shared" si="38"/>
        <v/>
      </c>
      <c r="U213" s="212" t="str">
        <f t="shared" si="39"/>
        <v/>
      </c>
    </row>
    <row r="214" spans="2:21" x14ac:dyDescent="0.25">
      <c r="B214" s="241" t="str">
        <f>IF(Contagem!B212=0,"",Contagem!B212)</f>
        <v/>
      </c>
      <c r="C214" s="242" t="str">
        <f>IF(Contagem!T212 &gt; 0,Contagem!T212,"")</f>
        <v/>
      </c>
      <c r="D214" s="207"/>
      <c r="E214" s="211" t="str">
        <f t="shared" si="30"/>
        <v/>
      </c>
      <c r="F214" s="207"/>
      <c r="G214" s="211" t="str">
        <f t="shared" si="31"/>
        <v/>
      </c>
      <c r="H214" s="207"/>
      <c r="I214" s="211" t="str">
        <f t="shared" si="32"/>
        <v/>
      </c>
      <c r="J214" s="207"/>
      <c r="K214" s="211" t="str">
        <f t="shared" si="33"/>
        <v/>
      </c>
      <c r="L214" s="207"/>
      <c r="M214" s="211" t="str">
        <f t="shared" si="34"/>
        <v/>
      </c>
      <c r="N214" s="207"/>
      <c r="O214" s="211" t="str">
        <f t="shared" si="35"/>
        <v/>
      </c>
      <c r="P214" s="207"/>
      <c r="Q214" s="211" t="str">
        <f t="shared" si="36"/>
        <v/>
      </c>
      <c r="R214" s="207"/>
      <c r="S214" s="211" t="str">
        <f t="shared" si="37"/>
        <v/>
      </c>
      <c r="T214" s="272" t="str">
        <f t="shared" si="38"/>
        <v/>
      </c>
      <c r="U214" s="212" t="str">
        <f t="shared" si="39"/>
        <v/>
      </c>
    </row>
    <row r="215" spans="2:21" x14ac:dyDescent="0.25">
      <c r="B215" s="241" t="str">
        <f>IF(Contagem!B213=0,"",Contagem!B213)</f>
        <v/>
      </c>
      <c r="C215" s="242" t="str">
        <f>IF(Contagem!T213 &gt; 0,Contagem!T213,"")</f>
        <v/>
      </c>
      <c r="D215" s="207"/>
      <c r="E215" s="211" t="str">
        <f t="shared" si="30"/>
        <v/>
      </c>
      <c r="F215" s="207"/>
      <c r="G215" s="211" t="str">
        <f t="shared" si="31"/>
        <v/>
      </c>
      <c r="H215" s="207"/>
      <c r="I215" s="211" t="str">
        <f t="shared" si="32"/>
        <v/>
      </c>
      <c r="J215" s="207"/>
      <c r="K215" s="211" t="str">
        <f t="shared" si="33"/>
        <v/>
      </c>
      <c r="L215" s="207"/>
      <c r="M215" s="211" t="str">
        <f t="shared" si="34"/>
        <v/>
      </c>
      <c r="N215" s="207"/>
      <c r="O215" s="211" t="str">
        <f t="shared" si="35"/>
        <v/>
      </c>
      <c r="P215" s="207"/>
      <c r="Q215" s="211" t="str">
        <f t="shared" si="36"/>
        <v/>
      </c>
      <c r="R215" s="207"/>
      <c r="S215" s="211" t="str">
        <f t="shared" si="37"/>
        <v/>
      </c>
      <c r="T215" s="272" t="str">
        <f t="shared" si="38"/>
        <v/>
      </c>
      <c r="U215" s="212" t="str">
        <f t="shared" si="39"/>
        <v/>
      </c>
    </row>
    <row r="216" spans="2:21" x14ac:dyDescent="0.25">
      <c r="B216" s="241" t="str">
        <f>IF(Contagem!B214=0,"",Contagem!B214)</f>
        <v/>
      </c>
      <c r="C216" s="242" t="str">
        <f>IF(Contagem!T214 &gt; 0,Contagem!T214,"")</f>
        <v/>
      </c>
      <c r="D216" s="207"/>
      <c r="E216" s="211" t="str">
        <f t="shared" si="30"/>
        <v/>
      </c>
      <c r="F216" s="207"/>
      <c r="G216" s="211" t="str">
        <f t="shared" si="31"/>
        <v/>
      </c>
      <c r="H216" s="207"/>
      <c r="I216" s="211" t="str">
        <f t="shared" si="32"/>
        <v/>
      </c>
      <c r="J216" s="207"/>
      <c r="K216" s="211" t="str">
        <f t="shared" si="33"/>
        <v/>
      </c>
      <c r="L216" s="207"/>
      <c r="M216" s="211" t="str">
        <f t="shared" si="34"/>
        <v/>
      </c>
      <c r="N216" s="207"/>
      <c r="O216" s="211" t="str">
        <f t="shared" si="35"/>
        <v/>
      </c>
      <c r="P216" s="207"/>
      <c r="Q216" s="211" t="str">
        <f t="shared" si="36"/>
        <v/>
      </c>
      <c r="R216" s="207"/>
      <c r="S216" s="211" t="str">
        <f t="shared" si="37"/>
        <v/>
      </c>
      <c r="T216" s="272" t="str">
        <f t="shared" si="38"/>
        <v/>
      </c>
      <c r="U216" s="212" t="str">
        <f t="shared" si="39"/>
        <v/>
      </c>
    </row>
    <row r="217" spans="2:21" x14ac:dyDescent="0.25">
      <c r="B217" s="241" t="str">
        <f>IF(Contagem!B215=0,"",Contagem!B215)</f>
        <v/>
      </c>
      <c r="C217" s="242" t="str">
        <f>IF(Contagem!T215 &gt; 0,Contagem!T215,"")</f>
        <v/>
      </c>
      <c r="D217" s="207"/>
      <c r="E217" s="211" t="str">
        <f t="shared" si="30"/>
        <v/>
      </c>
      <c r="F217" s="207"/>
      <c r="G217" s="211" t="str">
        <f t="shared" si="31"/>
        <v/>
      </c>
      <c r="H217" s="207"/>
      <c r="I217" s="211" t="str">
        <f t="shared" si="32"/>
        <v/>
      </c>
      <c r="J217" s="207"/>
      <c r="K217" s="211" t="str">
        <f t="shared" si="33"/>
        <v/>
      </c>
      <c r="L217" s="207"/>
      <c r="M217" s="211" t="str">
        <f t="shared" si="34"/>
        <v/>
      </c>
      <c r="N217" s="207"/>
      <c r="O217" s="211" t="str">
        <f t="shared" si="35"/>
        <v/>
      </c>
      <c r="P217" s="207"/>
      <c r="Q217" s="211" t="str">
        <f t="shared" si="36"/>
        <v/>
      </c>
      <c r="R217" s="207"/>
      <c r="S217" s="211" t="str">
        <f t="shared" si="37"/>
        <v/>
      </c>
      <c r="T217" s="272" t="str">
        <f t="shared" si="38"/>
        <v/>
      </c>
      <c r="U217" s="212" t="str">
        <f t="shared" si="39"/>
        <v/>
      </c>
    </row>
    <row r="218" spans="2:21" x14ac:dyDescent="0.25">
      <c r="B218" s="241" t="str">
        <f>IF(Contagem!B216=0,"",Contagem!B216)</f>
        <v/>
      </c>
      <c r="C218" s="242" t="str">
        <f>IF(Contagem!T216 &gt; 0,Contagem!T216,"")</f>
        <v/>
      </c>
      <c r="D218" s="207"/>
      <c r="E218" s="211" t="str">
        <f t="shared" si="30"/>
        <v/>
      </c>
      <c r="F218" s="207"/>
      <c r="G218" s="211" t="str">
        <f t="shared" si="31"/>
        <v/>
      </c>
      <c r="H218" s="207"/>
      <c r="I218" s="211" t="str">
        <f t="shared" si="32"/>
        <v/>
      </c>
      <c r="J218" s="207"/>
      <c r="K218" s="211" t="str">
        <f t="shared" si="33"/>
        <v/>
      </c>
      <c r="L218" s="207"/>
      <c r="M218" s="211" t="str">
        <f t="shared" si="34"/>
        <v/>
      </c>
      <c r="N218" s="207"/>
      <c r="O218" s="211" t="str">
        <f t="shared" si="35"/>
        <v/>
      </c>
      <c r="P218" s="207"/>
      <c r="Q218" s="211" t="str">
        <f t="shared" si="36"/>
        <v/>
      </c>
      <c r="R218" s="207"/>
      <c r="S218" s="211" t="str">
        <f t="shared" si="37"/>
        <v/>
      </c>
      <c r="T218" s="272" t="str">
        <f t="shared" si="38"/>
        <v/>
      </c>
      <c r="U218" s="212" t="str">
        <f t="shared" si="39"/>
        <v/>
      </c>
    </row>
    <row r="219" spans="2:21" x14ac:dyDescent="0.25">
      <c r="B219" s="241" t="str">
        <f>IF(Contagem!B217=0,"",Contagem!B217)</f>
        <v/>
      </c>
      <c r="C219" s="242" t="str">
        <f>IF(Contagem!T217 &gt; 0,Contagem!T217,"")</f>
        <v/>
      </c>
      <c r="D219" s="207"/>
      <c r="E219" s="211" t="str">
        <f t="shared" si="30"/>
        <v/>
      </c>
      <c r="F219" s="207"/>
      <c r="G219" s="211" t="str">
        <f t="shared" si="31"/>
        <v/>
      </c>
      <c r="H219" s="207"/>
      <c r="I219" s="211" t="str">
        <f t="shared" si="32"/>
        <v/>
      </c>
      <c r="J219" s="207"/>
      <c r="K219" s="211" t="str">
        <f t="shared" si="33"/>
        <v/>
      </c>
      <c r="L219" s="207"/>
      <c r="M219" s="211" t="str">
        <f t="shared" si="34"/>
        <v/>
      </c>
      <c r="N219" s="207"/>
      <c r="O219" s="211" t="str">
        <f t="shared" si="35"/>
        <v/>
      </c>
      <c r="P219" s="207"/>
      <c r="Q219" s="211" t="str">
        <f t="shared" si="36"/>
        <v/>
      </c>
      <c r="R219" s="207"/>
      <c r="S219" s="211" t="str">
        <f t="shared" si="37"/>
        <v/>
      </c>
      <c r="T219" s="272" t="str">
        <f t="shared" si="38"/>
        <v/>
      </c>
      <c r="U219" s="212" t="str">
        <f t="shared" si="39"/>
        <v/>
      </c>
    </row>
    <row r="220" spans="2:21" x14ac:dyDescent="0.25">
      <c r="B220" s="241" t="str">
        <f>IF(Contagem!B218=0,"",Contagem!B218)</f>
        <v/>
      </c>
      <c r="C220" s="242" t="str">
        <f>IF(Contagem!T218 &gt; 0,Contagem!T218,"")</f>
        <v/>
      </c>
      <c r="D220" s="207"/>
      <c r="E220" s="211" t="str">
        <f t="shared" si="30"/>
        <v/>
      </c>
      <c r="F220" s="207"/>
      <c r="G220" s="211" t="str">
        <f t="shared" si="31"/>
        <v/>
      </c>
      <c r="H220" s="207"/>
      <c r="I220" s="211" t="str">
        <f t="shared" si="32"/>
        <v/>
      </c>
      <c r="J220" s="207"/>
      <c r="K220" s="211" t="str">
        <f t="shared" si="33"/>
        <v/>
      </c>
      <c r="L220" s="207"/>
      <c r="M220" s="211" t="str">
        <f t="shared" si="34"/>
        <v/>
      </c>
      <c r="N220" s="207"/>
      <c r="O220" s="211" t="str">
        <f t="shared" si="35"/>
        <v/>
      </c>
      <c r="P220" s="207"/>
      <c r="Q220" s="211" t="str">
        <f t="shared" si="36"/>
        <v/>
      </c>
      <c r="R220" s="207"/>
      <c r="S220" s="211" t="str">
        <f t="shared" si="37"/>
        <v/>
      </c>
      <c r="T220" s="272" t="str">
        <f t="shared" si="38"/>
        <v/>
      </c>
      <c r="U220" s="212" t="str">
        <f t="shared" si="39"/>
        <v/>
      </c>
    </row>
    <row r="221" spans="2:21" x14ac:dyDescent="0.25">
      <c r="B221" s="241" t="str">
        <f>IF(Contagem!B219=0,"",Contagem!B219)</f>
        <v/>
      </c>
      <c r="C221" s="242" t="str">
        <f>IF(Contagem!T219 &gt; 0,Contagem!T219,"")</f>
        <v/>
      </c>
      <c r="D221" s="207"/>
      <c r="E221" s="211" t="str">
        <f t="shared" si="30"/>
        <v/>
      </c>
      <c r="F221" s="207"/>
      <c r="G221" s="211" t="str">
        <f t="shared" si="31"/>
        <v/>
      </c>
      <c r="H221" s="207"/>
      <c r="I221" s="211" t="str">
        <f t="shared" si="32"/>
        <v/>
      </c>
      <c r="J221" s="207"/>
      <c r="K221" s="211" t="str">
        <f t="shared" si="33"/>
        <v/>
      </c>
      <c r="L221" s="207"/>
      <c r="M221" s="211" t="str">
        <f t="shared" si="34"/>
        <v/>
      </c>
      <c r="N221" s="207"/>
      <c r="O221" s="211" t="str">
        <f t="shared" si="35"/>
        <v/>
      </c>
      <c r="P221" s="207"/>
      <c r="Q221" s="211" t="str">
        <f t="shared" si="36"/>
        <v/>
      </c>
      <c r="R221" s="207"/>
      <c r="S221" s="211" t="str">
        <f t="shared" si="37"/>
        <v/>
      </c>
      <c r="T221" s="272" t="str">
        <f t="shared" si="38"/>
        <v/>
      </c>
      <c r="U221" s="212" t="str">
        <f t="shared" si="39"/>
        <v/>
      </c>
    </row>
    <row r="222" spans="2:21" x14ac:dyDescent="0.25">
      <c r="B222" s="241" t="str">
        <f>IF(Contagem!B220=0,"",Contagem!B220)</f>
        <v/>
      </c>
      <c r="C222" s="242" t="str">
        <f>IF(Contagem!T220 &gt; 0,Contagem!T220,"")</f>
        <v/>
      </c>
      <c r="D222" s="207"/>
      <c r="E222" s="211" t="str">
        <f t="shared" si="30"/>
        <v/>
      </c>
      <c r="F222" s="207"/>
      <c r="G222" s="211" t="str">
        <f t="shared" si="31"/>
        <v/>
      </c>
      <c r="H222" s="207"/>
      <c r="I222" s="211" t="str">
        <f t="shared" si="32"/>
        <v/>
      </c>
      <c r="J222" s="207"/>
      <c r="K222" s="211" t="str">
        <f t="shared" si="33"/>
        <v/>
      </c>
      <c r="L222" s="207"/>
      <c r="M222" s="211" t="str">
        <f t="shared" si="34"/>
        <v/>
      </c>
      <c r="N222" s="207"/>
      <c r="O222" s="211" t="str">
        <f t="shared" si="35"/>
        <v/>
      </c>
      <c r="P222" s="207"/>
      <c r="Q222" s="211" t="str">
        <f t="shared" si="36"/>
        <v/>
      </c>
      <c r="R222" s="207"/>
      <c r="S222" s="211" t="str">
        <f t="shared" si="37"/>
        <v/>
      </c>
      <c r="T222" s="272" t="str">
        <f t="shared" si="38"/>
        <v/>
      </c>
      <c r="U222" s="212" t="str">
        <f t="shared" si="39"/>
        <v/>
      </c>
    </row>
    <row r="223" spans="2:21" x14ac:dyDescent="0.25">
      <c r="B223" s="241" t="str">
        <f>IF(Contagem!B221=0,"",Contagem!B221)</f>
        <v/>
      </c>
      <c r="C223" s="242" t="str">
        <f>IF(Contagem!T221 &gt; 0,Contagem!T221,"")</f>
        <v/>
      </c>
      <c r="D223" s="207"/>
      <c r="E223" s="211" t="str">
        <f t="shared" si="30"/>
        <v/>
      </c>
      <c r="F223" s="207"/>
      <c r="G223" s="211" t="str">
        <f t="shared" si="31"/>
        <v/>
      </c>
      <c r="H223" s="207"/>
      <c r="I223" s="211" t="str">
        <f t="shared" si="32"/>
        <v/>
      </c>
      <c r="J223" s="207"/>
      <c r="K223" s="211" t="str">
        <f t="shared" si="33"/>
        <v/>
      </c>
      <c r="L223" s="207"/>
      <c r="M223" s="211" t="str">
        <f t="shared" si="34"/>
        <v/>
      </c>
      <c r="N223" s="207"/>
      <c r="O223" s="211" t="str">
        <f t="shared" si="35"/>
        <v/>
      </c>
      <c r="P223" s="207"/>
      <c r="Q223" s="211" t="str">
        <f t="shared" si="36"/>
        <v/>
      </c>
      <c r="R223" s="207"/>
      <c r="S223" s="211" t="str">
        <f t="shared" si="37"/>
        <v/>
      </c>
      <c r="T223" s="272" t="str">
        <f t="shared" si="38"/>
        <v/>
      </c>
      <c r="U223" s="212" t="str">
        <f t="shared" si="39"/>
        <v/>
      </c>
    </row>
    <row r="224" spans="2:21" x14ac:dyDescent="0.25">
      <c r="B224" s="241" t="str">
        <f>IF(Contagem!B222=0,"",Contagem!B222)</f>
        <v/>
      </c>
      <c r="C224" s="242" t="str">
        <f>IF(Contagem!T222 &gt; 0,Contagem!T222,"")</f>
        <v/>
      </c>
      <c r="D224" s="207"/>
      <c r="E224" s="211" t="str">
        <f t="shared" si="30"/>
        <v/>
      </c>
      <c r="F224" s="207"/>
      <c r="G224" s="211" t="str">
        <f t="shared" si="31"/>
        <v/>
      </c>
      <c r="H224" s="207"/>
      <c r="I224" s="211" t="str">
        <f t="shared" si="32"/>
        <v/>
      </c>
      <c r="J224" s="207"/>
      <c r="K224" s="211" t="str">
        <f t="shared" si="33"/>
        <v/>
      </c>
      <c r="L224" s="207"/>
      <c r="M224" s="211" t="str">
        <f t="shared" si="34"/>
        <v/>
      </c>
      <c r="N224" s="207"/>
      <c r="O224" s="211" t="str">
        <f t="shared" si="35"/>
        <v/>
      </c>
      <c r="P224" s="207"/>
      <c r="Q224" s="211" t="str">
        <f t="shared" si="36"/>
        <v/>
      </c>
      <c r="R224" s="207"/>
      <c r="S224" s="211" t="str">
        <f t="shared" si="37"/>
        <v/>
      </c>
      <c r="T224" s="272" t="str">
        <f t="shared" si="38"/>
        <v/>
      </c>
      <c r="U224" s="212" t="str">
        <f t="shared" si="39"/>
        <v/>
      </c>
    </row>
    <row r="225" spans="2:21" x14ac:dyDescent="0.25">
      <c r="B225" s="241" t="str">
        <f>IF(Contagem!B223=0,"",Contagem!B223)</f>
        <v/>
      </c>
      <c r="C225" s="242" t="str">
        <f>IF(Contagem!T223 &gt; 0,Contagem!T223,"")</f>
        <v/>
      </c>
      <c r="D225" s="207"/>
      <c r="E225" s="211" t="str">
        <f t="shared" si="30"/>
        <v/>
      </c>
      <c r="F225" s="207"/>
      <c r="G225" s="211" t="str">
        <f t="shared" si="31"/>
        <v/>
      </c>
      <c r="H225" s="207"/>
      <c r="I225" s="211" t="str">
        <f t="shared" si="32"/>
        <v/>
      </c>
      <c r="J225" s="207"/>
      <c r="K225" s="211" t="str">
        <f t="shared" si="33"/>
        <v/>
      </c>
      <c r="L225" s="207"/>
      <c r="M225" s="211" t="str">
        <f t="shared" si="34"/>
        <v/>
      </c>
      <c r="N225" s="207"/>
      <c r="O225" s="211" t="str">
        <f t="shared" si="35"/>
        <v/>
      </c>
      <c r="P225" s="207"/>
      <c r="Q225" s="211" t="str">
        <f t="shared" si="36"/>
        <v/>
      </c>
      <c r="R225" s="207"/>
      <c r="S225" s="211" t="str">
        <f t="shared" si="37"/>
        <v/>
      </c>
      <c r="T225" s="272" t="str">
        <f t="shared" si="38"/>
        <v/>
      </c>
      <c r="U225" s="212" t="str">
        <f t="shared" si="39"/>
        <v/>
      </c>
    </row>
    <row r="226" spans="2:21" x14ac:dyDescent="0.25">
      <c r="B226" s="241" t="str">
        <f>IF(Contagem!B224=0,"",Contagem!B224)</f>
        <v/>
      </c>
      <c r="C226" s="242" t="str">
        <f>IF(Contagem!T224 &gt; 0,Contagem!T224,"")</f>
        <v/>
      </c>
      <c r="D226" s="207"/>
      <c r="E226" s="211" t="str">
        <f t="shared" si="30"/>
        <v/>
      </c>
      <c r="F226" s="207"/>
      <c r="G226" s="211" t="str">
        <f t="shared" si="31"/>
        <v/>
      </c>
      <c r="H226" s="207"/>
      <c r="I226" s="211" t="str">
        <f t="shared" si="32"/>
        <v/>
      </c>
      <c r="J226" s="207"/>
      <c r="K226" s="211" t="str">
        <f t="shared" si="33"/>
        <v/>
      </c>
      <c r="L226" s="207"/>
      <c r="M226" s="211" t="str">
        <f t="shared" si="34"/>
        <v/>
      </c>
      <c r="N226" s="207"/>
      <c r="O226" s="211" t="str">
        <f t="shared" si="35"/>
        <v/>
      </c>
      <c r="P226" s="207"/>
      <c r="Q226" s="211" t="str">
        <f t="shared" si="36"/>
        <v/>
      </c>
      <c r="R226" s="207"/>
      <c r="S226" s="211" t="str">
        <f t="shared" si="37"/>
        <v/>
      </c>
      <c r="T226" s="272" t="str">
        <f t="shared" si="38"/>
        <v/>
      </c>
      <c r="U226" s="212" t="str">
        <f t="shared" si="39"/>
        <v/>
      </c>
    </row>
    <row r="227" spans="2:21" x14ac:dyDescent="0.25">
      <c r="B227" s="241" t="str">
        <f>IF(Contagem!B225=0,"",Contagem!B225)</f>
        <v/>
      </c>
      <c r="C227" s="242" t="str">
        <f>IF(Contagem!T225 &gt; 0,Contagem!T225,"")</f>
        <v/>
      </c>
      <c r="D227" s="207"/>
      <c r="E227" s="211" t="str">
        <f t="shared" si="30"/>
        <v/>
      </c>
      <c r="F227" s="207"/>
      <c r="G227" s="211" t="str">
        <f t="shared" si="31"/>
        <v/>
      </c>
      <c r="H227" s="207"/>
      <c r="I227" s="211" t="str">
        <f t="shared" si="32"/>
        <v/>
      </c>
      <c r="J227" s="207"/>
      <c r="K227" s="211" t="str">
        <f t="shared" si="33"/>
        <v/>
      </c>
      <c r="L227" s="207"/>
      <c r="M227" s="211" t="str">
        <f t="shared" si="34"/>
        <v/>
      </c>
      <c r="N227" s="207"/>
      <c r="O227" s="211" t="str">
        <f t="shared" si="35"/>
        <v/>
      </c>
      <c r="P227" s="207"/>
      <c r="Q227" s="211" t="str">
        <f t="shared" si="36"/>
        <v/>
      </c>
      <c r="R227" s="207"/>
      <c r="S227" s="211" t="str">
        <f t="shared" si="37"/>
        <v/>
      </c>
      <c r="T227" s="272" t="str">
        <f t="shared" si="38"/>
        <v/>
      </c>
      <c r="U227" s="212" t="str">
        <f t="shared" si="39"/>
        <v/>
      </c>
    </row>
    <row r="228" spans="2:21" x14ac:dyDescent="0.25">
      <c r="B228" s="241" t="str">
        <f>IF(Contagem!B226=0,"",Contagem!B226)</f>
        <v/>
      </c>
      <c r="C228" s="242" t="str">
        <f>IF(Contagem!T226 &gt; 0,Contagem!T226,"")</f>
        <v/>
      </c>
      <c r="D228" s="207"/>
      <c r="E228" s="211" t="str">
        <f t="shared" si="30"/>
        <v/>
      </c>
      <c r="F228" s="207"/>
      <c r="G228" s="211" t="str">
        <f t="shared" si="31"/>
        <v/>
      </c>
      <c r="H228" s="207"/>
      <c r="I228" s="211" t="str">
        <f t="shared" si="32"/>
        <v/>
      </c>
      <c r="J228" s="207"/>
      <c r="K228" s="211" t="str">
        <f t="shared" si="33"/>
        <v/>
      </c>
      <c r="L228" s="207"/>
      <c r="M228" s="211" t="str">
        <f t="shared" si="34"/>
        <v/>
      </c>
      <c r="N228" s="207"/>
      <c r="O228" s="211" t="str">
        <f t="shared" si="35"/>
        <v/>
      </c>
      <c r="P228" s="207"/>
      <c r="Q228" s="211" t="str">
        <f t="shared" si="36"/>
        <v/>
      </c>
      <c r="R228" s="207"/>
      <c r="S228" s="211" t="str">
        <f t="shared" si="37"/>
        <v/>
      </c>
      <c r="T228" s="272" t="str">
        <f t="shared" si="38"/>
        <v/>
      </c>
      <c r="U228" s="212" t="str">
        <f t="shared" si="39"/>
        <v/>
      </c>
    </row>
    <row r="229" spans="2:21" x14ac:dyDescent="0.25">
      <c r="B229" s="241" t="str">
        <f>IF(Contagem!B227=0,"",Contagem!B227)</f>
        <v/>
      </c>
      <c r="C229" s="242" t="str">
        <f>IF(Contagem!T227 &gt; 0,Contagem!T227,"")</f>
        <v/>
      </c>
      <c r="D229" s="207"/>
      <c r="E229" s="211" t="str">
        <f t="shared" si="30"/>
        <v/>
      </c>
      <c r="F229" s="207"/>
      <c r="G229" s="211" t="str">
        <f t="shared" si="31"/>
        <v/>
      </c>
      <c r="H229" s="207"/>
      <c r="I229" s="211" t="str">
        <f t="shared" si="32"/>
        <v/>
      </c>
      <c r="J229" s="207"/>
      <c r="K229" s="211" t="str">
        <f t="shared" si="33"/>
        <v/>
      </c>
      <c r="L229" s="207"/>
      <c r="M229" s="211" t="str">
        <f t="shared" si="34"/>
        <v/>
      </c>
      <c r="N229" s="207"/>
      <c r="O229" s="211" t="str">
        <f t="shared" si="35"/>
        <v/>
      </c>
      <c r="P229" s="207"/>
      <c r="Q229" s="211" t="str">
        <f t="shared" si="36"/>
        <v/>
      </c>
      <c r="R229" s="207"/>
      <c r="S229" s="211" t="str">
        <f t="shared" si="37"/>
        <v/>
      </c>
      <c r="T229" s="272" t="str">
        <f t="shared" si="38"/>
        <v/>
      </c>
      <c r="U229" s="212" t="str">
        <f t="shared" si="39"/>
        <v/>
      </c>
    </row>
    <row r="230" spans="2:21" x14ac:dyDescent="0.25">
      <c r="B230" s="241" t="str">
        <f>IF(Contagem!B228=0,"",Contagem!B228)</f>
        <v/>
      </c>
      <c r="C230" s="242" t="str">
        <f>IF(Contagem!T228 &gt; 0,Contagem!T228,"")</f>
        <v/>
      </c>
      <c r="D230" s="207"/>
      <c r="E230" s="211" t="str">
        <f t="shared" si="30"/>
        <v/>
      </c>
      <c r="F230" s="207"/>
      <c r="G230" s="211" t="str">
        <f t="shared" si="31"/>
        <v/>
      </c>
      <c r="H230" s="207"/>
      <c r="I230" s="211" t="str">
        <f t="shared" si="32"/>
        <v/>
      </c>
      <c r="J230" s="207"/>
      <c r="K230" s="211" t="str">
        <f t="shared" si="33"/>
        <v/>
      </c>
      <c r="L230" s="207"/>
      <c r="M230" s="211" t="str">
        <f t="shared" si="34"/>
        <v/>
      </c>
      <c r="N230" s="207"/>
      <c r="O230" s="211" t="str">
        <f t="shared" si="35"/>
        <v/>
      </c>
      <c r="P230" s="207"/>
      <c r="Q230" s="211" t="str">
        <f t="shared" si="36"/>
        <v/>
      </c>
      <c r="R230" s="207"/>
      <c r="S230" s="211" t="str">
        <f t="shared" si="37"/>
        <v/>
      </c>
      <c r="T230" s="272" t="str">
        <f t="shared" si="38"/>
        <v/>
      </c>
      <c r="U230" s="212" t="str">
        <f t="shared" si="39"/>
        <v/>
      </c>
    </row>
    <row r="231" spans="2:21" x14ac:dyDescent="0.25">
      <c r="B231" s="241" t="str">
        <f>IF(Contagem!B229=0,"",Contagem!B229)</f>
        <v/>
      </c>
      <c r="C231" s="242" t="str">
        <f>IF(Contagem!T229 &gt; 0,Contagem!T229,"")</f>
        <v/>
      </c>
      <c r="D231" s="207"/>
      <c r="E231" s="211" t="str">
        <f t="shared" si="30"/>
        <v/>
      </c>
      <c r="F231" s="207"/>
      <c r="G231" s="211" t="str">
        <f t="shared" si="31"/>
        <v/>
      </c>
      <c r="H231" s="207"/>
      <c r="I231" s="211" t="str">
        <f t="shared" si="32"/>
        <v/>
      </c>
      <c r="J231" s="207"/>
      <c r="K231" s="211" t="str">
        <f t="shared" si="33"/>
        <v/>
      </c>
      <c r="L231" s="207"/>
      <c r="M231" s="211" t="str">
        <f t="shared" si="34"/>
        <v/>
      </c>
      <c r="N231" s="207"/>
      <c r="O231" s="211" t="str">
        <f t="shared" si="35"/>
        <v/>
      </c>
      <c r="P231" s="207"/>
      <c r="Q231" s="211" t="str">
        <f t="shared" si="36"/>
        <v/>
      </c>
      <c r="R231" s="207"/>
      <c r="S231" s="211" t="str">
        <f t="shared" si="37"/>
        <v/>
      </c>
      <c r="T231" s="272" t="str">
        <f t="shared" si="38"/>
        <v/>
      </c>
      <c r="U231" s="212" t="str">
        <f t="shared" si="39"/>
        <v/>
      </c>
    </row>
    <row r="232" spans="2:21" x14ac:dyDescent="0.25">
      <c r="B232" s="241" t="str">
        <f>IF(Contagem!B230=0,"",Contagem!B230)</f>
        <v/>
      </c>
      <c r="C232" s="242" t="str">
        <f>IF(Contagem!T230 &gt; 0,Contagem!T230,"")</f>
        <v/>
      </c>
      <c r="D232" s="207"/>
      <c r="E232" s="211" t="str">
        <f t="shared" si="30"/>
        <v/>
      </c>
      <c r="F232" s="207"/>
      <c r="G232" s="211" t="str">
        <f t="shared" si="31"/>
        <v/>
      </c>
      <c r="H232" s="207"/>
      <c r="I232" s="211" t="str">
        <f t="shared" si="32"/>
        <v/>
      </c>
      <c r="J232" s="207"/>
      <c r="K232" s="211" t="str">
        <f t="shared" si="33"/>
        <v/>
      </c>
      <c r="L232" s="207"/>
      <c r="M232" s="211" t="str">
        <f t="shared" si="34"/>
        <v/>
      </c>
      <c r="N232" s="207"/>
      <c r="O232" s="211" t="str">
        <f t="shared" si="35"/>
        <v/>
      </c>
      <c r="P232" s="207"/>
      <c r="Q232" s="211" t="str">
        <f t="shared" si="36"/>
        <v/>
      </c>
      <c r="R232" s="207"/>
      <c r="S232" s="211" t="str">
        <f t="shared" si="37"/>
        <v/>
      </c>
      <c r="T232" s="272" t="str">
        <f t="shared" si="38"/>
        <v/>
      </c>
      <c r="U232" s="212" t="str">
        <f t="shared" si="39"/>
        <v/>
      </c>
    </row>
    <row r="233" spans="2:21" x14ac:dyDescent="0.25">
      <c r="B233" s="241" t="str">
        <f>IF(Contagem!B231=0,"",Contagem!B231)</f>
        <v/>
      </c>
      <c r="C233" s="242" t="str">
        <f>IF(Contagem!T231 &gt; 0,Contagem!T231,"")</f>
        <v/>
      </c>
      <c r="D233" s="207"/>
      <c r="E233" s="211" t="str">
        <f t="shared" si="30"/>
        <v/>
      </c>
      <c r="F233" s="207"/>
      <c r="G233" s="211" t="str">
        <f t="shared" si="31"/>
        <v/>
      </c>
      <c r="H233" s="207"/>
      <c r="I233" s="211" t="str">
        <f t="shared" si="32"/>
        <v/>
      </c>
      <c r="J233" s="207"/>
      <c r="K233" s="211" t="str">
        <f t="shared" si="33"/>
        <v/>
      </c>
      <c r="L233" s="207"/>
      <c r="M233" s="211" t="str">
        <f t="shared" si="34"/>
        <v/>
      </c>
      <c r="N233" s="207"/>
      <c r="O233" s="211" t="str">
        <f t="shared" si="35"/>
        <v/>
      </c>
      <c r="P233" s="207"/>
      <c r="Q233" s="211" t="str">
        <f t="shared" si="36"/>
        <v/>
      </c>
      <c r="R233" s="207"/>
      <c r="S233" s="211" t="str">
        <f t="shared" si="37"/>
        <v/>
      </c>
      <c r="T233" s="272" t="str">
        <f t="shared" si="38"/>
        <v/>
      </c>
      <c r="U233" s="212" t="str">
        <f t="shared" si="39"/>
        <v/>
      </c>
    </row>
    <row r="234" spans="2:21" x14ac:dyDescent="0.25">
      <c r="B234" s="241" t="str">
        <f>IF(Contagem!B232=0,"",Contagem!B232)</f>
        <v/>
      </c>
      <c r="C234" s="242" t="str">
        <f>IF(Contagem!T232 &gt; 0,Contagem!T232,"")</f>
        <v/>
      </c>
      <c r="D234" s="207"/>
      <c r="E234" s="211" t="str">
        <f t="shared" si="30"/>
        <v/>
      </c>
      <c r="F234" s="207"/>
      <c r="G234" s="211" t="str">
        <f t="shared" si="31"/>
        <v/>
      </c>
      <c r="H234" s="207"/>
      <c r="I234" s="211" t="str">
        <f t="shared" si="32"/>
        <v/>
      </c>
      <c r="J234" s="207"/>
      <c r="K234" s="211" t="str">
        <f t="shared" si="33"/>
        <v/>
      </c>
      <c r="L234" s="207"/>
      <c r="M234" s="211" t="str">
        <f t="shared" si="34"/>
        <v/>
      </c>
      <c r="N234" s="207"/>
      <c r="O234" s="211" t="str">
        <f t="shared" si="35"/>
        <v/>
      </c>
      <c r="P234" s="207"/>
      <c r="Q234" s="211" t="str">
        <f t="shared" si="36"/>
        <v/>
      </c>
      <c r="R234" s="207"/>
      <c r="S234" s="211" t="str">
        <f t="shared" si="37"/>
        <v/>
      </c>
      <c r="T234" s="272" t="str">
        <f t="shared" si="38"/>
        <v/>
      </c>
      <c r="U234" s="212" t="str">
        <f t="shared" si="39"/>
        <v/>
      </c>
    </row>
    <row r="235" spans="2:21" x14ac:dyDescent="0.25">
      <c r="B235" s="241" t="str">
        <f>IF(Contagem!B233=0,"",Contagem!B233)</f>
        <v/>
      </c>
      <c r="C235" s="242" t="str">
        <f>IF(Contagem!T233 &gt; 0,Contagem!T233,"")</f>
        <v/>
      </c>
      <c r="D235" s="207"/>
      <c r="E235" s="211" t="str">
        <f t="shared" si="30"/>
        <v/>
      </c>
      <c r="F235" s="207"/>
      <c r="G235" s="211" t="str">
        <f t="shared" si="31"/>
        <v/>
      </c>
      <c r="H235" s="207"/>
      <c r="I235" s="211" t="str">
        <f t="shared" si="32"/>
        <v/>
      </c>
      <c r="J235" s="207"/>
      <c r="K235" s="211" t="str">
        <f t="shared" si="33"/>
        <v/>
      </c>
      <c r="L235" s="207"/>
      <c r="M235" s="211" t="str">
        <f t="shared" si="34"/>
        <v/>
      </c>
      <c r="N235" s="207"/>
      <c r="O235" s="211" t="str">
        <f t="shared" si="35"/>
        <v/>
      </c>
      <c r="P235" s="207"/>
      <c r="Q235" s="211" t="str">
        <f t="shared" si="36"/>
        <v/>
      </c>
      <c r="R235" s="207"/>
      <c r="S235" s="211" t="str">
        <f t="shared" si="37"/>
        <v/>
      </c>
      <c r="T235" s="272" t="str">
        <f t="shared" si="38"/>
        <v/>
      </c>
      <c r="U235" s="212" t="str">
        <f t="shared" si="39"/>
        <v/>
      </c>
    </row>
    <row r="236" spans="2:21" x14ac:dyDescent="0.25">
      <c r="B236" s="241" t="str">
        <f>IF(Contagem!B234=0,"",Contagem!B234)</f>
        <v/>
      </c>
      <c r="C236" s="242" t="str">
        <f>IF(Contagem!T234 &gt; 0,Contagem!T234,"")</f>
        <v/>
      </c>
      <c r="D236" s="207"/>
      <c r="E236" s="211" t="str">
        <f t="shared" si="30"/>
        <v/>
      </c>
      <c r="F236" s="207"/>
      <c r="G236" s="211" t="str">
        <f t="shared" si="31"/>
        <v/>
      </c>
      <c r="H236" s="207"/>
      <c r="I236" s="211" t="str">
        <f t="shared" si="32"/>
        <v/>
      </c>
      <c r="J236" s="207"/>
      <c r="K236" s="211" t="str">
        <f t="shared" si="33"/>
        <v/>
      </c>
      <c r="L236" s="207"/>
      <c r="M236" s="211" t="str">
        <f t="shared" si="34"/>
        <v/>
      </c>
      <c r="N236" s="207"/>
      <c r="O236" s="211" t="str">
        <f t="shared" si="35"/>
        <v/>
      </c>
      <c r="P236" s="207"/>
      <c r="Q236" s="211" t="str">
        <f t="shared" si="36"/>
        <v/>
      </c>
      <c r="R236" s="207"/>
      <c r="S236" s="211" t="str">
        <f t="shared" si="37"/>
        <v/>
      </c>
      <c r="T236" s="272" t="str">
        <f t="shared" si="38"/>
        <v/>
      </c>
      <c r="U236" s="212" t="str">
        <f t="shared" si="39"/>
        <v/>
      </c>
    </row>
    <row r="237" spans="2:21" x14ac:dyDescent="0.25">
      <c r="B237" s="241" t="str">
        <f>IF(Contagem!B235=0,"",Contagem!B235)</f>
        <v/>
      </c>
      <c r="C237" s="242" t="str">
        <f>IF(Contagem!T235 &gt; 0,Contagem!T235,"")</f>
        <v/>
      </c>
      <c r="D237" s="207"/>
      <c r="E237" s="211" t="str">
        <f t="shared" si="30"/>
        <v/>
      </c>
      <c r="F237" s="207"/>
      <c r="G237" s="211" t="str">
        <f t="shared" si="31"/>
        <v/>
      </c>
      <c r="H237" s="207"/>
      <c r="I237" s="211" t="str">
        <f t="shared" si="32"/>
        <v/>
      </c>
      <c r="J237" s="207"/>
      <c r="K237" s="211" t="str">
        <f t="shared" si="33"/>
        <v/>
      </c>
      <c r="L237" s="207"/>
      <c r="M237" s="211" t="str">
        <f t="shared" si="34"/>
        <v/>
      </c>
      <c r="N237" s="207"/>
      <c r="O237" s="211" t="str">
        <f t="shared" si="35"/>
        <v/>
      </c>
      <c r="P237" s="207"/>
      <c r="Q237" s="211" t="str">
        <f t="shared" si="36"/>
        <v/>
      </c>
      <c r="R237" s="207"/>
      <c r="S237" s="211" t="str">
        <f t="shared" si="37"/>
        <v/>
      </c>
      <c r="T237" s="272" t="str">
        <f t="shared" si="38"/>
        <v/>
      </c>
      <c r="U237" s="212" t="str">
        <f t="shared" si="39"/>
        <v/>
      </c>
    </row>
    <row r="238" spans="2:21" x14ac:dyDescent="0.25">
      <c r="B238" s="241" t="str">
        <f>IF(Contagem!B236=0,"",Contagem!B236)</f>
        <v/>
      </c>
      <c r="C238" s="242" t="str">
        <f>IF(Contagem!T236 &gt; 0,Contagem!T236,"")</f>
        <v/>
      </c>
      <c r="D238" s="207"/>
      <c r="E238" s="211" t="str">
        <f t="shared" si="30"/>
        <v/>
      </c>
      <c r="F238" s="207"/>
      <c r="G238" s="211" t="str">
        <f t="shared" si="31"/>
        <v/>
      </c>
      <c r="H238" s="207"/>
      <c r="I238" s="211" t="str">
        <f t="shared" si="32"/>
        <v/>
      </c>
      <c r="J238" s="207"/>
      <c r="K238" s="211" t="str">
        <f t="shared" si="33"/>
        <v/>
      </c>
      <c r="L238" s="207"/>
      <c r="M238" s="211" t="str">
        <f t="shared" si="34"/>
        <v/>
      </c>
      <c r="N238" s="207"/>
      <c r="O238" s="211" t="str">
        <f t="shared" si="35"/>
        <v/>
      </c>
      <c r="P238" s="207"/>
      <c r="Q238" s="211" t="str">
        <f t="shared" si="36"/>
        <v/>
      </c>
      <c r="R238" s="207"/>
      <c r="S238" s="211" t="str">
        <f t="shared" si="37"/>
        <v/>
      </c>
      <c r="T238" s="272" t="str">
        <f t="shared" si="38"/>
        <v/>
      </c>
      <c r="U238" s="212" t="str">
        <f t="shared" si="39"/>
        <v/>
      </c>
    </row>
    <row r="239" spans="2:21" x14ac:dyDescent="0.25">
      <c r="B239" s="241" t="str">
        <f>IF(Contagem!B237=0,"",Contagem!B237)</f>
        <v/>
      </c>
      <c r="C239" s="242" t="str">
        <f>IF(Contagem!T237 &gt; 0,Contagem!T237,"")</f>
        <v/>
      </c>
      <c r="D239" s="207"/>
      <c r="E239" s="211" t="str">
        <f t="shared" si="30"/>
        <v/>
      </c>
      <c r="F239" s="207"/>
      <c r="G239" s="211" t="str">
        <f t="shared" si="31"/>
        <v/>
      </c>
      <c r="H239" s="207"/>
      <c r="I239" s="211" t="str">
        <f t="shared" si="32"/>
        <v/>
      </c>
      <c r="J239" s="207"/>
      <c r="K239" s="211" t="str">
        <f t="shared" si="33"/>
        <v/>
      </c>
      <c r="L239" s="207"/>
      <c r="M239" s="211" t="str">
        <f t="shared" si="34"/>
        <v/>
      </c>
      <c r="N239" s="207"/>
      <c r="O239" s="211" t="str">
        <f t="shared" si="35"/>
        <v/>
      </c>
      <c r="P239" s="207"/>
      <c r="Q239" s="211" t="str">
        <f t="shared" si="36"/>
        <v/>
      </c>
      <c r="R239" s="207"/>
      <c r="S239" s="211" t="str">
        <f t="shared" si="37"/>
        <v/>
      </c>
      <c r="T239" s="272" t="str">
        <f t="shared" si="38"/>
        <v/>
      </c>
      <c r="U239" s="212" t="str">
        <f t="shared" si="39"/>
        <v/>
      </c>
    </row>
    <row r="240" spans="2:21" x14ac:dyDescent="0.25">
      <c r="B240" s="241" t="str">
        <f>IF(Contagem!B238=0,"",Contagem!B238)</f>
        <v/>
      </c>
      <c r="C240" s="242" t="str">
        <f>IF(Contagem!T238 &gt; 0,Contagem!T238,"")</f>
        <v/>
      </c>
      <c r="D240" s="207"/>
      <c r="E240" s="211" t="str">
        <f t="shared" si="30"/>
        <v/>
      </c>
      <c r="F240" s="207"/>
      <c r="G240" s="211" t="str">
        <f t="shared" si="31"/>
        <v/>
      </c>
      <c r="H240" s="207"/>
      <c r="I240" s="211" t="str">
        <f t="shared" si="32"/>
        <v/>
      </c>
      <c r="J240" s="207"/>
      <c r="K240" s="211" t="str">
        <f t="shared" si="33"/>
        <v/>
      </c>
      <c r="L240" s="207"/>
      <c r="M240" s="211" t="str">
        <f t="shared" si="34"/>
        <v/>
      </c>
      <c r="N240" s="207"/>
      <c r="O240" s="211" t="str">
        <f t="shared" si="35"/>
        <v/>
      </c>
      <c r="P240" s="207"/>
      <c r="Q240" s="211" t="str">
        <f t="shared" si="36"/>
        <v/>
      </c>
      <c r="R240" s="207"/>
      <c r="S240" s="211" t="str">
        <f t="shared" si="37"/>
        <v/>
      </c>
      <c r="T240" s="272" t="str">
        <f t="shared" si="38"/>
        <v/>
      </c>
      <c r="U240" s="212" t="str">
        <f t="shared" si="39"/>
        <v/>
      </c>
    </row>
    <row r="241" spans="2:21" x14ac:dyDescent="0.25">
      <c r="B241" s="241" t="str">
        <f>IF(Contagem!B239=0,"",Contagem!B239)</f>
        <v/>
      </c>
      <c r="C241" s="242" t="str">
        <f>IF(Contagem!T239 &gt; 0,Contagem!T239,"")</f>
        <v/>
      </c>
      <c r="D241" s="207"/>
      <c r="E241" s="211" t="str">
        <f t="shared" si="30"/>
        <v/>
      </c>
      <c r="F241" s="207"/>
      <c r="G241" s="211" t="str">
        <f t="shared" si="31"/>
        <v/>
      </c>
      <c r="H241" s="207"/>
      <c r="I241" s="211" t="str">
        <f t="shared" si="32"/>
        <v/>
      </c>
      <c r="J241" s="207"/>
      <c r="K241" s="211" t="str">
        <f t="shared" si="33"/>
        <v/>
      </c>
      <c r="L241" s="207"/>
      <c r="M241" s="211" t="str">
        <f t="shared" si="34"/>
        <v/>
      </c>
      <c r="N241" s="207"/>
      <c r="O241" s="211" t="str">
        <f t="shared" si="35"/>
        <v/>
      </c>
      <c r="P241" s="207"/>
      <c r="Q241" s="211" t="str">
        <f t="shared" si="36"/>
        <v/>
      </c>
      <c r="R241" s="207"/>
      <c r="S241" s="211" t="str">
        <f t="shared" si="37"/>
        <v/>
      </c>
      <c r="T241" s="272" t="str">
        <f t="shared" si="38"/>
        <v/>
      </c>
      <c r="U241" s="212" t="str">
        <f t="shared" si="39"/>
        <v/>
      </c>
    </row>
    <row r="242" spans="2:21" x14ac:dyDescent="0.25">
      <c r="B242" s="241" t="str">
        <f>IF(Contagem!B240=0,"",Contagem!B240)</f>
        <v/>
      </c>
      <c r="C242" s="242" t="str">
        <f>IF(Contagem!T240 &gt; 0,Contagem!T240,"")</f>
        <v/>
      </c>
      <c r="D242" s="207"/>
      <c r="E242" s="211" t="str">
        <f t="shared" si="30"/>
        <v/>
      </c>
      <c r="F242" s="207"/>
      <c r="G242" s="211" t="str">
        <f t="shared" si="31"/>
        <v/>
      </c>
      <c r="H242" s="207"/>
      <c r="I242" s="211" t="str">
        <f t="shared" si="32"/>
        <v/>
      </c>
      <c r="J242" s="207"/>
      <c r="K242" s="211" t="str">
        <f t="shared" si="33"/>
        <v/>
      </c>
      <c r="L242" s="207"/>
      <c r="M242" s="211" t="str">
        <f t="shared" si="34"/>
        <v/>
      </c>
      <c r="N242" s="207"/>
      <c r="O242" s="211" t="str">
        <f t="shared" si="35"/>
        <v/>
      </c>
      <c r="P242" s="207"/>
      <c r="Q242" s="211" t="str">
        <f t="shared" si="36"/>
        <v/>
      </c>
      <c r="R242" s="207"/>
      <c r="S242" s="211" t="str">
        <f t="shared" si="37"/>
        <v/>
      </c>
      <c r="T242" s="272" t="str">
        <f t="shared" si="38"/>
        <v/>
      </c>
      <c r="U242" s="212" t="str">
        <f t="shared" si="39"/>
        <v/>
      </c>
    </row>
    <row r="243" spans="2:21" x14ac:dyDescent="0.25">
      <c r="B243" s="241" t="str">
        <f>IF(Contagem!B241=0,"",Contagem!B241)</f>
        <v/>
      </c>
      <c r="C243" s="242" t="str">
        <f>IF(Contagem!T241 &gt; 0,Contagem!T241,"")</f>
        <v/>
      </c>
      <c r="D243" s="207"/>
      <c r="E243" s="211" t="str">
        <f t="shared" si="30"/>
        <v/>
      </c>
      <c r="F243" s="207"/>
      <c r="G243" s="211" t="str">
        <f t="shared" si="31"/>
        <v/>
      </c>
      <c r="H243" s="207"/>
      <c r="I243" s="211" t="str">
        <f t="shared" si="32"/>
        <v/>
      </c>
      <c r="J243" s="207"/>
      <c r="K243" s="211" t="str">
        <f t="shared" si="33"/>
        <v/>
      </c>
      <c r="L243" s="207"/>
      <c r="M243" s="211" t="str">
        <f t="shared" si="34"/>
        <v/>
      </c>
      <c r="N243" s="207"/>
      <c r="O243" s="211" t="str">
        <f t="shared" si="35"/>
        <v/>
      </c>
      <c r="P243" s="207"/>
      <c r="Q243" s="211" t="str">
        <f t="shared" si="36"/>
        <v/>
      </c>
      <c r="R243" s="207"/>
      <c r="S243" s="211" t="str">
        <f t="shared" si="37"/>
        <v/>
      </c>
      <c r="T243" s="272" t="str">
        <f t="shared" si="38"/>
        <v/>
      </c>
      <c r="U243" s="212" t="str">
        <f t="shared" si="39"/>
        <v/>
      </c>
    </row>
    <row r="244" spans="2:21" x14ac:dyDescent="0.25">
      <c r="B244" s="241" t="str">
        <f>IF(Contagem!B242=0,"",Contagem!B242)</f>
        <v/>
      </c>
      <c r="C244" s="242" t="str">
        <f>IF(Contagem!T242 &gt; 0,Contagem!T242,"")</f>
        <v/>
      </c>
      <c r="D244" s="207"/>
      <c r="E244" s="211" t="str">
        <f t="shared" si="30"/>
        <v/>
      </c>
      <c r="F244" s="207"/>
      <c r="G244" s="211" t="str">
        <f t="shared" si="31"/>
        <v/>
      </c>
      <c r="H244" s="207"/>
      <c r="I244" s="211" t="str">
        <f t="shared" si="32"/>
        <v/>
      </c>
      <c r="J244" s="207"/>
      <c r="K244" s="211" t="str">
        <f t="shared" si="33"/>
        <v/>
      </c>
      <c r="L244" s="207"/>
      <c r="M244" s="211" t="str">
        <f t="shared" si="34"/>
        <v/>
      </c>
      <c r="N244" s="207"/>
      <c r="O244" s="211" t="str">
        <f t="shared" si="35"/>
        <v/>
      </c>
      <c r="P244" s="207"/>
      <c r="Q244" s="211" t="str">
        <f t="shared" si="36"/>
        <v/>
      </c>
      <c r="R244" s="207"/>
      <c r="S244" s="211" t="str">
        <f t="shared" si="37"/>
        <v/>
      </c>
      <c r="T244" s="272" t="str">
        <f t="shared" si="38"/>
        <v/>
      </c>
      <c r="U244" s="212" t="str">
        <f t="shared" si="39"/>
        <v/>
      </c>
    </row>
    <row r="245" spans="2:21" x14ac:dyDescent="0.25">
      <c r="B245" s="241" t="str">
        <f>IF(Contagem!B243=0,"",Contagem!B243)</f>
        <v/>
      </c>
      <c r="C245" s="242" t="str">
        <f>IF(Contagem!T243 &gt; 0,Contagem!T243,"")</f>
        <v/>
      </c>
      <c r="D245" s="207"/>
      <c r="E245" s="211" t="str">
        <f t="shared" si="30"/>
        <v/>
      </c>
      <c r="F245" s="207"/>
      <c r="G245" s="211" t="str">
        <f t="shared" si="31"/>
        <v/>
      </c>
      <c r="H245" s="207"/>
      <c r="I245" s="211" t="str">
        <f t="shared" si="32"/>
        <v/>
      </c>
      <c r="J245" s="207"/>
      <c r="K245" s="211" t="str">
        <f t="shared" si="33"/>
        <v/>
      </c>
      <c r="L245" s="207"/>
      <c r="M245" s="211" t="str">
        <f t="shared" si="34"/>
        <v/>
      </c>
      <c r="N245" s="207"/>
      <c r="O245" s="211" t="str">
        <f t="shared" si="35"/>
        <v/>
      </c>
      <c r="P245" s="207"/>
      <c r="Q245" s="211" t="str">
        <f t="shared" si="36"/>
        <v/>
      </c>
      <c r="R245" s="207"/>
      <c r="S245" s="211" t="str">
        <f t="shared" si="37"/>
        <v/>
      </c>
      <c r="T245" s="272" t="str">
        <f t="shared" si="38"/>
        <v/>
      </c>
      <c r="U245" s="212" t="str">
        <f t="shared" si="39"/>
        <v/>
      </c>
    </row>
    <row r="246" spans="2:21" x14ac:dyDescent="0.25">
      <c r="B246" s="241" t="str">
        <f>IF(Contagem!B244=0,"",Contagem!B244)</f>
        <v/>
      </c>
      <c r="C246" s="242" t="str">
        <f>IF(Contagem!T244 &gt; 0,Contagem!T244,"")</f>
        <v/>
      </c>
      <c r="D246" s="207"/>
      <c r="E246" s="211" t="str">
        <f t="shared" si="30"/>
        <v/>
      </c>
      <c r="F246" s="207"/>
      <c r="G246" s="211" t="str">
        <f t="shared" si="31"/>
        <v/>
      </c>
      <c r="H246" s="207"/>
      <c r="I246" s="211" t="str">
        <f t="shared" si="32"/>
        <v/>
      </c>
      <c r="J246" s="207"/>
      <c r="K246" s="211" t="str">
        <f t="shared" si="33"/>
        <v/>
      </c>
      <c r="L246" s="207"/>
      <c r="M246" s="211" t="str">
        <f t="shared" si="34"/>
        <v/>
      </c>
      <c r="N246" s="207"/>
      <c r="O246" s="211" t="str">
        <f t="shared" si="35"/>
        <v/>
      </c>
      <c r="P246" s="207"/>
      <c r="Q246" s="211" t="str">
        <f t="shared" si="36"/>
        <v/>
      </c>
      <c r="R246" s="207"/>
      <c r="S246" s="211" t="str">
        <f t="shared" si="37"/>
        <v/>
      </c>
      <c r="T246" s="272" t="str">
        <f t="shared" si="38"/>
        <v/>
      </c>
      <c r="U246" s="212" t="str">
        <f t="shared" si="39"/>
        <v/>
      </c>
    </row>
    <row r="247" spans="2:21" x14ac:dyDescent="0.25">
      <c r="B247" s="241" t="str">
        <f>IF(Contagem!B245=0,"",Contagem!B245)</f>
        <v/>
      </c>
      <c r="C247" s="242" t="str">
        <f>IF(Contagem!T245 &gt; 0,Contagem!T245,"")</f>
        <v/>
      </c>
      <c r="D247" s="207"/>
      <c r="E247" s="211" t="str">
        <f t="shared" si="30"/>
        <v/>
      </c>
      <c r="F247" s="207"/>
      <c r="G247" s="211" t="str">
        <f t="shared" si="31"/>
        <v/>
      </c>
      <c r="H247" s="207"/>
      <c r="I247" s="211" t="str">
        <f t="shared" si="32"/>
        <v/>
      </c>
      <c r="J247" s="207"/>
      <c r="K247" s="211" t="str">
        <f t="shared" si="33"/>
        <v/>
      </c>
      <c r="L247" s="207"/>
      <c r="M247" s="211" t="str">
        <f t="shared" si="34"/>
        <v/>
      </c>
      <c r="N247" s="207"/>
      <c r="O247" s="211" t="str">
        <f t="shared" si="35"/>
        <v/>
      </c>
      <c r="P247" s="207"/>
      <c r="Q247" s="211" t="str">
        <f t="shared" si="36"/>
        <v/>
      </c>
      <c r="R247" s="207"/>
      <c r="S247" s="211" t="str">
        <f t="shared" si="37"/>
        <v/>
      </c>
      <c r="T247" s="272" t="str">
        <f t="shared" si="38"/>
        <v/>
      </c>
      <c r="U247" s="212" t="str">
        <f t="shared" si="39"/>
        <v/>
      </c>
    </row>
    <row r="248" spans="2:21" x14ac:dyDescent="0.25">
      <c r="B248" s="241" t="str">
        <f>IF(Contagem!B246=0,"",Contagem!B246)</f>
        <v/>
      </c>
      <c r="C248" s="242" t="str">
        <f>IF(Contagem!T246 &gt; 0,Contagem!T246,"")</f>
        <v/>
      </c>
      <c r="D248" s="207"/>
      <c r="E248" s="211" t="str">
        <f t="shared" si="30"/>
        <v/>
      </c>
      <c r="F248" s="207"/>
      <c r="G248" s="211" t="str">
        <f t="shared" si="31"/>
        <v/>
      </c>
      <c r="H248" s="207"/>
      <c r="I248" s="211" t="str">
        <f t="shared" si="32"/>
        <v/>
      </c>
      <c r="J248" s="207"/>
      <c r="K248" s="211" t="str">
        <f t="shared" si="33"/>
        <v/>
      </c>
      <c r="L248" s="207"/>
      <c r="M248" s="211" t="str">
        <f t="shared" si="34"/>
        <v/>
      </c>
      <c r="N248" s="207"/>
      <c r="O248" s="211" t="str">
        <f t="shared" si="35"/>
        <v/>
      </c>
      <c r="P248" s="207"/>
      <c r="Q248" s="211" t="str">
        <f t="shared" si="36"/>
        <v/>
      </c>
      <c r="R248" s="207"/>
      <c r="S248" s="211" t="str">
        <f t="shared" si="37"/>
        <v/>
      </c>
      <c r="T248" s="272" t="str">
        <f t="shared" si="38"/>
        <v/>
      </c>
      <c r="U248" s="212" t="str">
        <f t="shared" si="39"/>
        <v/>
      </c>
    </row>
    <row r="249" spans="2:21" x14ac:dyDescent="0.25">
      <c r="B249" s="241" t="str">
        <f>IF(Contagem!B247=0,"",Contagem!B247)</f>
        <v/>
      </c>
      <c r="C249" s="242" t="str">
        <f>IF(Contagem!T247 &gt; 0,Contagem!T247,"")</f>
        <v/>
      </c>
      <c r="D249" s="207"/>
      <c r="E249" s="211" t="str">
        <f t="shared" si="30"/>
        <v/>
      </c>
      <c r="F249" s="207"/>
      <c r="G249" s="211" t="str">
        <f t="shared" si="31"/>
        <v/>
      </c>
      <c r="H249" s="207"/>
      <c r="I249" s="211" t="str">
        <f t="shared" si="32"/>
        <v/>
      </c>
      <c r="J249" s="207"/>
      <c r="K249" s="211" t="str">
        <f t="shared" si="33"/>
        <v/>
      </c>
      <c r="L249" s="207"/>
      <c r="M249" s="211" t="str">
        <f t="shared" si="34"/>
        <v/>
      </c>
      <c r="N249" s="207"/>
      <c r="O249" s="211" t="str">
        <f t="shared" si="35"/>
        <v/>
      </c>
      <c r="P249" s="207"/>
      <c r="Q249" s="211" t="str">
        <f t="shared" si="36"/>
        <v/>
      </c>
      <c r="R249" s="207"/>
      <c r="S249" s="211" t="str">
        <f t="shared" si="37"/>
        <v/>
      </c>
      <c r="T249" s="272" t="str">
        <f t="shared" si="38"/>
        <v/>
      </c>
      <c r="U249" s="212" t="str">
        <f t="shared" si="39"/>
        <v/>
      </c>
    </row>
    <row r="250" spans="2:21" x14ac:dyDescent="0.25">
      <c r="B250" s="241" t="str">
        <f>IF(Contagem!B248=0,"",Contagem!B248)</f>
        <v/>
      </c>
      <c r="C250" s="242" t="str">
        <f>IF(Contagem!T248 &gt; 0,Contagem!T248,"")</f>
        <v/>
      </c>
      <c r="D250" s="207"/>
      <c r="E250" s="211" t="str">
        <f t="shared" si="30"/>
        <v/>
      </c>
      <c r="F250" s="207"/>
      <c r="G250" s="211" t="str">
        <f t="shared" si="31"/>
        <v/>
      </c>
      <c r="H250" s="207"/>
      <c r="I250" s="211" t="str">
        <f t="shared" si="32"/>
        <v/>
      </c>
      <c r="J250" s="207"/>
      <c r="K250" s="211" t="str">
        <f t="shared" si="33"/>
        <v/>
      </c>
      <c r="L250" s="207"/>
      <c r="M250" s="211" t="str">
        <f t="shared" si="34"/>
        <v/>
      </c>
      <c r="N250" s="207"/>
      <c r="O250" s="211" t="str">
        <f t="shared" si="35"/>
        <v/>
      </c>
      <c r="P250" s="207"/>
      <c r="Q250" s="211" t="str">
        <f t="shared" si="36"/>
        <v/>
      </c>
      <c r="R250" s="207"/>
      <c r="S250" s="211" t="str">
        <f t="shared" si="37"/>
        <v/>
      </c>
      <c r="T250" s="272" t="str">
        <f t="shared" si="38"/>
        <v/>
      </c>
      <c r="U250" s="212" t="str">
        <f t="shared" si="39"/>
        <v/>
      </c>
    </row>
    <row r="251" spans="2:21" x14ac:dyDescent="0.25">
      <c r="B251" s="241" t="str">
        <f>IF(Contagem!B249=0,"",Contagem!B249)</f>
        <v/>
      </c>
      <c r="C251" s="242" t="str">
        <f>IF(Contagem!T249 &gt; 0,Contagem!T249,"")</f>
        <v/>
      </c>
      <c r="D251" s="207"/>
      <c r="E251" s="211" t="str">
        <f t="shared" si="30"/>
        <v/>
      </c>
      <c r="F251" s="207"/>
      <c r="G251" s="211" t="str">
        <f t="shared" si="31"/>
        <v/>
      </c>
      <c r="H251" s="207"/>
      <c r="I251" s="211" t="str">
        <f t="shared" si="32"/>
        <v/>
      </c>
      <c r="J251" s="207"/>
      <c r="K251" s="211" t="str">
        <f t="shared" si="33"/>
        <v/>
      </c>
      <c r="L251" s="207"/>
      <c r="M251" s="211" t="str">
        <f t="shared" si="34"/>
        <v/>
      </c>
      <c r="N251" s="207"/>
      <c r="O251" s="211" t="str">
        <f t="shared" si="35"/>
        <v/>
      </c>
      <c r="P251" s="207"/>
      <c r="Q251" s="211" t="str">
        <f t="shared" si="36"/>
        <v/>
      </c>
      <c r="R251" s="207"/>
      <c r="S251" s="211" t="str">
        <f t="shared" si="37"/>
        <v/>
      </c>
      <c r="T251" s="272" t="str">
        <f t="shared" si="38"/>
        <v/>
      </c>
      <c r="U251" s="212" t="str">
        <f t="shared" si="39"/>
        <v/>
      </c>
    </row>
    <row r="252" spans="2:21" x14ac:dyDescent="0.25">
      <c r="B252" s="241" t="str">
        <f>IF(Contagem!B250=0,"",Contagem!B250)</f>
        <v/>
      </c>
      <c r="C252" s="242" t="str">
        <f>IF(Contagem!T250 &gt; 0,Contagem!T250,"")</f>
        <v/>
      </c>
      <c r="D252" s="207"/>
      <c r="E252" s="211" t="str">
        <f t="shared" si="30"/>
        <v/>
      </c>
      <c r="F252" s="207"/>
      <c r="G252" s="211" t="str">
        <f t="shared" si="31"/>
        <v/>
      </c>
      <c r="H252" s="207"/>
      <c r="I252" s="211" t="str">
        <f t="shared" si="32"/>
        <v/>
      </c>
      <c r="J252" s="207"/>
      <c r="K252" s="211" t="str">
        <f t="shared" si="33"/>
        <v/>
      </c>
      <c r="L252" s="207"/>
      <c r="M252" s="211" t="str">
        <f t="shared" si="34"/>
        <v/>
      </c>
      <c r="N252" s="207"/>
      <c r="O252" s="211" t="str">
        <f t="shared" si="35"/>
        <v/>
      </c>
      <c r="P252" s="207"/>
      <c r="Q252" s="211" t="str">
        <f t="shared" si="36"/>
        <v/>
      </c>
      <c r="R252" s="207"/>
      <c r="S252" s="211" t="str">
        <f t="shared" si="37"/>
        <v/>
      </c>
      <c r="T252" s="272" t="str">
        <f t="shared" si="38"/>
        <v/>
      </c>
      <c r="U252" s="212" t="str">
        <f t="shared" si="39"/>
        <v/>
      </c>
    </row>
    <row r="253" spans="2:21" x14ac:dyDescent="0.25">
      <c r="B253" s="241" t="str">
        <f>IF(Contagem!B251=0,"",Contagem!B251)</f>
        <v/>
      </c>
      <c r="C253" s="242" t="str">
        <f>IF(Contagem!T251 &gt; 0,Contagem!T251,"")</f>
        <v/>
      </c>
      <c r="D253" s="207"/>
      <c r="E253" s="211" t="str">
        <f t="shared" si="30"/>
        <v/>
      </c>
      <c r="F253" s="207"/>
      <c r="G253" s="211" t="str">
        <f t="shared" si="31"/>
        <v/>
      </c>
      <c r="H253" s="207"/>
      <c r="I253" s="211" t="str">
        <f t="shared" si="32"/>
        <v/>
      </c>
      <c r="J253" s="207"/>
      <c r="K253" s="211" t="str">
        <f t="shared" si="33"/>
        <v/>
      </c>
      <c r="L253" s="207"/>
      <c r="M253" s="211" t="str">
        <f t="shared" si="34"/>
        <v/>
      </c>
      <c r="N253" s="207"/>
      <c r="O253" s="211" t="str">
        <f t="shared" si="35"/>
        <v/>
      </c>
      <c r="P253" s="207"/>
      <c r="Q253" s="211" t="str">
        <f t="shared" si="36"/>
        <v/>
      </c>
      <c r="R253" s="207"/>
      <c r="S253" s="211" t="str">
        <f t="shared" si="37"/>
        <v/>
      </c>
      <c r="T253" s="272" t="str">
        <f t="shared" si="38"/>
        <v/>
      </c>
      <c r="U253" s="212" t="str">
        <f t="shared" si="39"/>
        <v/>
      </c>
    </row>
    <row r="254" spans="2:21" x14ac:dyDescent="0.25">
      <c r="B254" s="241" t="str">
        <f>IF(Contagem!B252=0,"",Contagem!B252)</f>
        <v/>
      </c>
      <c r="C254" s="242" t="str">
        <f>IF(Contagem!T252 &gt; 0,Contagem!T252,"")</f>
        <v/>
      </c>
      <c r="D254" s="207"/>
      <c r="E254" s="211" t="str">
        <f t="shared" si="30"/>
        <v/>
      </c>
      <c r="F254" s="207"/>
      <c r="G254" s="211" t="str">
        <f t="shared" si="31"/>
        <v/>
      </c>
      <c r="H254" s="207"/>
      <c r="I254" s="211" t="str">
        <f t="shared" si="32"/>
        <v/>
      </c>
      <c r="J254" s="207"/>
      <c r="K254" s="211" t="str">
        <f t="shared" si="33"/>
        <v/>
      </c>
      <c r="L254" s="207"/>
      <c r="M254" s="211" t="str">
        <f t="shared" si="34"/>
        <v/>
      </c>
      <c r="N254" s="207"/>
      <c r="O254" s="211" t="str">
        <f t="shared" si="35"/>
        <v/>
      </c>
      <c r="P254" s="207"/>
      <c r="Q254" s="211" t="str">
        <f t="shared" si="36"/>
        <v/>
      </c>
      <c r="R254" s="207"/>
      <c r="S254" s="211" t="str">
        <f t="shared" si="37"/>
        <v/>
      </c>
      <c r="T254" s="272" t="str">
        <f t="shared" si="38"/>
        <v/>
      </c>
      <c r="U254" s="212" t="str">
        <f t="shared" si="39"/>
        <v/>
      </c>
    </row>
    <row r="255" spans="2:21" x14ac:dyDescent="0.25">
      <c r="B255" s="241" t="str">
        <f>IF(Contagem!B253=0,"",Contagem!B253)</f>
        <v/>
      </c>
      <c r="C255" s="242" t="str">
        <f>IF(Contagem!T253 &gt; 0,Contagem!T253,"")</f>
        <v/>
      </c>
      <c r="D255" s="207"/>
      <c r="E255" s="211" t="str">
        <f t="shared" si="30"/>
        <v/>
      </c>
      <c r="F255" s="207"/>
      <c r="G255" s="211" t="str">
        <f t="shared" si="31"/>
        <v/>
      </c>
      <c r="H255" s="207"/>
      <c r="I255" s="211" t="str">
        <f t="shared" si="32"/>
        <v/>
      </c>
      <c r="J255" s="207"/>
      <c r="K255" s="211" t="str">
        <f t="shared" si="33"/>
        <v/>
      </c>
      <c r="L255" s="207"/>
      <c r="M255" s="211" t="str">
        <f t="shared" si="34"/>
        <v/>
      </c>
      <c r="N255" s="207"/>
      <c r="O255" s="211" t="str">
        <f t="shared" si="35"/>
        <v/>
      </c>
      <c r="P255" s="207"/>
      <c r="Q255" s="211" t="str">
        <f t="shared" si="36"/>
        <v/>
      </c>
      <c r="R255" s="207"/>
      <c r="S255" s="211" t="str">
        <f t="shared" si="37"/>
        <v/>
      </c>
      <c r="T255" s="272" t="str">
        <f t="shared" si="38"/>
        <v/>
      </c>
      <c r="U255" s="212" t="str">
        <f t="shared" si="39"/>
        <v/>
      </c>
    </row>
    <row r="256" spans="2:21" x14ac:dyDescent="0.25">
      <c r="B256" s="241" t="str">
        <f>IF(Contagem!B254=0,"",Contagem!B254)</f>
        <v/>
      </c>
      <c r="C256" s="242" t="str">
        <f>IF(Contagem!T254 &gt; 0,Contagem!T254,"")</f>
        <v/>
      </c>
      <c r="D256" s="207"/>
      <c r="E256" s="211" t="str">
        <f t="shared" si="30"/>
        <v/>
      </c>
      <c r="F256" s="207"/>
      <c r="G256" s="211" t="str">
        <f t="shared" si="31"/>
        <v/>
      </c>
      <c r="H256" s="207"/>
      <c r="I256" s="211" t="str">
        <f t="shared" si="32"/>
        <v/>
      </c>
      <c r="J256" s="207"/>
      <c r="K256" s="211" t="str">
        <f t="shared" si="33"/>
        <v/>
      </c>
      <c r="L256" s="207"/>
      <c r="M256" s="211" t="str">
        <f t="shared" si="34"/>
        <v/>
      </c>
      <c r="N256" s="207"/>
      <c r="O256" s="211" t="str">
        <f t="shared" si="35"/>
        <v/>
      </c>
      <c r="P256" s="207"/>
      <c r="Q256" s="211" t="str">
        <f t="shared" si="36"/>
        <v/>
      </c>
      <c r="R256" s="207"/>
      <c r="S256" s="211" t="str">
        <f t="shared" si="37"/>
        <v/>
      </c>
      <c r="T256" s="272" t="str">
        <f t="shared" si="38"/>
        <v/>
      </c>
      <c r="U256" s="212" t="str">
        <f t="shared" si="39"/>
        <v/>
      </c>
    </row>
    <row r="257" spans="2:21" x14ac:dyDescent="0.25">
      <c r="B257" s="241" t="str">
        <f>IF(Contagem!B255=0,"",Contagem!B255)</f>
        <v/>
      </c>
      <c r="C257" s="242" t="str">
        <f>IF(Contagem!T255 &gt; 0,Contagem!T255,"")</f>
        <v/>
      </c>
      <c r="D257" s="207"/>
      <c r="E257" s="211" t="str">
        <f t="shared" si="30"/>
        <v/>
      </c>
      <c r="F257" s="207"/>
      <c r="G257" s="211" t="str">
        <f t="shared" si="31"/>
        <v/>
      </c>
      <c r="H257" s="207"/>
      <c r="I257" s="211" t="str">
        <f t="shared" si="32"/>
        <v/>
      </c>
      <c r="J257" s="207"/>
      <c r="K257" s="211" t="str">
        <f t="shared" si="33"/>
        <v/>
      </c>
      <c r="L257" s="207"/>
      <c r="M257" s="211" t="str">
        <f t="shared" si="34"/>
        <v/>
      </c>
      <c r="N257" s="207"/>
      <c r="O257" s="211" t="str">
        <f t="shared" si="35"/>
        <v/>
      </c>
      <c r="P257" s="207"/>
      <c r="Q257" s="211" t="str">
        <f t="shared" si="36"/>
        <v/>
      </c>
      <c r="R257" s="207"/>
      <c r="S257" s="211" t="str">
        <f t="shared" si="37"/>
        <v/>
      </c>
      <c r="T257" s="272" t="str">
        <f t="shared" si="38"/>
        <v/>
      </c>
      <c r="U257" s="212" t="str">
        <f t="shared" si="39"/>
        <v/>
      </c>
    </row>
    <row r="258" spans="2:21" x14ac:dyDescent="0.25">
      <c r="B258" s="241" t="str">
        <f>IF(Contagem!B256=0,"",Contagem!B256)</f>
        <v/>
      </c>
      <c r="C258" s="242" t="str">
        <f>IF(Contagem!T256 &gt; 0,Contagem!T256,"")</f>
        <v/>
      </c>
      <c r="D258" s="207"/>
      <c r="E258" s="211" t="str">
        <f t="shared" si="30"/>
        <v/>
      </c>
      <c r="F258" s="207"/>
      <c r="G258" s="211" t="str">
        <f t="shared" si="31"/>
        <v/>
      </c>
      <c r="H258" s="207"/>
      <c r="I258" s="211" t="str">
        <f t="shared" si="32"/>
        <v/>
      </c>
      <c r="J258" s="207"/>
      <c r="K258" s="211" t="str">
        <f t="shared" si="33"/>
        <v/>
      </c>
      <c r="L258" s="207"/>
      <c r="M258" s="211" t="str">
        <f t="shared" si="34"/>
        <v/>
      </c>
      <c r="N258" s="207"/>
      <c r="O258" s="211" t="str">
        <f t="shared" si="35"/>
        <v/>
      </c>
      <c r="P258" s="207"/>
      <c r="Q258" s="211" t="str">
        <f t="shared" si="36"/>
        <v/>
      </c>
      <c r="R258" s="207"/>
      <c r="S258" s="211" t="str">
        <f t="shared" si="37"/>
        <v/>
      </c>
      <c r="T258" s="272" t="str">
        <f t="shared" si="38"/>
        <v/>
      </c>
      <c r="U258" s="212" t="str">
        <f t="shared" si="39"/>
        <v/>
      </c>
    </row>
    <row r="259" spans="2:21" x14ac:dyDescent="0.25">
      <c r="B259" s="241" t="str">
        <f>IF(Contagem!B257=0,"",Contagem!B257)</f>
        <v/>
      </c>
      <c r="C259" s="242" t="str">
        <f>IF(Contagem!T257 &gt; 0,Contagem!T257,"")</f>
        <v/>
      </c>
      <c r="D259" s="207"/>
      <c r="E259" s="211" t="str">
        <f t="shared" si="30"/>
        <v/>
      </c>
      <c r="F259" s="207"/>
      <c r="G259" s="211" t="str">
        <f t="shared" si="31"/>
        <v/>
      </c>
      <c r="H259" s="207"/>
      <c r="I259" s="211" t="str">
        <f t="shared" si="32"/>
        <v/>
      </c>
      <c r="J259" s="207"/>
      <c r="K259" s="211" t="str">
        <f t="shared" si="33"/>
        <v/>
      </c>
      <c r="L259" s="207"/>
      <c r="M259" s="211" t="str">
        <f t="shared" si="34"/>
        <v/>
      </c>
      <c r="N259" s="207"/>
      <c r="O259" s="211" t="str">
        <f t="shared" si="35"/>
        <v/>
      </c>
      <c r="P259" s="207"/>
      <c r="Q259" s="211" t="str">
        <f t="shared" si="36"/>
        <v/>
      </c>
      <c r="R259" s="207"/>
      <c r="S259" s="211" t="str">
        <f t="shared" si="37"/>
        <v/>
      </c>
      <c r="T259" s="272" t="str">
        <f t="shared" si="38"/>
        <v/>
      </c>
      <c r="U259" s="212" t="str">
        <f t="shared" si="39"/>
        <v/>
      </c>
    </row>
    <row r="260" spans="2:21" x14ac:dyDescent="0.25">
      <c r="B260" s="241" t="str">
        <f>IF(Contagem!B258=0,"",Contagem!B258)</f>
        <v/>
      </c>
      <c r="C260" s="242" t="str">
        <f>IF(Contagem!T258 &gt; 0,Contagem!T258,"")</f>
        <v/>
      </c>
      <c r="D260" s="207"/>
      <c r="E260" s="211" t="str">
        <f t="shared" si="30"/>
        <v/>
      </c>
      <c r="F260" s="207"/>
      <c r="G260" s="211" t="str">
        <f t="shared" si="31"/>
        <v/>
      </c>
      <c r="H260" s="207"/>
      <c r="I260" s="211" t="str">
        <f t="shared" si="32"/>
        <v/>
      </c>
      <c r="J260" s="207"/>
      <c r="K260" s="211" t="str">
        <f t="shared" si="33"/>
        <v/>
      </c>
      <c r="L260" s="207"/>
      <c r="M260" s="211" t="str">
        <f t="shared" si="34"/>
        <v/>
      </c>
      <c r="N260" s="207"/>
      <c r="O260" s="211" t="str">
        <f t="shared" si="35"/>
        <v/>
      </c>
      <c r="P260" s="207"/>
      <c r="Q260" s="211" t="str">
        <f t="shared" si="36"/>
        <v/>
      </c>
      <c r="R260" s="207"/>
      <c r="S260" s="211" t="str">
        <f t="shared" si="37"/>
        <v/>
      </c>
      <c r="T260" s="272" t="str">
        <f t="shared" si="38"/>
        <v/>
      </c>
      <c r="U260" s="212" t="str">
        <f t="shared" si="39"/>
        <v/>
      </c>
    </row>
    <row r="261" spans="2:21" x14ac:dyDescent="0.25">
      <c r="B261" s="241" t="str">
        <f>IF(Contagem!B259=0,"",Contagem!B259)</f>
        <v/>
      </c>
      <c r="C261" s="242" t="str">
        <f>IF(Contagem!T259 &gt; 0,Contagem!T259,"")</f>
        <v/>
      </c>
      <c r="D261" s="207"/>
      <c r="E261" s="211" t="str">
        <f t="shared" si="30"/>
        <v/>
      </c>
      <c r="F261" s="207"/>
      <c r="G261" s="211" t="str">
        <f t="shared" si="31"/>
        <v/>
      </c>
      <c r="H261" s="207"/>
      <c r="I261" s="211" t="str">
        <f t="shared" si="32"/>
        <v/>
      </c>
      <c r="J261" s="207"/>
      <c r="K261" s="211" t="str">
        <f t="shared" si="33"/>
        <v/>
      </c>
      <c r="L261" s="207"/>
      <c r="M261" s="211" t="str">
        <f t="shared" si="34"/>
        <v/>
      </c>
      <c r="N261" s="207"/>
      <c r="O261" s="211" t="str">
        <f t="shared" si="35"/>
        <v/>
      </c>
      <c r="P261" s="207"/>
      <c r="Q261" s="211" t="str">
        <f t="shared" si="36"/>
        <v/>
      </c>
      <c r="R261" s="207"/>
      <c r="S261" s="211" t="str">
        <f t="shared" si="37"/>
        <v/>
      </c>
      <c r="T261" s="272" t="str">
        <f t="shared" si="38"/>
        <v/>
      </c>
      <c r="U261" s="212" t="str">
        <f t="shared" si="39"/>
        <v/>
      </c>
    </row>
    <row r="262" spans="2:21" x14ac:dyDescent="0.25">
      <c r="B262" s="241" t="str">
        <f>IF(Contagem!B260=0,"",Contagem!B260)</f>
        <v/>
      </c>
      <c r="C262" s="242" t="str">
        <f>IF(Contagem!T260 &gt; 0,Contagem!T260,"")</f>
        <v/>
      </c>
      <c r="D262" s="207"/>
      <c r="E262" s="211" t="str">
        <f t="shared" si="30"/>
        <v/>
      </c>
      <c r="F262" s="207"/>
      <c r="G262" s="211" t="str">
        <f t="shared" si="31"/>
        <v/>
      </c>
      <c r="H262" s="207"/>
      <c r="I262" s="211" t="str">
        <f t="shared" si="32"/>
        <v/>
      </c>
      <c r="J262" s="207"/>
      <c r="K262" s="211" t="str">
        <f t="shared" si="33"/>
        <v/>
      </c>
      <c r="L262" s="207"/>
      <c r="M262" s="211" t="str">
        <f t="shared" si="34"/>
        <v/>
      </c>
      <c r="N262" s="207"/>
      <c r="O262" s="211" t="str">
        <f t="shared" si="35"/>
        <v/>
      </c>
      <c r="P262" s="207"/>
      <c r="Q262" s="211" t="str">
        <f t="shared" si="36"/>
        <v/>
      </c>
      <c r="R262" s="207"/>
      <c r="S262" s="211" t="str">
        <f t="shared" si="37"/>
        <v/>
      </c>
      <c r="T262" s="272" t="str">
        <f t="shared" si="38"/>
        <v/>
      </c>
      <c r="U262" s="212" t="str">
        <f t="shared" si="39"/>
        <v/>
      </c>
    </row>
    <row r="263" spans="2:21" x14ac:dyDescent="0.25">
      <c r="B263" s="241" t="str">
        <f>IF(Contagem!B261=0,"",Contagem!B261)</f>
        <v/>
      </c>
      <c r="C263" s="242" t="str">
        <f>IF(Contagem!T261 &gt; 0,Contagem!T261,"")</f>
        <v/>
      </c>
      <c r="D263" s="207"/>
      <c r="E263" s="211" t="str">
        <f t="shared" ref="E263:E326" si="40">IFERROR(IF(AND($D$4&lt;&gt; 0,D263="Sim", $C263 &gt; 0),$C263*$D$4,""),0)</f>
        <v/>
      </c>
      <c r="F263" s="207"/>
      <c r="G263" s="211" t="str">
        <f t="shared" ref="G263:G326" si="41">IFERROR(IF(AND($F$4&lt;&gt; 0,F263="Sim", $C263 &gt; 0),$C263*$F$4,""),0)</f>
        <v/>
      </c>
      <c r="H263" s="207"/>
      <c r="I263" s="211" t="str">
        <f t="shared" ref="I263:I326" si="42">IFERROR(IF(AND($H$4&lt;&gt; 0,H263="Sim", $C263 &gt; 0),$C263*$H$4,""),0)</f>
        <v/>
      </c>
      <c r="J263" s="207"/>
      <c r="K263" s="211" t="str">
        <f t="shared" ref="K263:K326" si="43">IFERROR(IF(AND($J$4&lt;&gt; 0,J263="Sim", $C263 &gt; 0),$C263*$J$4,""),0)</f>
        <v/>
      </c>
      <c r="L263" s="207"/>
      <c r="M263" s="211" t="str">
        <f t="shared" ref="M263:M326" si="44">IFERROR(IF(AND($L$4&lt;&gt; 0,L263="Sim", $C263 &gt; 0),$C263*$L$4,""),0)</f>
        <v/>
      </c>
      <c r="N263" s="207"/>
      <c r="O263" s="211" t="str">
        <f t="shared" ref="O263:O326" si="45">IFERROR(IF(AND($N$4&lt;&gt; 0,N263="Sim", $C263 &gt; 0),$C263*$N$4,""),0)</f>
        <v/>
      </c>
      <c r="P263" s="207"/>
      <c r="Q263" s="211" t="str">
        <f t="shared" ref="Q263:Q326" si="46">IFERROR(IF(AND($P$4&lt;&gt; 0,P263="Sim", $C263 &gt; 0),$C263*$P$4,""),0)</f>
        <v/>
      </c>
      <c r="R263" s="207"/>
      <c r="S263" s="211" t="str">
        <f t="shared" ref="S263:S326" si="47">IFERROR(IF(AND($R$4&lt;&gt; 0,R263="Sim", $C263 &gt; 0),$C263*$R$4,""),0)</f>
        <v/>
      </c>
      <c r="T263" s="272" t="str">
        <f t="shared" ref="T263:T326" si="48">IFERROR(U263/C263,"")</f>
        <v/>
      </c>
      <c r="U263" s="212" t="str">
        <f t="shared" ref="U263:U326" si="49">IF(SUM(E263,G263,I263,K263,M263,O263,Q263,S263) &gt; 0,SUM(E263,G263,I263,K263,M263,O263,Q263,S263),"")</f>
        <v/>
      </c>
    </row>
    <row r="264" spans="2:21" x14ac:dyDescent="0.25">
      <c r="B264" s="241" t="str">
        <f>IF(Contagem!B262=0,"",Contagem!B262)</f>
        <v/>
      </c>
      <c r="C264" s="242" t="str">
        <f>IF(Contagem!T262 &gt; 0,Contagem!T262,"")</f>
        <v/>
      </c>
      <c r="D264" s="207"/>
      <c r="E264" s="211" t="str">
        <f t="shared" si="40"/>
        <v/>
      </c>
      <c r="F264" s="207"/>
      <c r="G264" s="211" t="str">
        <f t="shared" si="41"/>
        <v/>
      </c>
      <c r="H264" s="207"/>
      <c r="I264" s="211" t="str">
        <f t="shared" si="42"/>
        <v/>
      </c>
      <c r="J264" s="207"/>
      <c r="K264" s="211" t="str">
        <f t="shared" si="43"/>
        <v/>
      </c>
      <c r="L264" s="207"/>
      <c r="M264" s="211" t="str">
        <f t="shared" si="44"/>
        <v/>
      </c>
      <c r="N264" s="207"/>
      <c r="O264" s="211" t="str">
        <f t="shared" si="45"/>
        <v/>
      </c>
      <c r="P264" s="207"/>
      <c r="Q264" s="211" t="str">
        <f t="shared" si="46"/>
        <v/>
      </c>
      <c r="R264" s="207"/>
      <c r="S264" s="211" t="str">
        <f t="shared" si="47"/>
        <v/>
      </c>
      <c r="T264" s="272" t="str">
        <f t="shared" si="48"/>
        <v/>
      </c>
      <c r="U264" s="212" t="str">
        <f t="shared" si="49"/>
        <v/>
      </c>
    </row>
    <row r="265" spans="2:21" x14ac:dyDescent="0.25">
      <c r="B265" s="241" t="str">
        <f>IF(Contagem!B263=0,"",Contagem!B263)</f>
        <v/>
      </c>
      <c r="C265" s="242" t="str">
        <f>IF(Contagem!T263 &gt; 0,Contagem!T263,"")</f>
        <v/>
      </c>
      <c r="D265" s="207"/>
      <c r="E265" s="211" t="str">
        <f t="shared" si="40"/>
        <v/>
      </c>
      <c r="F265" s="207"/>
      <c r="G265" s="211" t="str">
        <f t="shared" si="41"/>
        <v/>
      </c>
      <c r="H265" s="207"/>
      <c r="I265" s="211" t="str">
        <f t="shared" si="42"/>
        <v/>
      </c>
      <c r="J265" s="207"/>
      <c r="K265" s="211" t="str">
        <f t="shared" si="43"/>
        <v/>
      </c>
      <c r="L265" s="207"/>
      <c r="M265" s="211" t="str">
        <f t="shared" si="44"/>
        <v/>
      </c>
      <c r="N265" s="207"/>
      <c r="O265" s="211" t="str">
        <f t="shared" si="45"/>
        <v/>
      </c>
      <c r="P265" s="207"/>
      <c r="Q265" s="211" t="str">
        <f t="shared" si="46"/>
        <v/>
      </c>
      <c r="R265" s="207"/>
      <c r="S265" s="211" t="str">
        <f t="shared" si="47"/>
        <v/>
      </c>
      <c r="T265" s="272" t="str">
        <f t="shared" si="48"/>
        <v/>
      </c>
      <c r="U265" s="212" t="str">
        <f t="shared" si="49"/>
        <v/>
      </c>
    </row>
    <row r="266" spans="2:21" x14ac:dyDescent="0.25">
      <c r="B266" s="241" t="str">
        <f>IF(Contagem!B264=0,"",Contagem!B264)</f>
        <v/>
      </c>
      <c r="C266" s="242" t="str">
        <f>IF(Contagem!T264 &gt; 0,Contagem!T264,"")</f>
        <v/>
      </c>
      <c r="D266" s="207"/>
      <c r="E266" s="211" t="str">
        <f t="shared" si="40"/>
        <v/>
      </c>
      <c r="F266" s="207"/>
      <c r="G266" s="211" t="str">
        <f t="shared" si="41"/>
        <v/>
      </c>
      <c r="H266" s="207"/>
      <c r="I266" s="211" t="str">
        <f t="shared" si="42"/>
        <v/>
      </c>
      <c r="J266" s="207"/>
      <c r="K266" s="211" t="str">
        <f t="shared" si="43"/>
        <v/>
      </c>
      <c r="L266" s="207"/>
      <c r="M266" s="211" t="str">
        <f t="shared" si="44"/>
        <v/>
      </c>
      <c r="N266" s="207"/>
      <c r="O266" s="211" t="str">
        <f t="shared" si="45"/>
        <v/>
      </c>
      <c r="P266" s="207"/>
      <c r="Q266" s="211" t="str">
        <f t="shared" si="46"/>
        <v/>
      </c>
      <c r="R266" s="207"/>
      <c r="S266" s="211" t="str">
        <f t="shared" si="47"/>
        <v/>
      </c>
      <c r="T266" s="272" t="str">
        <f t="shared" si="48"/>
        <v/>
      </c>
      <c r="U266" s="212" t="str">
        <f t="shared" si="49"/>
        <v/>
      </c>
    </row>
    <row r="267" spans="2:21" x14ac:dyDescent="0.25">
      <c r="B267" s="241" t="str">
        <f>IF(Contagem!B265=0,"",Contagem!B265)</f>
        <v/>
      </c>
      <c r="C267" s="242" t="str">
        <f>IF(Contagem!T265 &gt; 0,Contagem!T265,"")</f>
        <v/>
      </c>
      <c r="D267" s="207"/>
      <c r="E267" s="211" t="str">
        <f t="shared" si="40"/>
        <v/>
      </c>
      <c r="F267" s="207"/>
      <c r="G267" s="211" t="str">
        <f t="shared" si="41"/>
        <v/>
      </c>
      <c r="H267" s="207"/>
      <c r="I267" s="211" t="str">
        <f t="shared" si="42"/>
        <v/>
      </c>
      <c r="J267" s="207"/>
      <c r="K267" s="211" t="str">
        <f t="shared" si="43"/>
        <v/>
      </c>
      <c r="L267" s="207"/>
      <c r="M267" s="211" t="str">
        <f t="shared" si="44"/>
        <v/>
      </c>
      <c r="N267" s="207"/>
      <c r="O267" s="211" t="str">
        <f t="shared" si="45"/>
        <v/>
      </c>
      <c r="P267" s="207"/>
      <c r="Q267" s="211" t="str">
        <f t="shared" si="46"/>
        <v/>
      </c>
      <c r="R267" s="207"/>
      <c r="S267" s="211" t="str">
        <f t="shared" si="47"/>
        <v/>
      </c>
      <c r="T267" s="272" t="str">
        <f t="shared" si="48"/>
        <v/>
      </c>
      <c r="U267" s="212" t="str">
        <f t="shared" si="49"/>
        <v/>
      </c>
    </row>
    <row r="268" spans="2:21" x14ac:dyDescent="0.25">
      <c r="B268" s="241" t="str">
        <f>IF(Contagem!B266=0,"",Contagem!B266)</f>
        <v/>
      </c>
      <c r="C268" s="242" t="str">
        <f>IF(Contagem!T266 &gt; 0,Contagem!T266,"")</f>
        <v/>
      </c>
      <c r="D268" s="207"/>
      <c r="E268" s="211" t="str">
        <f t="shared" si="40"/>
        <v/>
      </c>
      <c r="F268" s="207"/>
      <c r="G268" s="211" t="str">
        <f t="shared" si="41"/>
        <v/>
      </c>
      <c r="H268" s="207"/>
      <c r="I268" s="211" t="str">
        <f t="shared" si="42"/>
        <v/>
      </c>
      <c r="J268" s="207"/>
      <c r="K268" s="211" t="str">
        <f t="shared" si="43"/>
        <v/>
      </c>
      <c r="L268" s="207"/>
      <c r="M268" s="211" t="str">
        <f t="shared" si="44"/>
        <v/>
      </c>
      <c r="N268" s="207"/>
      <c r="O268" s="211" t="str">
        <f t="shared" si="45"/>
        <v/>
      </c>
      <c r="P268" s="207"/>
      <c r="Q268" s="211" t="str">
        <f t="shared" si="46"/>
        <v/>
      </c>
      <c r="R268" s="207"/>
      <c r="S268" s="211" t="str">
        <f t="shared" si="47"/>
        <v/>
      </c>
      <c r="T268" s="272" t="str">
        <f t="shared" si="48"/>
        <v/>
      </c>
      <c r="U268" s="212" t="str">
        <f t="shared" si="49"/>
        <v/>
      </c>
    </row>
    <row r="269" spans="2:21" x14ac:dyDescent="0.25">
      <c r="B269" s="241" t="str">
        <f>IF(Contagem!B267=0,"",Contagem!B267)</f>
        <v/>
      </c>
      <c r="C269" s="242" t="str">
        <f>IF(Contagem!T267 &gt; 0,Contagem!T267,"")</f>
        <v/>
      </c>
      <c r="D269" s="207"/>
      <c r="E269" s="211" t="str">
        <f t="shared" si="40"/>
        <v/>
      </c>
      <c r="F269" s="207"/>
      <c r="G269" s="211" t="str">
        <f t="shared" si="41"/>
        <v/>
      </c>
      <c r="H269" s="207"/>
      <c r="I269" s="211" t="str">
        <f t="shared" si="42"/>
        <v/>
      </c>
      <c r="J269" s="207"/>
      <c r="K269" s="211" t="str">
        <f t="shared" si="43"/>
        <v/>
      </c>
      <c r="L269" s="207"/>
      <c r="M269" s="211" t="str">
        <f t="shared" si="44"/>
        <v/>
      </c>
      <c r="N269" s="207"/>
      <c r="O269" s="211" t="str">
        <f t="shared" si="45"/>
        <v/>
      </c>
      <c r="P269" s="207"/>
      <c r="Q269" s="211" t="str">
        <f t="shared" si="46"/>
        <v/>
      </c>
      <c r="R269" s="207"/>
      <c r="S269" s="211" t="str">
        <f t="shared" si="47"/>
        <v/>
      </c>
      <c r="T269" s="272" t="str">
        <f t="shared" si="48"/>
        <v/>
      </c>
      <c r="U269" s="212" t="str">
        <f t="shared" si="49"/>
        <v/>
      </c>
    </row>
    <row r="270" spans="2:21" x14ac:dyDescent="0.25">
      <c r="B270" s="241" t="str">
        <f>IF(Contagem!B268=0,"",Contagem!B268)</f>
        <v/>
      </c>
      <c r="C270" s="242" t="str">
        <f>IF(Contagem!T268 &gt; 0,Contagem!T268,"")</f>
        <v/>
      </c>
      <c r="D270" s="207"/>
      <c r="E270" s="211" t="str">
        <f t="shared" si="40"/>
        <v/>
      </c>
      <c r="F270" s="207"/>
      <c r="G270" s="211" t="str">
        <f t="shared" si="41"/>
        <v/>
      </c>
      <c r="H270" s="207"/>
      <c r="I270" s="211" t="str">
        <f t="shared" si="42"/>
        <v/>
      </c>
      <c r="J270" s="207"/>
      <c r="K270" s="211" t="str">
        <f t="shared" si="43"/>
        <v/>
      </c>
      <c r="L270" s="207"/>
      <c r="M270" s="211" t="str">
        <f t="shared" si="44"/>
        <v/>
      </c>
      <c r="N270" s="207"/>
      <c r="O270" s="211" t="str">
        <f t="shared" si="45"/>
        <v/>
      </c>
      <c r="P270" s="207"/>
      <c r="Q270" s="211" t="str">
        <f t="shared" si="46"/>
        <v/>
      </c>
      <c r="R270" s="207"/>
      <c r="S270" s="211" t="str">
        <f t="shared" si="47"/>
        <v/>
      </c>
      <c r="T270" s="272" t="str">
        <f t="shared" si="48"/>
        <v/>
      </c>
      <c r="U270" s="212" t="str">
        <f t="shared" si="49"/>
        <v/>
      </c>
    </row>
    <row r="271" spans="2:21" x14ac:dyDescent="0.25">
      <c r="B271" s="241" t="str">
        <f>IF(Contagem!B269=0,"",Contagem!B269)</f>
        <v/>
      </c>
      <c r="C271" s="242" t="str">
        <f>IF(Contagem!T269 &gt; 0,Contagem!T269,"")</f>
        <v/>
      </c>
      <c r="D271" s="207"/>
      <c r="E271" s="211" t="str">
        <f t="shared" si="40"/>
        <v/>
      </c>
      <c r="F271" s="207"/>
      <c r="G271" s="211" t="str">
        <f t="shared" si="41"/>
        <v/>
      </c>
      <c r="H271" s="207"/>
      <c r="I271" s="211" t="str">
        <f t="shared" si="42"/>
        <v/>
      </c>
      <c r="J271" s="207"/>
      <c r="K271" s="211" t="str">
        <f t="shared" si="43"/>
        <v/>
      </c>
      <c r="L271" s="207"/>
      <c r="M271" s="211" t="str">
        <f t="shared" si="44"/>
        <v/>
      </c>
      <c r="N271" s="207"/>
      <c r="O271" s="211" t="str">
        <f t="shared" si="45"/>
        <v/>
      </c>
      <c r="P271" s="207"/>
      <c r="Q271" s="211" t="str">
        <f t="shared" si="46"/>
        <v/>
      </c>
      <c r="R271" s="207"/>
      <c r="S271" s="211" t="str">
        <f t="shared" si="47"/>
        <v/>
      </c>
      <c r="T271" s="272" t="str">
        <f t="shared" si="48"/>
        <v/>
      </c>
      <c r="U271" s="212" t="str">
        <f t="shared" si="49"/>
        <v/>
      </c>
    </row>
    <row r="272" spans="2:21" x14ac:dyDescent="0.25">
      <c r="B272" s="241" t="str">
        <f>IF(Contagem!B270=0,"",Contagem!B270)</f>
        <v/>
      </c>
      <c r="C272" s="242" t="str">
        <f>IF(Contagem!T270 &gt; 0,Contagem!T270,"")</f>
        <v/>
      </c>
      <c r="D272" s="207"/>
      <c r="E272" s="211" t="str">
        <f t="shared" si="40"/>
        <v/>
      </c>
      <c r="F272" s="207"/>
      <c r="G272" s="211" t="str">
        <f t="shared" si="41"/>
        <v/>
      </c>
      <c r="H272" s="207"/>
      <c r="I272" s="211" t="str">
        <f t="shared" si="42"/>
        <v/>
      </c>
      <c r="J272" s="207"/>
      <c r="K272" s="211" t="str">
        <f t="shared" si="43"/>
        <v/>
      </c>
      <c r="L272" s="207"/>
      <c r="M272" s="211" t="str">
        <f t="shared" si="44"/>
        <v/>
      </c>
      <c r="N272" s="207"/>
      <c r="O272" s="211" t="str">
        <f t="shared" si="45"/>
        <v/>
      </c>
      <c r="P272" s="207"/>
      <c r="Q272" s="211" t="str">
        <f t="shared" si="46"/>
        <v/>
      </c>
      <c r="R272" s="207"/>
      <c r="S272" s="211" t="str">
        <f t="shared" si="47"/>
        <v/>
      </c>
      <c r="T272" s="272" t="str">
        <f t="shared" si="48"/>
        <v/>
      </c>
      <c r="U272" s="212" t="str">
        <f t="shared" si="49"/>
        <v/>
      </c>
    </row>
    <row r="273" spans="2:21" x14ac:dyDescent="0.25">
      <c r="B273" s="241" t="str">
        <f>IF(Contagem!B271=0,"",Contagem!B271)</f>
        <v/>
      </c>
      <c r="C273" s="242" t="str">
        <f>IF(Contagem!T271 &gt; 0,Contagem!T271,"")</f>
        <v/>
      </c>
      <c r="D273" s="207"/>
      <c r="E273" s="211" t="str">
        <f t="shared" si="40"/>
        <v/>
      </c>
      <c r="F273" s="207"/>
      <c r="G273" s="211" t="str">
        <f t="shared" si="41"/>
        <v/>
      </c>
      <c r="H273" s="207"/>
      <c r="I273" s="211" t="str">
        <f t="shared" si="42"/>
        <v/>
      </c>
      <c r="J273" s="207"/>
      <c r="K273" s="211" t="str">
        <f t="shared" si="43"/>
        <v/>
      </c>
      <c r="L273" s="207"/>
      <c r="M273" s="211" t="str">
        <f t="shared" si="44"/>
        <v/>
      </c>
      <c r="N273" s="207"/>
      <c r="O273" s="211" t="str">
        <f t="shared" si="45"/>
        <v/>
      </c>
      <c r="P273" s="207"/>
      <c r="Q273" s="211" t="str">
        <f t="shared" si="46"/>
        <v/>
      </c>
      <c r="R273" s="207"/>
      <c r="S273" s="211" t="str">
        <f t="shared" si="47"/>
        <v/>
      </c>
      <c r="T273" s="272" t="str">
        <f t="shared" si="48"/>
        <v/>
      </c>
      <c r="U273" s="212" t="str">
        <f t="shared" si="49"/>
        <v/>
      </c>
    </row>
    <row r="274" spans="2:21" x14ac:dyDescent="0.25">
      <c r="B274" s="241" t="str">
        <f>IF(Contagem!B272=0,"",Contagem!B272)</f>
        <v/>
      </c>
      <c r="C274" s="242" t="str">
        <f>IF(Contagem!T272 &gt; 0,Contagem!T272,"")</f>
        <v/>
      </c>
      <c r="D274" s="207"/>
      <c r="E274" s="211" t="str">
        <f t="shared" si="40"/>
        <v/>
      </c>
      <c r="F274" s="207"/>
      <c r="G274" s="211" t="str">
        <f t="shared" si="41"/>
        <v/>
      </c>
      <c r="H274" s="207"/>
      <c r="I274" s="211" t="str">
        <f t="shared" si="42"/>
        <v/>
      </c>
      <c r="J274" s="207"/>
      <c r="K274" s="211" t="str">
        <f t="shared" si="43"/>
        <v/>
      </c>
      <c r="L274" s="207"/>
      <c r="M274" s="211" t="str">
        <f t="shared" si="44"/>
        <v/>
      </c>
      <c r="N274" s="207"/>
      <c r="O274" s="211" t="str">
        <f t="shared" si="45"/>
        <v/>
      </c>
      <c r="P274" s="207"/>
      <c r="Q274" s="211" t="str">
        <f t="shared" si="46"/>
        <v/>
      </c>
      <c r="R274" s="207"/>
      <c r="S274" s="211" t="str">
        <f t="shared" si="47"/>
        <v/>
      </c>
      <c r="T274" s="272" t="str">
        <f t="shared" si="48"/>
        <v/>
      </c>
      <c r="U274" s="212" t="str">
        <f t="shared" si="49"/>
        <v/>
      </c>
    </row>
    <row r="275" spans="2:21" x14ac:dyDescent="0.25">
      <c r="B275" s="241" t="str">
        <f>IF(Contagem!B273=0,"",Contagem!B273)</f>
        <v/>
      </c>
      <c r="C275" s="242" t="str">
        <f>IF(Contagem!T273 &gt; 0,Contagem!T273,"")</f>
        <v/>
      </c>
      <c r="D275" s="207"/>
      <c r="E275" s="211" t="str">
        <f t="shared" si="40"/>
        <v/>
      </c>
      <c r="F275" s="207"/>
      <c r="G275" s="211" t="str">
        <f t="shared" si="41"/>
        <v/>
      </c>
      <c r="H275" s="207"/>
      <c r="I275" s="211" t="str">
        <f t="shared" si="42"/>
        <v/>
      </c>
      <c r="J275" s="207"/>
      <c r="K275" s="211" t="str">
        <f t="shared" si="43"/>
        <v/>
      </c>
      <c r="L275" s="207"/>
      <c r="M275" s="211" t="str">
        <f t="shared" si="44"/>
        <v/>
      </c>
      <c r="N275" s="207"/>
      <c r="O275" s="211" t="str">
        <f t="shared" si="45"/>
        <v/>
      </c>
      <c r="P275" s="207"/>
      <c r="Q275" s="211" t="str">
        <f t="shared" si="46"/>
        <v/>
      </c>
      <c r="R275" s="207"/>
      <c r="S275" s="211" t="str">
        <f t="shared" si="47"/>
        <v/>
      </c>
      <c r="T275" s="272" t="str">
        <f t="shared" si="48"/>
        <v/>
      </c>
      <c r="U275" s="212" t="str">
        <f t="shared" si="49"/>
        <v/>
      </c>
    </row>
    <row r="276" spans="2:21" x14ac:dyDescent="0.25">
      <c r="B276" s="241" t="str">
        <f>IF(Contagem!B274=0,"",Contagem!B274)</f>
        <v/>
      </c>
      <c r="C276" s="242" t="str">
        <f>IF(Contagem!T274 &gt; 0,Contagem!T274,"")</f>
        <v/>
      </c>
      <c r="D276" s="207"/>
      <c r="E276" s="211" t="str">
        <f t="shared" si="40"/>
        <v/>
      </c>
      <c r="F276" s="207"/>
      <c r="G276" s="211" t="str">
        <f t="shared" si="41"/>
        <v/>
      </c>
      <c r="H276" s="207"/>
      <c r="I276" s="211" t="str">
        <f t="shared" si="42"/>
        <v/>
      </c>
      <c r="J276" s="207"/>
      <c r="K276" s="211" t="str">
        <f t="shared" si="43"/>
        <v/>
      </c>
      <c r="L276" s="207"/>
      <c r="M276" s="211" t="str">
        <f t="shared" si="44"/>
        <v/>
      </c>
      <c r="N276" s="207"/>
      <c r="O276" s="211" t="str">
        <f t="shared" si="45"/>
        <v/>
      </c>
      <c r="P276" s="207"/>
      <c r="Q276" s="211" t="str">
        <f t="shared" si="46"/>
        <v/>
      </c>
      <c r="R276" s="207"/>
      <c r="S276" s="211" t="str">
        <f t="shared" si="47"/>
        <v/>
      </c>
      <c r="T276" s="272" t="str">
        <f t="shared" si="48"/>
        <v/>
      </c>
      <c r="U276" s="212" t="str">
        <f t="shared" si="49"/>
        <v/>
      </c>
    </row>
    <row r="277" spans="2:21" x14ac:dyDescent="0.25">
      <c r="B277" s="241" t="str">
        <f>IF(Contagem!B275=0,"",Contagem!B275)</f>
        <v/>
      </c>
      <c r="C277" s="242" t="str">
        <f>IF(Contagem!T275 &gt; 0,Contagem!T275,"")</f>
        <v/>
      </c>
      <c r="D277" s="207"/>
      <c r="E277" s="211" t="str">
        <f t="shared" si="40"/>
        <v/>
      </c>
      <c r="F277" s="207"/>
      <c r="G277" s="211" t="str">
        <f t="shared" si="41"/>
        <v/>
      </c>
      <c r="H277" s="207"/>
      <c r="I277" s="211" t="str">
        <f t="shared" si="42"/>
        <v/>
      </c>
      <c r="J277" s="207"/>
      <c r="K277" s="211" t="str">
        <f t="shared" si="43"/>
        <v/>
      </c>
      <c r="L277" s="207"/>
      <c r="M277" s="211" t="str">
        <f t="shared" si="44"/>
        <v/>
      </c>
      <c r="N277" s="207"/>
      <c r="O277" s="211" t="str">
        <f t="shared" si="45"/>
        <v/>
      </c>
      <c r="P277" s="207"/>
      <c r="Q277" s="211" t="str">
        <f t="shared" si="46"/>
        <v/>
      </c>
      <c r="R277" s="207"/>
      <c r="S277" s="211" t="str">
        <f t="shared" si="47"/>
        <v/>
      </c>
      <c r="T277" s="272" t="str">
        <f t="shared" si="48"/>
        <v/>
      </c>
      <c r="U277" s="212" t="str">
        <f t="shared" si="49"/>
        <v/>
      </c>
    </row>
    <row r="278" spans="2:21" x14ac:dyDescent="0.25">
      <c r="B278" s="241" t="str">
        <f>IF(Contagem!B276=0,"",Contagem!B276)</f>
        <v/>
      </c>
      <c r="C278" s="242" t="str">
        <f>IF(Contagem!T276 &gt; 0,Contagem!T276,"")</f>
        <v/>
      </c>
      <c r="D278" s="207"/>
      <c r="E278" s="211" t="str">
        <f t="shared" si="40"/>
        <v/>
      </c>
      <c r="F278" s="207"/>
      <c r="G278" s="211" t="str">
        <f t="shared" si="41"/>
        <v/>
      </c>
      <c r="H278" s="207"/>
      <c r="I278" s="211" t="str">
        <f t="shared" si="42"/>
        <v/>
      </c>
      <c r="J278" s="207"/>
      <c r="K278" s="211" t="str">
        <f t="shared" si="43"/>
        <v/>
      </c>
      <c r="L278" s="207"/>
      <c r="M278" s="211" t="str">
        <f t="shared" si="44"/>
        <v/>
      </c>
      <c r="N278" s="207"/>
      <c r="O278" s="211" t="str">
        <f t="shared" si="45"/>
        <v/>
      </c>
      <c r="P278" s="207"/>
      <c r="Q278" s="211" t="str">
        <f t="shared" si="46"/>
        <v/>
      </c>
      <c r="R278" s="207"/>
      <c r="S278" s="211" t="str">
        <f t="shared" si="47"/>
        <v/>
      </c>
      <c r="T278" s="272" t="str">
        <f t="shared" si="48"/>
        <v/>
      </c>
      <c r="U278" s="212" t="str">
        <f t="shared" si="49"/>
        <v/>
      </c>
    </row>
    <row r="279" spans="2:21" x14ac:dyDescent="0.25">
      <c r="B279" s="241" t="str">
        <f>IF(Contagem!B277=0,"",Contagem!B277)</f>
        <v/>
      </c>
      <c r="C279" s="242" t="str">
        <f>IF(Contagem!T277 &gt; 0,Contagem!T277,"")</f>
        <v/>
      </c>
      <c r="D279" s="207"/>
      <c r="E279" s="211" t="str">
        <f t="shared" si="40"/>
        <v/>
      </c>
      <c r="F279" s="207"/>
      <c r="G279" s="211" t="str">
        <f t="shared" si="41"/>
        <v/>
      </c>
      <c r="H279" s="207"/>
      <c r="I279" s="211" t="str">
        <f t="shared" si="42"/>
        <v/>
      </c>
      <c r="J279" s="207"/>
      <c r="K279" s="211" t="str">
        <f t="shared" si="43"/>
        <v/>
      </c>
      <c r="L279" s="207"/>
      <c r="M279" s="211" t="str">
        <f t="shared" si="44"/>
        <v/>
      </c>
      <c r="N279" s="207"/>
      <c r="O279" s="211" t="str">
        <f t="shared" si="45"/>
        <v/>
      </c>
      <c r="P279" s="207"/>
      <c r="Q279" s="211" t="str">
        <f t="shared" si="46"/>
        <v/>
      </c>
      <c r="R279" s="207"/>
      <c r="S279" s="211" t="str">
        <f t="shared" si="47"/>
        <v/>
      </c>
      <c r="T279" s="272" t="str">
        <f t="shared" si="48"/>
        <v/>
      </c>
      <c r="U279" s="212" t="str">
        <f t="shared" si="49"/>
        <v/>
      </c>
    </row>
    <row r="280" spans="2:21" x14ac:dyDescent="0.25">
      <c r="B280" s="241" t="str">
        <f>IF(Contagem!B278=0,"",Contagem!B278)</f>
        <v/>
      </c>
      <c r="C280" s="242" t="str">
        <f>IF(Contagem!T278 &gt; 0,Contagem!T278,"")</f>
        <v/>
      </c>
      <c r="D280" s="207"/>
      <c r="E280" s="211" t="str">
        <f t="shared" si="40"/>
        <v/>
      </c>
      <c r="F280" s="207"/>
      <c r="G280" s="211" t="str">
        <f t="shared" si="41"/>
        <v/>
      </c>
      <c r="H280" s="207"/>
      <c r="I280" s="211" t="str">
        <f t="shared" si="42"/>
        <v/>
      </c>
      <c r="J280" s="207"/>
      <c r="K280" s="211" t="str">
        <f t="shared" si="43"/>
        <v/>
      </c>
      <c r="L280" s="207"/>
      <c r="M280" s="211" t="str">
        <f t="shared" si="44"/>
        <v/>
      </c>
      <c r="N280" s="207"/>
      <c r="O280" s="211" t="str">
        <f t="shared" si="45"/>
        <v/>
      </c>
      <c r="P280" s="207"/>
      <c r="Q280" s="211" t="str">
        <f t="shared" si="46"/>
        <v/>
      </c>
      <c r="R280" s="207"/>
      <c r="S280" s="211" t="str">
        <f t="shared" si="47"/>
        <v/>
      </c>
      <c r="T280" s="272" t="str">
        <f t="shared" si="48"/>
        <v/>
      </c>
      <c r="U280" s="212" t="str">
        <f t="shared" si="49"/>
        <v/>
      </c>
    </row>
    <row r="281" spans="2:21" x14ac:dyDescent="0.25">
      <c r="B281" s="241" t="str">
        <f>IF(Contagem!B279=0,"",Contagem!B279)</f>
        <v/>
      </c>
      <c r="C281" s="242" t="str">
        <f>IF(Contagem!T279 &gt; 0,Contagem!T279,"")</f>
        <v/>
      </c>
      <c r="D281" s="207"/>
      <c r="E281" s="211" t="str">
        <f t="shared" si="40"/>
        <v/>
      </c>
      <c r="F281" s="207"/>
      <c r="G281" s="211" t="str">
        <f t="shared" si="41"/>
        <v/>
      </c>
      <c r="H281" s="207"/>
      <c r="I281" s="211" t="str">
        <f t="shared" si="42"/>
        <v/>
      </c>
      <c r="J281" s="207"/>
      <c r="K281" s="211" t="str">
        <f t="shared" si="43"/>
        <v/>
      </c>
      <c r="L281" s="207"/>
      <c r="M281" s="211" t="str">
        <f t="shared" si="44"/>
        <v/>
      </c>
      <c r="N281" s="207"/>
      <c r="O281" s="211" t="str">
        <f t="shared" si="45"/>
        <v/>
      </c>
      <c r="P281" s="207"/>
      <c r="Q281" s="211" t="str">
        <f t="shared" si="46"/>
        <v/>
      </c>
      <c r="R281" s="207"/>
      <c r="S281" s="211" t="str">
        <f t="shared" si="47"/>
        <v/>
      </c>
      <c r="T281" s="272" t="str">
        <f t="shared" si="48"/>
        <v/>
      </c>
      <c r="U281" s="212" t="str">
        <f t="shared" si="49"/>
        <v/>
      </c>
    </row>
    <row r="282" spans="2:21" x14ac:dyDescent="0.25">
      <c r="B282" s="241" t="str">
        <f>IF(Contagem!B280=0,"",Contagem!B280)</f>
        <v/>
      </c>
      <c r="C282" s="242" t="str">
        <f>IF(Contagem!T280 &gt; 0,Contagem!T280,"")</f>
        <v/>
      </c>
      <c r="D282" s="207"/>
      <c r="E282" s="211" t="str">
        <f t="shared" si="40"/>
        <v/>
      </c>
      <c r="F282" s="207"/>
      <c r="G282" s="211" t="str">
        <f t="shared" si="41"/>
        <v/>
      </c>
      <c r="H282" s="207"/>
      <c r="I282" s="211" t="str">
        <f t="shared" si="42"/>
        <v/>
      </c>
      <c r="J282" s="207"/>
      <c r="K282" s="211" t="str">
        <f t="shared" si="43"/>
        <v/>
      </c>
      <c r="L282" s="207"/>
      <c r="M282" s="211" t="str">
        <f t="shared" si="44"/>
        <v/>
      </c>
      <c r="N282" s="207"/>
      <c r="O282" s="211" t="str">
        <f t="shared" si="45"/>
        <v/>
      </c>
      <c r="P282" s="207"/>
      <c r="Q282" s="211" t="str">
        <f t="shared" si="46"/>
        <v/>
      </c>
      <c r="R282" s="207"/>
      <c r="S282" s="211" t="str">
        <f t="shared" si="47"/>
        <v/>
      </c>
      <c r="T282" s="272" t="str">
        <f t="shared" si="48"/>
        <v/>
      </c>
      <c r="U282" s="212" t="str">
        <f t="shared" si="49"/>
        <v/>
      </c>
    </row>
    <row r="283" spans="2:21" x14ac:dyDescent="0.25">
      <c r="B283" s="241" t="str">
        <f>IF(Contagem!B281=0,"",Contagem!B281)</f>
        <v/>
      </c>
      <c r="C283" s="242" t="str">
        <f>IF(Contagem!T281 &gt; 0,Contagem!T281,"")</f>
        <v/>
      </c>
      <c r="D283" s="207"/>
      <c r="E283" s="211" t="str">
        <f t="shared" si="40"/>
        <v/>
      </c>
      <c r="F283" s="207"/>
      <c r="G283" s="211" t="str">
        <f t="shared" si="41"/>
        <v/>
      </c>
      <c r="H283" s="207"/>
      <c r="I283" s="211" t="str">
        <f t="shared" si="42"/>
        <v/>
      </c>
      <c r="J283" s="207"/>
      <c r="K283" s="211" t="str">
        <f t="shared" si="43"/>
        <v/>
      </c>
      <c r="L283" s="207"/>
      <c r="M283" s="211" t="str">
        <f t="shared" si="44"/>
        <v/>
      </c>
      <c r="N283" s="207"/>
      <c r="O283" s="211" t="str">
        <f t="shared" si="45"/>
        <v/>
      </c>
      <c r="P283" s="207"/>
      <c r="Q283" s="211" t="str">
        <f t="shared" si="46"/>
        <v/>
      </c>
      <c r="R283" s="207"/>
      <c r="S283" s="211" t="str">
        <f t="shared" si="47"/>
        <v/>
      </c>
      <c r="T283" s="272" t="str">
        <f t="shared" si="48"/>
        <v/>
      </c>
      <c r="U283" s="212" t="str">
        <f t="shared" si="49"/>
        <v/>
      </c>
    </row>
    <row r="284" spans="2:21" x14ac:dyDescent="0.25">
      <c r="B284" s="241" t="str">
        <f>IF(Contagem!B282=0,"",Contagem!B282)</f>
        <v/>
      </c>
      <c r="C284" s="242" t="str">
        <f>IF(Contagem!T282 &gt; 0,Contagem!T282,"")</f>
        <v/>
      </c>
      <c r="D284" s="207"/>
      <c r="E284" s="211" t="str">
        <f t="shared" si="40"/>
        <v/>
      </c>
      <c r="F284" s="207"/>
      <c r="G284" s="211" t="str">
        <f t="shared" si="41"/>
        <v/>
      </c>
      <c r="H284" s="207"/>
      <c r="I284" s="211" t="str">
        <f t="shared" si="42"/>
        <v/>
      </c>
      <c r="J284" s="207"/>
      <c r="K284" s="211" t="str">
        <f t="shared" si="43"/>
        <v/>
      </c>
      <c r="L284" s="207"/>
      <c r="M284" s="211" t="str">
        <f t="shared" si="44"/>
        <v/>
      </c>
      <c r="N284" s="207"/>
      <c r="O284" s="211" t="str">
        <f t="shared" si="45"/>
        <v/>
      </c>
      <c r="P284" s="207"/>
      <c r="Q284" s="211" t="str">
        <f t="shared" si="46"/>
        <v/>
      </c>
      <c r="R284" s="207"/>
      <c r="S284" s="211" t="str">
        <f t="shared" si="47"/>
        <v/>
      </c>
      <c r="T284" s="272" t="str">
        <f t="shared" si="48"/>
        <v/>
      </c>
      <c r="U284" s="212" t="str">
        <f t="shared" si="49"/>
        <v/>
      </c>
    </row>
    <row r="285" spans="2:21" x14ac:dyDescent="0.25">
      <c r="B285" s="241" t="str">
        <f>IF(Contagem!B283=0,"",Contagem!B283)</f>
        <v/>
      </c>
      <c r="C285" s="242" t="str">
        <f>IF(Contagem!T283 &gt; 0,Contagem!T283,"")</f>
        <v/>
      </c>
      <c r="D285" s="207"/>
      <c r="E285" s="211" t="str">
        <f t="shared" si="40"/>
        <v/>
      </c>
      <c r="F285" s="207"/>
      <c r="G285" s="211" t="str">
        <f t="shared" si="41"/>
        <v/>
      </c>
      <c r="H285" s="207"/>
      <c r="I285" s="211" t="str">
        <f t="shared" si="42"/>
        <v/>
      </c>
      <c r="J285" s="207"/>
      <c r="K285" s="211" t="str">
        <f t="shared" si="43"/>
        <v/>
      </c>
      <c r="L285" s="207"/>
      <c r="M285" s="211" t="str">
        <f t="shared" si="44"/>
        <v/>
      </c>
      <c r="N285" s="207"/>
      <c r="O285" s="211" t="str">
        <f t="shared" si="45"/>
        <v/>
      </c>
      <c r="P285" s="207"/>
      <c r="Q285" s="211" t="str">
        <f t="shared" si="46"/>
        <v/>
      </c>
      <c r="R285" s="207"/>
      <c r="S285" s="211" t="str">
        <f t="shared" si="47"/>
        <v/>
      </c>
      <c r="T285" s="272" t="str">
        <f t="shared" si="48"/>
        <v/>
      </c>
      <c r="U285" s="212" t="str">
        <f t="shared" si="49"/>
        <v/>
      </c>
    </row>
    <row r="286" spans="2:21" x14ac:dyDescent="0.25">
      <c r="B286" s="241" t="str">
        <f>IF(Contagem!B284=0,"",Contagem!B284)</f>
        <v/>
      </c>
      <c r="C286" s="242" t="str">
        <f>IF(Contagem!T284 &gt; 0,Contagem!T284,"")</f>
        <v/>
      </c>
      <c r="D286" s="207"/>
      <c r="E286" s="211" t="str">
        <f t="shared" si="40"/>
        <v/>
      </c>
      <c r="F286" s="207"/>
      <c r="G286" s="211" t="str">
        <f t="shared" si="41"/>
        <v/>
      </c>
      <c r="H286" s="207"/>
      <c r="I286" s="211" t="str">
        <f t="shared" si="42"/>
        <v/>
      </c>
      <c r="J286" s="207"/>
      <c r="K286" s="211" t="str">
        <f t="shared" si="43"/>
        <v/>
      </c>
      <c r="L286" s="207"/>
      <c r="M286" s="211" t="str">
        <f t="shared" si="44"/>
        <v/>
      </c>
      <c r="N286" s="207"/>
      <c r="O286" s="211" t="str">
        <f t="shared" si="45"/>
        <v/>
      </c>
      <c r="P286" s="207"/>
      <c r="Q286" s="211" t="str">
        <f t="shared" si="46"/>
        <v/>
      </c>
      <c r="R286" s="207"/>
      <c r="S286" s="211" t="str">
        <f t="shared" si="47"/>
        <v/>
      </c>
      <c r="T286" s="272" t="str">
        <f t="shared" si="48"/>
        <v/>
      </c>
      <c r="U286" s="212" t="str">
        <f t="shared" si="49"/>
        <v/>
      </c>
    </row>
    <row r="287" spans="2:21" x14ac:dyDescent="0.25">
      <c r="B287" s="241" t="str">
        <f>IF(Contagem!B285=0,"",Contagem!B285)</f>
        <v/>
      </c>
      <c r="C287" s="242" t="str">
        <f>IF(Contagem!T285 &gt; 0,Contagem!T285,"")</f>
        <v/>
      </c>
      <c r="D287" s="207"/>
      <c r="E287" s="211" t="str">
        <f t="shared" si="40"/>
        <v/>
      </c>
      <c r="F287" s="207"/>
      <c r="G287" s="211" t="str">
        <f t="shared" si="41"/>
        <v/>
      </c>
      <c r="H287" s="207"/>
      <c r="I287" s="211" t="str">
        <f t="shared" si="42"/>
        <v/>
      </c>
      <c r="J287" s="207"/>
      <c r="K287" s="211" t="str">
        <f t="shared" si="43"/>
        <v/>
      </c>
      <c r="L287" s="207"/>
      <c r="M287" s="211" t="str">
        <f t="shared" si="44"/>
        <v/>
      </c>
      <c r="N287" s="207"/>
      <c r="O287" s="211" t="str">
        <f t="shared" si="45"/>
        <v/>
      </c>
      <c r="P287" s="207"/>
      <c r="Q287" s="211" t="str">
        <f t="shared" si="46"/>
        <v/>
      </c>
      <c r="R287" s="207"/>
      <c r="S287" s="211" t="str">
        <f t="shared" si="47"/>
        <v/>
      </c>
      <c r="T287" s="272" t="str">
        <f t="shared" si="48"/>
        <v/>
      </c>
      <c r="U287" s="212" t="str">
        <f t="shared" si="49"/>
        <v/>
      </c>
    </row>
    <row r="288" spans="2:21" x14ac:dyDescent="0.25">
      <c r="B288" s="241" t="str">
        <f>IF(Contagem!B286=0,"",Contagem!B286)</f>
        <v/>
      </c>
      <c r="C288" s="242" t="str">
        <f>IF(Contagem!T286 &gt; 0,Contagem!T286,"")</f>
        <v/>
      </c>
      <c r="D288" s="207"/>
      <c r="E288" s="211" t="str">
        <f t="shared" si="40"/>
        <v/>
      </c>
      <c r="F288" s="207"/>
      <c r="G288" s="211" t="str">
        <f t="shared" si="41"/>
        <v/>
      </c>
      <c r="H288" s="207"/>
      <c r="I288" s="211" t="str">
        <f t="shared" si="42"/>
        <v/>
      </c>
      <c r="J288" s="207"/>
      <c r="K288" s="211" t="str">
        <f t="shared" si="43"/>
        <v/>
      </c>
      <c r="L288" s="207"/>
      <c r="M288" s="211" t="str">
        <f t="shared" si="44"/>
        <v/>
      </c>
      <c r="N288" s="207"/>
      <c r="O288" s="211" t="str">
        <f t="shared" si="45"/>
        <v/>
      </c>
      <c r="P288" s="207"/>
      <c r="Q288" s="211" t="str">
        <f t="shared" si="46"/>
        <v/>
      </c>
      <c r="R288" s="207"/>
      <c r="S288" s="211" t="str">
        <f t="shared" si="47"/>
        <v/>
      </c>
      <c r="T288" s="272" t="str">
        <f t="shared" si="48"/>
        <v/>
      </c>
      <c r="U288" s="212" t="str">
        <f t="shared" si="49"/>
        <v/>
      </c>
    </row>
    <row r="289" spans="2:21" x14ac:dyDescent="0.25">
      <c r="B289" s="241" t="str">
        <f>IF(Contagem!B287=0,"",Contagem!B287)</f>
        <v/>
      </c>
      <c r="C289" s="242" t="str">
        <f>IF(Contagem!T287 &gt; 0,Contagem!T287,"")</f>
        <v/>
      </c>
      <c r="D289" s="207"/>
      <c r="E289" s="211" t="str">
        <f t="shared" si="40"/>
        <v/>
      </c>
      <c r="F289" s="207"/>
      <c r="G289" s="211" t="str">
        <f t="shared" si="41"/>
        <v/>
      </c>
      <c r="H289" s="207"/>
      <c r="I289" s="211" t="str">
        <f t="shared" si="42"/>
        <v/>
      </c>
      <c r="J289" s="207"/>
      <c r="K289" s="211" t="str">
        <f t="shared" si="43"/>
        <v/>
      </c>
      <c r="L289" s="207"/>
      <c r="M289" s="211" t="str">
        <f t="shared" si="44"/>
        <v/>
      </c>
      <c r="N289" s="207"/>
      <c r="O289" s="211" t="str">
        <f t="shared" si="45"/>
        <v/>
      </c>
      <c r="P289" s="207"/>
      <c r="Q289" s="211" t="str">
        <f t="shared" si="46"/>
        <v/>
      </c>
      <c r="R289" s="207"/>
      <c r="S289" s="211" t="str">
        <f t="shared" si="47"/>
        <v/>
      </c>
      <c r="T289" s="272" t="str">
        <f t="shared" si="48"/>
        <v/>
      </c>
      <c r="U289" s="212" t="str">
        <f t="shared" si="49"/>
        <v/>
      </c>
    </row>
    <row r="290" spans="2:21" x14ac:dyDescent="0.25">
      <c r="B290" s="241" t="str">
        <f>IF(Contagem!B288=0,"",Contagem!B288)</f>
        <v/>
      </c>
      <c r="C290" s="242" t="str">
        <f>IF(Contagem!T288 &gt; 0,Contagem!T288,"")</f>
        <v/>
      </c>
      <c r="D290" s="207"/>
      <c r="E290" s="211" t="str">
        <f t="shared" si="40"/>
        <v/>
      </c>
      <c r="F290" s="207"/>
      <c r="G290" s="211" t="str">
        <f t="shared" si="41"/>
        <v/>
      </c>
      <c r="H290" s="207"/>
      <c r="I290" s="211" t="str">
        <f t="shared" si="42"/>
        <v/>
      </c>
      <c r="J290" s="207"/>
      <c r="K290" s="211" t="str">
        <f t="shared" si="43"/>
        <v/>
      </c>
      <c r="L290" s="207"/>
      <c r="M290" s="211" t="str">
        <f t="shared" si="44"/>
        <v/>
      </c>
      <c r="N290" s="207"/>
      <c r="O290" s="211" t="str">
        <f t="shared" si="45"/>
        <v/>
      </c>
      <c r="P290" s="207"/>
      <c r="Q290" s="211" t="str">
        <f t="shared" si="46"/>
        <v/>
      </c>
      <c r="R290" s="207"/>
      <c r="S290" s="211" t="str">
        <f t="shared" si="47"/>
        <v/>
      </c>
      <c r="T290" s="272" t="str">
        <f t="shared" si="48"/>
        <v/>
      </c>
      <c r="U290" s="212" t="str">
        <f t="shared" si="49"/>
        <v/>
      </c>
    </row>
    <row r="291" spans="2:21" x14ac:dyDescent="0.25">
      <c r="B291" s="241" t="str">
        <f>IF(Contagem!B289=0,"",Contagem!B289)</f>
        <v/>
      </c>
      <c r="C291" s="242" t="str">
        <f>IF(Contagem!T289 &gt; 0,Contagem!T289,"")</f>
        <v/>
      </c>
      <c r="D291" s="207"/>
      <c r="E291" s="211" t="str">
        <f t="shared" si="40"/>
        <v/>
      </c>
      <c r="F291" s="207"/>
      <c r="G291" s="211" t="str">
        <f t="shared" si="41"/>
        <v/>
      </c>
      <c r="H291" s="207"/>
      <c r="I291" s="211" t="str">
        <f t="shared" si="42"/>
        <v/>
      </c>
      <c r="J291" s="207"/>
      <c r="K291" s="211" t="str">
        <f t="shared" si="43"/>
        <v/>
      </c>
      <c r="L291" s="207"/>
      <c r="M291" s="211" t="str">
        <f t="shared" si="44"/>
        <v/>
      </c>
      <c r="N291" s="207"/>
      <c r="O291" s="211" t="str">
        <f t="shared" si="45"/>
        <v/>
      </c>
      <c r="P291" s="207"/>
      <c r="Q291" s="211" t="str">
        <f t="shared" si="46"/>
        <v/>
      </c>
      <c r="R291" s="207"/>
      <c r="S291" s="211" t="str">
        <f t="shared" si="47"/>
        <v/>
      </c>
      <c r="T291" s="272" t="str">
        <f t="shared" si="48"/>
        <v/>
      </c>
      <c r="U291" s="212" t="str">
        <f t="shared" si="49"/>
        <v/>
      </c>
    </row>
    <row r="292" spans="2:21" x14ac:dyDescent="0.25">
      <c r="B292" s="241" t="str">
        <f>IF(Contagem!B290=0,"",Contagem!B290)</f>
        <v/>
      </c>
      <c r="C292" s="242" t="str">
        <f>IF(Contagem!T290 &gt; 0,Contagem!T290,"")</f>
        <v/>
      </c>
      <c r="D292" s="207"/>
      <c r="E292" s="211" t="str">
        <f t="shared" si="40"/>
        <v/>
      </c>
      <c r="F292" s="207"/>
      <c r="G292" s="211" t="str">
        <f t="shared" si="41"/>
        <v/>
      </c>
      <c r="H292" s="207"/>
      <c r="I292" s="211" t="str">
        <f t="shared" si="42"/>
        <v/>
      </c>
      <c r="J292" s="207"/>
      <c r="K292" s="211" t="str">
        <f t="shared" si="43"/>
        <v/>
      </c>
      <c r="L292" s="207"/>
      <c r="M292" s="211" t="str">
        <f t="shared" si="44"/>
        <v/>
      </c>
      <c r="N292" s="207"/>
      <c r="O292" s="211" t="str">
        <f t="shared" si="45"/>
        <v/>
      </c>
      <c r="P292" s="207"/>
      <c r="Q292" s="211" t="str">
        <f t="shared" si="46"/>
        <v/>
      </c>
      <c r="R292" s="207"/>
      <c r="S292" s="211" t="str">
        <f t="shared" si="47"/>
        <v/>
      </c>
      <c r="T292" s="272" t="str">
        <f t="shared" si="48"/>
        <v/>
      </c>
      <c r="U292" s="212" t="str">
        <f t="shared" si="49"/>
        <v/>
      </c>
    </row>
    <row r="293" spans="2:21" x14ac:dyDescent="0.25">
      <c r="B293" s="241" t="str">
        <f>IF(Contagem!B291=0,"",Contagem!B291)</f>
        <v/>
      </c>
      <c r="C293" s="242" t="str">
        <f>IF(Contagem!T291 &gt; 0,Contagem!T291,"")</f>
        <v/>
      </c>
      <c r="D293" s="207"/>
      <c r="E293" s="211" t="str">
        <f t="shared" si="40"/>
        <v/>
      </c>
      <c r="F293" s="207"/>
      <c r="G293" s="211" t="str">
        <f t="shared" si="41"/>
        <v/>
      </c>
      <c r="H293" s="207"/>
      <c r="I293" s="211" t="str">
        <f t="shared" si="42"/>
        <v/>
      </c>
      <c r="J293" s="207"/>
      <c r="K293" s="211" t="str">
        <f t="shared" si="43"/>
        <v/>
      </c>
      <c r="L293" s="207"/>
      <c r="M293" s="211" t="str">
        <f t="shared" si="44"/>
        <v/>
      </c>
      <c r="N293" s="207"/>
      <c r="O293" s="211" t="str">
        <f t="shared" si="45"/>
        <v/>
      </c>
      <c r="P293" s="207"/>
      <c r="Q293" s="211" t="str">
        <f t="shared" si="46"/>
        <v/>
      </c>
      <c r="R293" s="207"/>
      <c r="S293" s="211" t="str">
        <f t="shared" si="47"/>
        <v/>
      </c>
      <c r="T293" s="272" t="str">
        <f t="shared" si="48"/>
        <v/>
      </c>
      <c r="U293" s="212" t="str">
        <f t="shared" si="49"/>
        <v/>
      </c>
    </row>
    <row r="294" spans="2:21" x14ac:dyDescent="0.25">
      <c r="B294" s="241" t="str">
        <f>IF(Contagem!B292=0,"",Contagem!B292)</f>
        <v/>
      </c>
      <c r="C294" s="242" t="str">
        <f>IF(Contagem!T292 &gt; 0,Contagem!T292,"")</f>
        <v/>
      </c>
      <c r="D294" s="207"/>
      <c r="E294" s="211" t="str">
        <f t="shared" si="40"/>
        <v/>
      </c>
      <c r="F294" s="207"/>
      <c r="G294" s="211" t="str">
        <f t="shared" si="41"/>
        <v/>
      </c>
      <c r="H294" s="207"/>
      <c r="I294" s="211" t="str">
        <f t="shared" si="42"/>
        <v/>
      </c>
      <c r="J294" s="207"/>
      <c r="K294" s="211" t="str">
        <f t="shared" si="43"/>
        <v/>
      </c>
      <c r="L294" s="207"/>
      <c r="M294" s="211" t="str">
        <f t="shared" si="44"/>
        <v/>
      </c>
      <c r="N294" s="207"/>
      <c r="O294" s="211" t="str">
        <f t="shared" si="45"/>
        <v/>
      </c>
      <c r="P294" s="207"/>
      <c r="Q294" s="211" t="str">
        <f t="shared" si="46"/>
        <v/>
      </c>
      <c r="R294" s="207"/>
      <c r="S294" s="211" t="str">
        <f t="shared" si="47"/>
        <v/>
      </c>
      <c r="T294" s="272" t="str">
        <f t="shared" si="48"/>
        <v/>
      </c>
      <c r="U294" s="212" t="str">
        <f t="shared" si="49"/>
        <v/>
      </c>
    </row>
    <row r="295" spans="2:21" x14ac:dyDescent="0.25">
      <c r="B295" s="241" t="str">
        <f>IF(Contagem!B293=0,"",Contagem!B293)</f>
        <v/>
      </c>
      <c r="C295" s="242" t="str">
        <f>IF(Contagem!T293 &gt; 0,Contagem!T293,"")</f>
        <v/>
      </c>
      <c r="D295" s="207"/>
      <c r="E295" s="211" t="str">
        <f t="shared" si="40"/>
        <v/>
      </c>
      <c r="F295" s="207"/>
      <c r="G295" s="211" t="str">
        <f t="shared" si="41"/>
        <v/>
      </c>
      <c r="H295" s="207"/>
      <c r="I295" s="211" t="str">
        <f t="shared" si="42"/>
        <v/>
      </c>
      <c r="J295" s="207"/>
      <c r="K295" s="211" t="str">
        <f t="shared" si="43"/>
        <v/>
      </c>
      <c r="L295" s="207"/>
      <c r="M295" s="211" t="str">
        <f t="shared" si="44"/>
        <v/>
      </c>
      <c r="N295" s="207"/>
      <c r="O295" s="211" t="str">
        <f t="shared" si="45"/>
        <v/>
      </c>
      <c r="P295" s="207"/>
      <c r="Q295" s="211" t="str">
        <f t="shared" si="46"/>
        <v/>
      </c>
      <c r="R295" s="207"/>
      <c r="S295" s="211" t="str">
        <f t="shared" si="47"/>
        <v/>
      </c>
      <c r="T295" s="272" t="str">
        <f t="shared" si="48"/>
        <v/>
      </c>
      <c r="U295" s="212" t="str">
        <f t="shared" si="49"/>
        <v/>
      </c>
    </row>
    <row r="296" spans="2:21" x14ac:dyDescent="0.25">
      <c r="B296" s="241" t="str">
        <f>IF(Contagem!B294=0,"",Contagem!B294)</f>
        <v/>
      </c>
      <c r="C296" s="242" t="str">
        <f>IF(Contagem!T294 &gt; 0,Contagem!T294,"")</f>
        <v/>
      </c>
      <c r="D296" s="207"/>
      <c r="E296" s="211" t="str">
        <f t="shared" si="40"/>
        <v/>
      </c>
      <c r="F296" s="207"/>
      <c r="G296" s="211" t="str">
        <f t="shared" si="41"/>
        <v/>
      </c>
      <c r="H296" s="207"/>
      <c r="I296" s="211" t="str">
        <f t="shared" si="42"/>
        <v/>
      </c>
      <c r="J296" s="207"/>
      <c r="K296" s="211" t="str">
        <f t="shared" si="43"/>
        <v/>
      </c>
      <c r="L296" s="207"/>
      <c r="M296" s="211" t="str">
        <f t="shared" si="44"/>
        <v/>
      </c>
      <c r="N296" s="207"/>
      <c r="O296" s="211" t="str">
        <f t="shared" si="45"/>
        <v/>
      </c>
      <c r="P296" s="207"/>
      <c r="Q296" s="211" t="str">
        <f t="shared" si="46"/>
        <v/>
      </c>
      <c r="R296" s="207"/>
      <c r="S296" s="211" t="str">
        <f t="shared" si="47"/>
        <v/>
      </c>
      <c r="T296" s="272" t="str">
        <f t="shared" si="48"/>
        <v/>
      </c>
      <c r="U296" s="212" t="str">
        <f t="shared" si="49"/>
        <v/>
      </c>
    </row>
    <row r="297" spans="2:21" x14ac:dyDescent="0.25">
      <c r="B297" s="241" t="str">
        <f>IF(Contagem!B295=0,"",Contagem!B295)</f>
        <v/>
      </c>
      <c r="C297" s="242" t="str">
        <f>IF(Contagem!T295 &gt; 0,Contagem!T295,"")</f>
        <v/>
      </c>
      <c r="D297" s="207"/>
      <c r="E297" s="211" t="str">
        <f t="shared" si="40"/>
        <v/>
      </c>
      <c r="F297" s="207"/>
      <c r="G297" s="211" t="str">
        <f t="shared" si="41"/>
        <v/>
      </c>
      <c r="H297" s="207"/>
      <c r="I297" s="211" t="str">
        <f t="shared" si="42"/>
        <v/>
      </c>
      <c r="J297" s="207"/>
      <c r="K297" s="211" t="str">
        <f t="shared" si="43"/>
        <v/>
      </c>
      <c r="L297" s="207"/>
      <c r="M297" s="211" t="str">
        <f t="shared" si="44"/>
        <v/>
      </c>
      <c r="N297" s="207"/>
      <c r="O297" s="211" t="str">
        <f t="shared" si="45"/>
        <v/>
      </c>
      <c r="P297" s="207"/>
      <c r="Q297" s="211" t="str">
        <f t="shared" si="46"/>
        <v/>
      </c>
      <c r="R297" s="207"/>
      <c r="S297" s="211" t="str">
        <f t="shared" si="47"/>
        <v/>
      </c>
      <c r="T297" s="272" t="str">
        <f t="shared" si="48"/>
        <v/>
      </c>
      <c r="U297" s="212" t="str">
        <f t="shared" si="49"/>
        <v/>
      </c>
    </row>
    <row r="298" spans="2:21" x14ac:dyDescent="0.25">
      <c r="B298" s="241" t="str">
        <f>IF(Contagem!B296=0,"",Contagem!B296)</f>
        <v/>
      </c>
      <c r="C298" s="242" t="str">
        <f>IF(Contagem!T296 &gt; 0,Contagem!T296,"")</f>
        <v/>
      </c>
      <c r="D298" s="207"/>
      <c r="E298" s="211" t="str">
        <f t="shared" si="40"/>
        <v/>
      </c>
      <c r="F298" s="207"/>
      <c r="G298" s="211" t="str">
        <f t="shared" si="41"/>
        <v/>
      </c>
      <c r="H298" s="207"/>
      <c r="I298" s="211" t="str">
        <f t="shared" si="42"/>
        <v/>
      </c>
      <c r="J298" s="207"/>
      <c r="K298" s="211" t="str">
        <f t="shared" si="43"/>
        <v/>
      </c>
      <c r="L298" s="207"/>
      <c r="M298" s="211" t="str">
        <f t="shared" si="44"/>
        <v/>
      </c>
      <c r="N298" s="207"/>
      <c r="O298" s="211" t="str">
        <f t="shared" si="45"/>
        <v/>
      </c>
      <c r="P298" s="207"/>
      <c r="Q298" s="211" t="str">
        <f t="shared" si="46"/>
        <v/>
      </c>
      <c r="R298" s="207"/>
      <c r="S298" s="211" t="str">
        <f t="shared" si="47"/>
        <v/>
      </c>
      <c r="T298" s="272" t="str">
        <f t="shared" si="48"/>
        <v/>
      </c>
      <c r="U298" s="212" t="str">
        <f t="shared" si="49"/>
        <v/>
      </c>
    </row>
    <row r="299" spans="2:21" x14ac:dyDescent="0.25">
      <c r="B299" s="241" t="str">
        <f>IF(Contagem!B297=0,"",Contagem!B297)</f>
        <v/>
      </c>
      <c r="C299" s="242" t="str">
        <f>IF(Contagem!T297 &gt; 0,Contagem!T297,"")</f>
        <v/>
      </c>
      <c r="D299" s="207"/>
      <c r="E299" s="211" t="str">
        <f t="shared" si="40"/>
        <v/>
      </c>
      <c r="F299" s="207"/>
      <c r="G299" s="211" t="str">
        <f t="shared" si="41"/>
        <v/>
      </c>
      <c r="H299" s="207"/>
      <c r="I299" s="211" t="str">
        <f t="shared" si="42"/>
        <v/>
      </c>
      <c r="J299" s="207"/>
      <c r="K299" s="211" t="str">
        <f t="shared" si="43"/>
        <v/>
      </c>
      <c r="L299" s="207"/>
      <c r="M299" s="211" t="str">
        <f t="shared" si="44"/>
        <v/>
      </c>
      <c r="N299" s="207"/>
      <c r="O299" s="211" t="str">
        <f t="shared" si="45"/>
        <v/>
      </c>
      <c r="P299" s="207"/>
      <c r="Q299" s="211" t="str">
        <f t="shared" si="46"/>
        <v/>
      </c>
      <c r="R299" s="207"/>
      <c r="S299" s="211" t="str">
        <f t="shared" si="47"/>
        <v/>
      </c>
      <c r="T299" s="272" t="str">
        <f t="shared" si="48"/>
        <v/>
      </c>
      <c r="U299" s="212" t="str">
        <f t="shared" si="49"/>
        <v/>
      </c>
    </row>
    <row r="300" spans="2:21" x14ac:dyDescent="0.25">
      <c r="B300" s="241" t="str">
        <f>IF(Contagem!B298=0,"",Contagem!B298)</f>
        <v/>
      </c>
      <c r="C300" s="242" t="str">
        <f>IF(Contagem!T298 &gt; 0,Contagem!T298,"")</f>
        <v/>
      </c>
      <c r="D300" s="207"/>
      <c r="E300" s="211" t="str">
        <f t="shared" si="40"/>
        <v/>
      </c>
      <c r="F300" s="207"/>
      <c r="G300" s="211" t="str">
        <f t="shared" si="41"/>
        <v/>
      </c>
      <c r="H300" s="207"/>
      <c r="I300" s="211" t="str">
        <f t="shared" si="42"/>
        <v/>
      </c>
      <c r="J300" s="207"/>
      <c r="K300" s="211" t="str">
        <f t="shared" si="43"/>
        <v/>
      </c>
      <c r="L300" s="207"/>
      <c r="M300" s="211" t="str">
        <f t="shared" si="44"/>
        <v/>
      </c>
      <c r="N300" s="207"/>
      <c r="O300" s="211" t="str">
        <f t="shared" si="45"/>
        <v/>
      </c>
      <c r="P300" s="207"/>
      <c r="Q300" s="211" t="str">
        <f t="shared" si="46"/>
        <v/>
      </c>
      <c r="R300" s="207"/>
      <c r="S300" s="211" t="str">
        <f t="shared" si="47"/>
        <v/>
      </c>
      <c r="T300" s="272" t="str">
        <f t="shared" si="48"/>
        <v/>
      </c>
      <c r="U300" s="212" t="str">
        <f t="shared" si="49"/>
        <v/>
      </c>
    </row>
    <row r="301" spans="2:21" x14ac:dyDescent="0.25">
      <c r="B301" s="241" t="str">
        <f>IF(Contagem!B299=0,"",Contagem!B299)</f>
        <v/>
      </c>
      <c r="C301" s="242" t="str">
        <f>IF(Contagem!T299 &gt; 0,Contagem!T299,"")</f>
        <v/>
      </c>
      <c r="D301" s="207"/>
      <c r="E301" s="211" t="str">
        <f t="shared" si="40"/>
        <v/>
      </c>
      <c r="F301" s="207"/>
      <c r="G301" s="211" t="str">
        <f t="shared" si="41"/>
        <v/>
      </c>
      <c r="H301" s="207"/>
      <c r="I301" s="211" t="str">
        <f t="shared" si="42"/>
        <v/>
      </c>
      <c r="J301" s="207"/>
      <c r="K301" s="211" t="str">
        <f t="shared" si="43"/>
        <v/>
      </c>
      <c r="L301" s="207"/>
      <c r="M301" s="211" t="str">
        <f t="shared" si="44"/>
        <v/>
      </c>
      <c r="N301" s="207"/>
      <c r="O301" s="211" t="str">
        <f t="shared" si="45"/>
        <v/>
      </c>
      <c r="P301" s="207"/>
      <c r="Q301" s="211" t="str">
        <f t="shared" si="46"/>
        <v/>
      </c>
      <c r="R301" s="207"/>
      <c r="S301" s="211" t="str">
        <f t="shared" si="47"/>
        <v/>
      </c>
      <c r="T301" s="272" t="str">
        <f t="shared" si="48"/>
        <v/>
      </c>
      <c r="U301" s="212" t="str">
        <f t="shared" si="49"/>
        <v/>
      </c>
    </row>
    <row r="302" spans="2:21" x14ac:dyDescent="0.25">
      <c r="B302" s="241" t="str">
        <f>IF(Contagem!B300=0,"",Contagem!B300)</f>
        <v/>
      </c>
      <c r="C302" s="242" t="str">
        <f>IF(Contagem!T300 &gt; 0,Contagem!T300,"")</f>
        <v/>
      </c>
      <c r="D302" s="207"/>
      <c r="E302" s="211" t="str">
        <f t="shared" si="40"/>
        <v/>
      </c>
      <c r="F302" s="207"/>
      <c r="G302" s="211" t="str">
        <f t="shared" si="41"/>
        <v/>
      </c>
      <c r="H302" s="207"/>
      <c r="I302" s="211" t="str">
        <f t="shared" si="42"/>
        <v/>
      </c>
      <c r="J302" s="207"/>
      <c r="K302" s="211" t="str">
        <f t="shared" si="43"/>
        <v/>
      </c>
      <c r="L302" s="207"/>
      <c r="M302" s="211" t="str">
        <f t="shared" si="44"/>
        <v/>
      </c>
      <c r="N302" s="207"/>
      <c r="O302" s="211" t="str">
        <f t="shared" si="45"/>
        <v/>
      </c>
      <c r="P302" s="207"/>
      <c r="Q302" s="211" t="str">
        <f t="shared" si="46"/>
        <v/>
      </c>
      <c r="R302" s="207"/>
      <c r="S302" s="211" t="str">
        <f t="shared" si="47"/>
        <v/>
      </c>
      <c r="T302" s="272" t="str">
        <f t="shared" si="48"/>
        <v/>
      </c>
      <c r="U302" s="212" t="str">
        <f t="shared" si="49"/>
        <v/>
      </c>
    </row>
    <row r="303" spans="2:21" x14ac:dyDescent="0.25">
      <c r="B303" s="241" t="str">
        <f>IF(Contagem!B301=0,"",Contagem!B301)</f>
        <v/>
      </c>
      <c r="C303" s="242" t="str">
        <f>IF(Contagem!T301 &gt; 0,Contagem!T301,"")</f>
        <v/>
      </c>
      <c r="D303" s="207"/>
      <c r="E303" s="211" t="str">
        <f t="shared" si="40"/>
        <v/>
      </c>
      <c r="F303" s="207"/>
      <c r="G303" s="211" t="str">
        <f t="shared" si="41"/>
        <v/>
      </c>
      <c r="H303" s="207"/>
      <c r="I303" s="211" t="str">
        <f t="shared" si="42"/>
        <v/>
      </c>
      <c r="J303" s="207"/>
      <c r="K303" s="211" t="str">
        <f t="shared" si="43"/>
        <v/>
      </c>
      <c r="L303" s="207"/>
      <c r="M303" s="211" t="str">
        <f t="shared" si="44"/>
        <v/>
      </c>
      <c r="N303" s="207"/>
      <c r="O303" s="211" t="str">
        <f t="shared" si="45"/>
        <v/>
      </c>
      <c r="P303" s="207"/>
      <c r="Q303" s="211" t="str">
        <f t="shared" si="46"/>
        <v/>
      </c>
      <c r="R303" s="207"/>
      <c r="S303" s="211" t="str">
        <f t="shared" si="47"/>
        <v/>
      </c>
      <c r="T303" s="272" t="str">
        <f t="shared" si="48"/>
        <v/>
      </c>
      <c r="U303" s="212" t="str">
        <f t="shared" si="49"/>
        <v/>
      </c>
    </row>
    <row r="304" spans="2:21" x14ac:dyDescent="0.25">
      <c r="B304" s="241" t="str">
        <f>IF(Contagem!B302=0,"",Contagem!B302)</f>
        <v/>
      </c>
      <c r="C304" s="242" t="str">
        <f>IF(Contagem!T302 &gt; 0,Contagem!T302,"")</f>
        <v/>
      </c>
      <c r="D304" s="207"/>
      <c r="E304" s="211" t="str">
        <f t="shared" si="40"/>
        <v/>
      </c>
      <c r="F304" s="207"/>
      <c r="G304" s="211" t="str">
        <f t="shared" si="41"/>
        <v/>
      </c>
      <c r="H304" s="207"/>
      <c r="I304" s="211" t="str">
        <f t="shared" si="42"/>
        <v/>
      </c>
      <c r="J304" s="207"/>
      <c r="K304" s="211" t="str">
        <f t="shared" si="43"/>
        <v/>
      </c>
      <c r="L304" s="207"/>
      <c r="M304" s="211" t="str">
        <f t="shared" si="44"/>
        <v/>
      </c>
      <c r="N304" s="207"/>
      <c r="O304" s="211" t="str">
        <f t="shared" si="45"/>
        <v/>
      </c>
      <c r="P304" s="207"/>
      <c r="Q304" s="211" t="str">
        <f t="shared" si="46"/>
        <v/>
      </c>
      <c r="R304" s="207"/>
      <c r="S304" s="211" t="str">
        <f t="shared" si="47"/>
        <v/>
      </c>
      <c r="T304" s="272" t="str">
        <f t="shared" si="48"/>
        <v/>
      </c>
      <c r="U304" s="212" t="str">
        <f t="shared" si="49"/>
        <v/>
      </c>
    </row>
    <row r="305" spans="2:21" x14ac:dyDescent="0.25">
      <c r="B305" s="241" t="str">
        <f>IF(Contagem!B303=0,"",Contagem!B303)</f>
        <v/>
      </c>
      <c r="C305" s="242" t="str">
        <f>IF(Contagem!T303 &gt; 0,Contagem!T303,"")</f>
        <v/>
      </c>
      <c r="D305" s="207"/>
      <c r="E305" s="211" t="str">
        <f t="shared" si="40"/>
        <v/>
      </c>
      <c r="F305" s="207"/>
      <c r="G305" s="211" t="str">
        <f t="shared" si="41"/>
        <v/>
      </c>
      <c r="H305" s="207"/>
      <c r="I305" s="211" t="str">
        <f t="shared" si="42"/>
        <v/>
      </c>
      <c r="J305" s="207"/>
      <c r="K305" s="211" t="str">
        <f t="shared" si="43"/>
        <v/>
      </c>
      <c r="L305" s="207"/>
      <c r="M305" s="211" t="str">
        <f t="shared" si="44"/>
        <v/>
      </c>
      <c r="N305" s="207"/>
      <c r="O305" s="211" t="str">
        <f t="shared" si="45"/>
        <v/>
      </c>
      <c r="P305" s="207"/>
      <c r="Q305" s="211" t="str">
        <f t="shared" si="46"/>
        <v/>
      </c>
      <c r="R305" s="207"/>
      <c r="S305" s="211" t="str">
        <f t="shared" si="47"/>
        <v/>
      </c>
      <c r="T305" s="272" t="str">
        <f t="shared" si="48"/>
        <v/>
      </c>
      <c r="U305" s="212" t="str">
        <f t="shared" si="49"/>
        <v/>
      </c>
    </row>
    <row r="306" spans="2:21" x14ac:dyDescent="0.25">
      <c r="B306" s="241" t="str">
        <f>IF(Contagem!B304=0,"",Contagem!B304)</f>
        <v/>
      </c>
      <c r="C306" s="242" t="str">
        <f>IF(Contagem!T304 &gt; 0,Contagem!T304,"")</f>
        <v/>
      </c>
      <c r="D306" s="207"/>
      <c r="E306" s="211" t="str">
        <f t="shared" si="40"/>
        <v/>
      </c>
      <c r="F306" s="207"/>
      <c r="G306" s="211" t="str">
        <f t="shared" si="41"/>
        <v/>
      </c>
      <c r="H306" s="207"/>
      <c r="I306" s="211" t="str">
        <f t="shared" si="42"/>
        <v/>
      </c>
      <c r="J306" s="207"/>
      <c r="K306" s="211" t="str">
        <f t="shared" si="43"/>
        <v/>
      </c>
      <c r="L306" s="207"/>
      <c r="M306" s="211" t="str">
        <f t="shared" si="44"/>
        <v/>
      </c>
      <c r="N306" s="207"/>
      <c r="O306" s="211" t="str">
        <f t="shared" si="45"/>
        <v/>
      </c>
      <c r="P306" s="207"/>
      <c r="Q306" s="211" t="str">
        <f t="shared" si="46"/>
        <v/>
      </c>
      <c r="R306" s="207"/>
      <c r="S306" s="211" t="str">
        <f t="shared" si="47"/>
        <v/>
      </c>
      <c r="T306" s="272" t="str">
        <f t="shared" si="48"/>
        <v/>
      </c>
      <c r="U306" s="212" t="str">
        <f t="shared" si="49"/>
        <v/>
      </c>
    </row>
    <row r="307" spans="2:21" x14ac:dyDescent="0.25">
      <c r="B307" s="241" t="str">
        <f>IF(Contagem!B305=0,"",Contagem!B305)</f>
        <v/>
      </c>
      <c r="C307" s="242" t="str">
        <f>IF(Contagem!T305 &gt; 0,Contagem!T305,"")</f>
        <v/>
      </c>
      <c r="D307" s="207"/>
      <c r="E307" s="211" t="str">
        <f t="shared" si="40"/>
        <v/>
      </c>
      <c r="F307" s="207"/>
      <c r="G307" s="211" t="str">
        <f t="shared" si="41"/>
        <v/>
      </c>
      <c r="H307" s="207"/>
      <c r="I307" s="211" t="str">
        <f t="shared" si="42"/>
        <v/>
      </c>
      <c r="J307" s="207"/>
      <c r="K307" s="211" t="str">
        <f t="shared" si="43"/>
        <v/>
      </c>
      <c r="L307" s="207"/>
      <c r="M307" s="211" t="str">
        <f t="shared" si="44"/>
        <v/>
      </c>
      <c r="N307" s="207"/>
      <c r="O307" s="211" t="str">
        <f t="shared" si="45"/>
        <v/>
      </c>
      <c r="P307" s="207"/>
      <c r="Q307" s="211" t="str">
        <f t="shared" si="46"/>
        <v/>
      </c>
      <c r="R307" s="207"/>
      <c r="S307" s="211" t="str">
        <f t="shared" si="47"/>
        <v/>
      </c>
      <c r="T307" s="272" t="str">
        <f t="shared" si="48"/>
        <v/>
      </c>
      <c r="U307" s="212" t="str">
        <f t="shared" si="49"/>
        <v/>
      </c>
    </row>
    <row r="308" spans="2:21" x14ac:dyDescent="0.25">
      <c r="B308" s="241" t="str">
        <f>IF(Contagem!B306=0,"",Contagem!B306)</f>
        <v/>
      </c>
      <c r="C308" s="242" t="str">
        <f>IF(Contagem!T306 &gt; 0,Contagem!T306,"")</f>
        <v/>
      </c>
      <c r="D308" s="207"/>
      <c r="E308" s="211" t="str">
        <f t="shared" si="40"/>
        <v/>
      </c>
      <c r="F308" s="207"/>
      <c r="G308" s="211" t="str">
        <f t="shared" si="41"/>
        <v/>
      </c>
      <c r="H308" s="207"/>
      <c r="I308" s="211" t="str">
        <f t="shared" si="42"/>
        <v/>
      </c>
      <c r="J308" s="207"/>
      <c r="K308" s="211" t="str">
        <f t="shared" si="43"/>
        <v/>
      </c>
      <c r="L308" s="207"/>
      <c r="M308" s="211" t="str">
        <f t="shared" si="44"/>
        <v/>
      </c>
      <c r="N308" s="207"/>
      <c r="O308" s="211" t="str">
        <f t="shared" si="45"/>
        <v/>
      </c>
      <c r="P308" s="207"/>
      <c r="Q308" s="211" t="str">
        <f t="shared" si="46"/>
        <v/>
      </c>
      <c r="R308" s="207"/>
      <c r="S308" s="211" t="str">
        <f t="shared" si="47"/>
        <v/>
      </c>
      <c r="T308" s="272" t="str">
        <f t="shared" si="48"/>
        <v/>
      </c>
      <c r="U308" s="212" t="str">
        <f t="shared" si="49"/>
        <v/>
      </c>
    </row>
    <row r="309" spans="2:21" x14ac:dyDescent="0.25">
      <c r="B309" s="241" t="str">
        <f>IF(Contagem!B307=0,"",Contagem!B307)</f>
        <v/>
      </c>
      <c r="C309" s="242" t="str">
        <f>IF(Contagem!T307 &gt; 0,Contagem!T307,"")</f>
        <v/>
      </c>
      <c r="D309" s="207"/>
      <c r="E309" s="211" t="str">
        <f t="shared" si="40"/>
        <v/>
      </c>
      <c r="F309" s="207"/>
      <c r="G309" s="211" t="str">
        <f t="shared" si="41"/>
        <v/>
      </c>
      <c r="H309" s="207"/>
      <c r="I309" s="211" t="str">
        <f t="shared" si="42"/>
        <v/>
      </c>
      <c r="J309" s="207"/>
      <c r="K309" s="211" t="str">
        <f t="shared" si="43"/>
        <v/>
      </c>
      <c r="L309" s="207"/>
      <c r="M309" s="211" t="str">
        <f t="shared" si="44"/>
        <v/>
      </c>
      <c r="N309" s="207"/>
      <c r="O309" s="211" t="str">
        <f t="shared" si="45"/>
        <v/>
      </c>
      <c r="P309" s="207"/>
      <c r="Q309" s="211" t="str">
        <f t="shared" si="46"/>
        <v/>
      </c>
      <c r="R309" s="207"/>
      <c r="S309" s="211" t="str">
        <f t="shared" si="47"/>
        <v/>
      </c>
      <c r="T309" s="272" t="str">
        <f t="shared" si="48"/>
        <v/>
      </c>
      <c r="U309" s="212" t="str">
        <f t="shared" si="49"/>
        <v/>
      </c>
    </row>
    <row r="310" spans="2:21" x14ac:dyDescent="0.25">
      <c r="B310" s="241" t="str">
        <f>IF(Contagem!B308=0,"",Contagem!B308)</f>
        <v/>
      </c>
      <c r="C310" s="242" t="str">
        <f>IF(Contagem!T308 &gt; 0,Contagem!T308,"")</f>
        <v/>
      </c>
      <c r="D310" s="207"/>
      <c r="E310" s="211" t="str">
        <f t="shared" si="40"/>
        <v/>
      </c>
      <c r="F310" s="207"/>
      <c r="G310" s="211" t="str">
        <f t="shared" si="41"/>
        <v/>
      </c>
      <c r="H310" s="207"/>
      <c r="I310" s="211" t="str">
        <f t="shared" si="42"/>
        <v/>
      </c>
      <c r="J310" s="207"/>
      <c r="K310" s="211" t="str">
        <f t="shared" si="43"/>
        <v/>
      </c>
      <c r="L310" s="207"/>
      <c r="M310" s="211" t="str">
        <f t="shared" si="44"/>
        <v/>
      </c>
      <c r="N310" s="207"/>
      <c r="O310" s="211" t="str">
        <f t="shared" si="45"/>
        <v/>
      </c>
      <c r="P310" s="207"/>
      <c r="Q310" s="211" t="str">
        <f t="shared" si="46"/>
        <v/>
      </c>
      <c r="R310" s="207"/>
      <c r="S310" s="211" t="str">
        <f t="shared" si="47"/>
        <v/>
      </c>
      <c r="T310" s="272" t="str">
        <f t="shared" si="48"/>
        <v/>
      </c>
      <c r="U310" s="212" t="str">
        <f t="shared" si="49"/>
        <v/>
      </c>
    </row>
    <row r="311" spans="2:21" x14ac:dyDescent="0.25">
      <c r="B311" s="241" t="str">
        <f>IF(Contagem!B309=0,"",Contagem!B309)</f>
        <v/>
      </c>
      <c r="C311" s="242" t="str">
        <f>IF(Contagem!T309 &gt; 0,Contagem!T309,"")</f>
        <v/>
      </c>
      <c r="D311" s="207"/>
      <c r="E311" s="211" t="str">
        <f t="shared" si="40"/>
        <v/>
      </c>
      <c r="F311" s="207"/>
      <c r="G311" s="211" t="str">
        <f t="shared" si="41"/>
        <v/>
      </c>
      <c r="H311" s="207"/>
      <c r="I311" s="211" t="str">
        <f t="shared" si="42"/>
        <v/>
      </c>
      <c r="J311" s="207"/>
      <c r="K311" s="211" t="str">
        <f t="shared" si="43"/>
        <v/>
      </c>
      <c r="L311" s="207"/>
      <c r="M311" s="211" t="str">
        <f t="shared" si="44"/>
        <v/>
      </c>
      <c r="N311" s="207"/>
      <c r="O311" s="211" t="str">
        <f t="shared" si="45"/>
        <v/>
      </c>
      <c r="P311" s="207"/>
      <c r="Q311" s="211" t="str">
        <f t="shared" si="46"/>
        <v/>
      </c>
      <c r="R311" s="207"/>
      <c r="S311" s="211" t="str">
        <f t="shared" si="47"/>
        <v/>
      </c>
      <c r="T311" s="272" t="str">
        <f t="shared" si="48"/>
        <v/>
      </c>
      <c r="U311" s="212" t="str">
        <f t="shared" si="49"/>
        <v/>
      </c>
    </row>
    <row r="312" spans="2:21" x14ac:dyDescent="0.25">
      <c r="B312" s="241" t="str">
        <f>IF(Contagem!B310=0,"",Contagem!B310)</f>
        <v/>
      </c>
      <c r="C312" s="242" t="str">
        <f>IF(Contagem!T310 &gt; 0,Contagem!T310,"")</f>
        <v/>
      </c>
      <c r="D312" s="207"/>
      <c r="E312" s="211" t="str">
        <f t="shared" si="40"/>
        <v/>
      </c>
      <c r="F312" s="207"/>
      <c r="G312" s="211" t="str">
        <f t="shared" si="41"/>
        <v/>
      </c>
      <c r="H312" s="207"/>
      <c r="I312" s="211" t="str">
        <f t="shared" si="42"/>
        <v/>
      </c>
      <c r="J312" s="207"/>
      <c r="K312" s="211" t="str">
        <f t="shared" si="43"/>
        <v/>
      </c>
      <c r="L312" s="207"/>
      <c r="M312" s="211" t="str">
        <f t="shared" si="44"/>
        <v/>
      </c>
      <c r="N312" s="207"/>
      <c r="O312" s="211" t="str">
        <f t="shared" si="45"/>
        <v/>
      </c>
      <c r="P312" s="207"/>
      <c r="Q312" s="211" t="str">
        <f t="shared" si="46"/>
        <v/>
      </c>
      <c r="R312" s="207"/>
      <c r="S312" s="211" t="str">
        <f t="shared" si="47"/>
        <v/>
      </c>
      <c r="T312" s="272" t="str">
        <f t="shared" si="48"/>
        <v/>
      </c>
      <c r="U312" s="212" t="str">
        <f t="shared" si="49"/>
        <v/>
      </c>
    </row>
    <row r="313" spans="2:21" x14ac:dyDescent="0.25">
      <c r="B313" s="241" t="str">
        <f>IF(Contagem!B311=0,"",Contagem!B311)</f>
        <v/>
      </c>
      <c r="C313" s="242" t="str">
        <f>IF(Contagem!T311 &gt; 0,Contagem!T311,"")</f>
        <v/>
      </c>
      <c r="D313" s="207"/>
      <c r="E313" s="211" t="str">
        <f t="shared" si="40"/>
        <v/>
      </c>
      <c r="F313" s="207"/>
      <c r="G313" s="211" t="str">
        <f t="shared" si="41"/>
        <v/>
      </c>
      <c r="H313" s="207"/>
      <c r="I313" s="211" t="str">
        <f t="shared" si="42"/>
        <v/>
      </c>
      <c r="J313" s="207"/>
      <c r="K313" s="211" t="str">
        <f t="shared" si="43"/>
        <v/>
      </c>
      <c r="L313" s="207"/>
      <c r="M313" s="211" t="str">
        <f t="shared" si="44"/>
        <v/>
      </c>
      <c r="N313" s="207"/>
      <c r="O313" s="211" t="str">
        <f t="shared" si="45"/>
        <v/>
      </c>
      <c r="P313" s="207"/>
      <c r="Q313" s="211" t="str">
        <f t="shared" si="46"/>
        <v/>
      </c>
      <c r="R313" s="207"/>
      <c r="S313" s="211" t="str">
        <f t="shared" si="47"/>
        <v/>
      </c>
      <c r="T313" s="272" t="str">
        <f t="shared" si="48"/>
        <v/>
      </c>
      <c r="U313" s="212" t="str">
        <f t="shared" si="49"/>
        <v/>
      </c>
    </row>
    <row r="314" spans="2:21" x14ac:dyDescent="0.25">
      <c r="B314" s="241" t="str">
        <f>IF(Contagem!B312=0,"",Contagem!B312)</f>
        <v/>
      </c>
      <c r="C314" s="242" t="str">
        <f>IF(Contagem!T312 &gt; 0,Contagem!T312,"")</f>
        <v/>
      </c>
      <c r="D314" s="207"/>
      <c r="E314" s="211" t="str">
        <f t="shared" si="40"/>
        <v/>
      </c>
      <c r="F314" s="207"/>
      <c r="G314" s="211" t="str">
        <f t="shared" si="41"/>
        <v/>
      </c>
      <c r="H314" s="207"/>
      <c r="I314" s="211" t="str">
        <f t="shared" si="42"/>
        <v/>
      </c>
      <c r="J314" s="207"/>
      <c r="K314" s="211" t="str">
        <f t="shared" si="43"/>
        <v/>
      </c>
      <c r="L314" s="207"/>
      <c r="M314" s="211" t="str">
        <f t="shared" si="44"/>
        <v/>
      </c>
      <c r="N314" s="207"/>
      <c r="O314" s="211" t="str">
        <f t="shared" si="45"/>
        <v/>
      </c>
      <c r="P314" s="207"/>
      <c r="Q314" s="211" t="str">
        <f t="shared" si="46"/>
        <v/>
      </c>
      <c r="R314" s="207"/>
      <c r="S314" s="211" t="str">
        <f t="shared" si="47"/>
        <v/>
      </c>
      <c r="T314" s="272" t="str">
        <f t="shared" si="48"/>
        <v/>
      </c>
      <c r="U314" s="212" t="str">
        <f t="shared" si="49"/>
        <v/>
      </c>
    </row>
    <row r="315" spans="2:21" x14ac:dyDescent="0.25">
      <c r="B315" s="241" t="str">
        <f>IF(Contagem!B313=0,"",Contagem!B313)</f>
        <v/>
      </c>
      <c r="C315" s="242" t="str">
        <f>IF(Contagem!T313 &gt; 0,Contagem!T313,"")</f>
        <v/>
      </c>
      <c r="D315" s="207"/>
      <c r="E315" s="211" t="str">
        <f t="shared" si="40"/>
        <v/>
      </c>
      <c r="F315" s="207"/>
      <c r="G315" s="211" t="str">
        <f t="shared" si="41"/>
        <v/>
      </c>
      <c r="H315" s="207"/>
      <c r="I315" s="211" t="str">
        <f t="shared" si="42"/>
        <v/>
      </c>
      <c r="J315" s="207"/>
      <c r="K315" s="211" t="str">
        <f t="shared" si="43"/>
        <v/>
      </c>
      <c r="L315" s="207"/>
      <c r="M315" s="211" t="str">
        <f t="shared" si="44"/>
        <v/>
      </c>
      <c r="N315" s="207"/>
      <c r="O315" s="211" t="str">
        <f t="shared" si="45"/>
        <v/>
      </c>
      <c r="P315" s="207"/>
      <c r="Q315" s="211" t="str">
        <f t="shared" si="46"/>
        <v/>
      </c>
      <c r="R315" s="207"/>
      <c r="S315" s="211" t="str">
        <f t="shared" si="47"/>
        <v/>
      </c>
      <c r="T315" s="272" t="str">
        <f t="shared" si="48"/>
        <v/>
      </c>
      <c r="U315" s="212" t="str">
        <f t="shared" si="49"/>
        <v/>
      </c>
    </row>
    <row r="316" spans="2:21" x14ac:dyDescent="0.25">
      <c r="B316" s="241" t="str">
        <f>IF(Contagem!B314=0,"",Contagem!B314)</f>
        <v/>
      </c>
      <c r="C316" s="242" t="str">
        <f>IF(Contagem!T314 &gt; 0,Contagem!T314,"")</f>
        <v/>
      </c>
      <c r="D316" s="207"/>
      <c r="E316" s="211" t="str">
        <f t="shared" si="40"/>
        <v/>
      </c>
      <c r="F316" s="207"/>
      <c r="G316" s="211" t="str">
        <f t="shared" si="41"/>
        <v/>
      </c>
      <c r="H316" s="207"/>
      <c r="I316" s="211" t="str">
        <f t="shared" si="42"/>
        <v/>
      </c>
      <c r="J316" s="207"/>
      <c r="K316" s="211" t="str">
        <f t="shared" si="43"/>
        <v/>
      </c>
      <c r="L316" s="207"/>
      <c r="M316" s="211" t="str">
        <f t="shared" si="44"/>
        <v/>
      </c>
      <c r="N316" s="207"/>
      <c r="O316" s="211" t="str">
        <f t="shared" si="45"/>
        <v/>
      </c>
      <c r="P316" s="207"/>
      <c r="Q316" s="211" t="str">
        <f t="shared" si="46"/>
        <v/>
      </c>
      <c r="R316" s="207"/>
      <c r="S316" s="211" t="str">
        <f t="shared" si="47"/>
        <v/>
      </c>
      <c r="T316" s="272" t="str">
        <f t="shared" si="48"/>
        <v/>
      </c>
      <c r="U316" s="212" t="str">
        <f t="shared" si="49"/>
        <v/>
      </c>
    </row>
    <row r="317" spans="2:21" x14ac:dyDescent="0.25">
      <c r="B317" s="241" t="str">
        <f>IF(Contagem!B315=0,"",Contagem!B315)</f>
        <v/>
      </c>
      <c r="C317" s="242" t="str">
        <f>IF(Contagem!T315 &gt; 0,Contagem!T315,"")</f>
        <v/>
      </c>
      <c r="D317" s="207"/>
      <c r="E317" s="211" t="str">
        <f t="shared" si="40"/>
        <v/>
      </c>
      <c r="F317" s="207"/>
      <c r="G317" s="211" t="str">
        <f t="shared" si="41"/>
        <v/>
      </c>
      <c r="H317" s="207"/>
      <c r="I317" s="211" t="str">
        <f t="shared" si="42"/>
        <v/>
      </c>
      <c r="J317" s="207"/>
      <c r="K317" s="211" t="str">
        <f t="shared" si="43"/>
        <v/>
      </c>
      <c r="L317" s="207"/>
      <c r="M317" s="211" t="str">
        <f t="shared" si="44"/>
        <v/>
      </c>
      <c r="N317" s="207"/>
      <c r="O317" s="211" t="str">
        <f t="shared" si="45"/>
        <v/>
      </c>
      <c r="P317" s="207"/>
      <c r="Q317" s="211" t="str">
        <f t="shared" si="46"/>
        <v/>
      </c>
      <c r="R317" s="207"/>
      <c r="S317" s="211" t="str">
        <f t="shared" si="47"/>
        <v/>
      </c>
      <c r="T317" s="272" t="str">
        <f t="shared" si="48"/>
        <v/>
      </c>
      <c r="U317" s="212" t="str">
        <f t="shared" si="49"/>
        <v/>
      </c>
    </row>
    <row r="318" spans="2:21" x14ac:dyDescent="0.25">
      <c r="B318" s="241" t="str">
        <f>IF(Contagem!B316=0,"",Contagem!B316)</f>
        <v/>
      </c>
      <c r="C318" s="242" t="str">
        <f>IF(Contagem!T316 &gt; 0,Contagem!T316,"")</f>
        <v/>
      </c>
      <c r="D318" s="207"/>
      <c r="E318" s="211" t="str">
        <f t="shared" si="40"/>
        <v/>
      </c>
      <c r="F318" s="207"/>
      <c r="G318" s="211" t="str">
        <f t="shared" si="41"/>
        <v/>
      </c>
      <c r="H318" s="207"/>
      <c r="I318" s="211" t="str">
        <f t="shared" si="42"/>
        <v/>
      </c>
      <c r="J318" s="207"/>
      <c r="K318" s="211" t="str">
        <f t="shared" si="43"/>
        <v/>
      </c>
      <c r="L318" s="207"/>
      <c r="M318" s="211" t="str">
        <f t="shared" si="44"/>
        <v/>
      </c>
      <c r="N318" s="207"/>
      <c r="O318" s="211" t="str">
        <f t="shared" si="45"/>
        <v/>
      </c>
      <c r="P318" s="207"/>
      <c r="Q318" s="211" t="str">
        <f t="shared" si="46"/>
        <v/>
      </c>
      <c r="R318" s="207"/>
      <c r="S318" s="211" t="str">
        <f t="shared" si="47"/>
        <v/>
      </c>
      <c r="T318" s="272" t="str">
        <f t="shared" si="48"/>
        <v/>
      </c>
      <c r="U318" s="212" t="str">
        <f t="shared" si="49"/>
        <v/>
      </c>
    </row>
    <row r="319" spans="2:21" x14ac:dyDescent="0.25">
      <c r="B319" s="241" t="str">
        <f>IF(Contagem!B317=0,"",Contagem!B317)</f>
        <v/>
      </c>
      <c r="C319" s="242" t="str">
        <f>IF(Contagem!T317 &gt; 0,Contagem!T317,"")</f>
        <v/>
      </c>
      <c r="D319" s="207"/>
      <c r="E319" s="211" t="str">
        <f t="shared" si="40"/>
        <v/>
      </c>
      <c r="F319" s="207"/>
      <c r="G319" s="211" t="str">
        <f t="shared" si="41"/>
        <v/>
      </c>
      <c r="H319" s="207"/>
      <c r="I319" s="211" t="str">
        <f t="shared" si="42"/>
        <v/>
      </c>
      <c r="J319" s="207"/>
      <c r="K319" s="211" t="str">
        <f t="shared" si="43"/>
        <v/>
      </c>
      <c r="L319" s="207"/>
      <c r="M319" s="211" t="str">
        <f t="shared" si="44"/>
        <v/>
      </c>
      <c r="N319" s="207"/>
      <c r="O319" s="211" t="str">
        <f t="shared" si="45"/>
        <v/>
      </c>
      <c r="P319" s="207"/>
      <c r="Q319" s="211" t="str">
        <f t="shared" si="46"/>
        <v/>
      </c>
      <c r="R319" s="207"/>
      <c r="S319" s="211" t="str">
        <f t="shared" si="47"/>
        <v/>
      </c>
      <c r="T319" s="272" t="str">
        <f t="shared" si="48"/>
        <v/>
      </c>
      <c r="U319" s="212" t="str">
        <f t="shared" si="49"/>
        <v/>
      </c>
    </row>
    <row r="320" spans="2:21" x14ac:dyDescent="0.25">
      <c r="B320" s="241" t="str">
        <f>IF(Contagem!B318=0,"",Contagem!B318)</f>
        <v/>
      </c>
      <c r="C320" s="242" t="str">
        <f>IF(Contagem!T318 &gt; 0,Contagem!T318,"")</f>
        <v/>
      </c>
      <c r="D320" s="207"/>
      <c r="E320" s="211" t="str">
        <f t="shared" si="40"/>
        <v/>
      </c>
      <c r="F320" s="207"/>
      <c r="G320" s="211" t="str">
        <f t="shared" si="41"/>
        <v/>
      </c>
      <c r="H320" s="207"/>
      <c r="I320" s="211" t="str">
        <f t="shared" si="42"/>
        <v/>
      </c>
      <c r="J320" s="207"/>
      <c r="K320" s="211" t="str">
        <f t="shared" si="43"/>
        <v/>
      </c>
      <c r="L320" s="207"/>
      <c r="M320" s="211" t="str">
        <f t="shared" si="44"/>
        <v/>
      </c>
      <c r="N320" s="207"/>
      <c r="O320" s="211" t="str">
        <f t="shared" si="45"/>
        <v/>
      </c>
      <c r="P320" s="207"/>
      <c r="Q320" s="211" t="str">
        <f t="shared" si="46"/>
        <v/>
      </c>
      <c r="R320" s="207"/>
      <c r="S320" s="211" t="str">
        <f t="shared" si="47"/>
        <v/>
      </c>
      <c r="T320" s="272" t="str">
        <f t="shared" si="48"/>
        <v/>
      </c>
      <c r="U320" s="212" t="str">
        <f t="shared" si="49"/>
        <v/>
      </c>
    </row>
    <row r="321" spans="2:21" x14ac:dyDescent="0.25">
      <c r="B321" s="241" t="str">
        <f>IF(Contagem!B319=0,"",Contagem!B319)</f>
        <v/>
      </c>
      <c r="C321" s="242" t="str">
        <f>IF(Contagem!T319 &gt; 0,Contagem!T319,"")</f>
        <v/>
      </c>
      <c r="D321" s="207"/>
      <c r="E321" s="211" t="str">
        <f t="shared" si="40"/>
        <v/>
      </c>
      <c r="F321" s="207"/>
      <c r="G321" s="211" t="str">
        <f t="shared" si="41"/>
        <v/>
      </c>
      <c r="H321" s="207"/>
      <c r="I321" s="211" t="str">
        <f t="shared" si="42"/>
        <v/>
      </c>
      <c r="J321" s="207"/>
      <c r="K321" s="211" t="str">
        <f t="shared" si="43"/>
        <v/>
      </c>
      <c r="L321" s="207"/>
      <c r="M321" s="211" t="str">
        <f t="shared" si="44"/>
        <v/>
      </c>
      <c r="N321" s="207"/>
      <c r="O321" s="211" t="str">
        <f t="shared" si="45"/>
        <v/>
      </c>
      <c r="P321" s="207"/>
      <c r="Q321" s="211" t="str">
        <f t="shared" si="46"/>
        <v/>
      </c>
      <c r="R321" s="207"/>
      <c r="S321" s="211" t="str">
        <f t="shared" si="47"/>
        <v/>
      </c>
      <c r="T321" s="272" t="str">
        <f t="shared" si="48"/>
        <v/>
      </c>
      <c r="U321" s="212" t="str">
        <f t="shared" si="49"/>
        <v/>
      </c>
    </row>
    <row r="322" spans="2:21" x14ac:dyDescent="0.25">
      <c r="B322" s="241" t="str">
        <f>IF(Contagem!B320=0,"",Contagem!B320)</f>
        <v/>
      </c>
      <c r="C322" s="242" t="str">
        <f>IF(Contagem!T320 &gt; 0,Contagem!T320,"")</f>
        <v/>
      </c>
      <c r="D322" s="207"/>
      <c r="E322" s="211" t="str">
        <f t="shared" si="40"/>
        <v/>
      </c>
      <c r="F322" s="207"/>
      <c r="G322" s="211" t="str">
        <f t="shared" si="41"/>
        <v/>
      </c>
      <c r="H322" s="207"/>
      <c r="I322" s="211" t="str">
        <f t="shared" si="42"/>
        <v/>
      </c>
      <c r="J322" s="207"/>
      <c r="K322" s="211" t="str">
        <f t="shared" si="43"/>
        <v/>
      </c>
      <c r="L322" s="207"/>
      <c r="M322" s="211" t="str">
        <f t="shared" si="44"/>
        <v/>
      </c>
      <c r="N322" s="207"/>
      <c r="O322" s="211" t="str">
        <f t="shared" si="45"/>
        <v/>
      </c>
      <c r="P322" s="207"/>
      <c r="Q322" s="211" t="str">
        <f t="shared" si="46"/>
        <v/>
      </c>
      <c r="R322" s="207"/>
      <c r="S322" s="211" t="str">
        <f t="shared" si="47"/>
        <v/>
      </c>
      <c r="T322" s="272" t="str">
        <f t="shared" si="48"/>
        <v/>
      </c>
      <c r="U322" s="212" t="str">
        <f t="shared" si="49"/>
        <v/>
      </c>
    </row>
    <row r="323" spans="2:21" x14ac:dyDescent="0.25">
      <c r="B323" s="241" t="str">
        <f>IF(Contagem!B321=0,"",Contagem!B321)</f>
        <v/>
      </c>
      <c r="C323" s="242" t="str">
        <f>IF(Contagem!T321 &gt; 0,Contagem!T321,"")</f>
        <v/>
      </c>
      <c r="D323" s="207"/>
      <c r="E323" s="211" t="str">
        <f t="shared" si="40"/>
        <v/>
      </c>
      <c r="F323" s="207"/>
      <c r="G323" s="211" t="str">
        <f t="shared" si="41"/>
        <v/>
      </c>
      <c r="H323" s="207"/>
      <c r="I323" s="211" t="str">
        <f t="shared" si="42"/>
        <v/>
      </c>
      <c r="J323" s="207"/>
      <c r="K323" s="211" t="str">
        <f t="shared" si="43"/>
        <v/>
      </c>
      <c r="L323" s="207"/>
      <c r="M323" s="211" t="str">
        <f t="shared" si="44"/>
        <v/>
      </c>
      <c r="N323" s="207"/>
      <c r="O323" s="211" t="str">
        <f t="shared" si="45"/>
        <v/>
      </c>
      <c r="P323" s="207"/>
      <c r="Q323" s="211" t="str">
        <f t="shared" si="46"/>
        <v/>
      </c>
      <c r="R323" s="207"/>
      <c r="S323" s="211" t="str">
        <f t="shared" si="47"/>
        <v/>
      </c>
      <c r="T323" s="272" t="str">
        <f t="shared" si="48"/>
        <v/>
      </c>
      <c r="U323" s="212" t="str">
        <f t="shared" si="49"/>
        <v/>
      </c>
    </row>
    <row r="324" spans="2:21" x14ac:dyDescent="0.25">
      <c r="B324" s="241" t="str">
        <f>IF(Contagem!B322=0,"",Contagem!B322)</f>
        <v/>
      </c>
      <c r="C324" s="242" t="str">
        <f>IF(Contagem!T322 &gt; 0,Contagem!T322,"")</f>
        <v/>
      </c>
      <c r="D324" s="207"/>
      <c r="E324" s="211" t="str">
        <f t="shared" si="40"/>
        <v/>
      </c>
      <c r="F324" s="207"/>
      <c r="G324" s="211" t="str">
        <f t="shared" si="41"/>
        <v/>
      </c>
      <c r="H324" s="207"/>
      <c r="I324" s="211" t="str">
        <f t="shared" si="42"/>
        <v/>
      </c>
      <c r="J324" s="207"/>
      <c r="K324" s="211" t="str">
        <f t="shared" si="43"/>
        <v/>
      </c>
      <c r="L324" s="207"/>
      <c r="M324" s="211" t="str">
        <f t="shared" si="44"/>
        <v/>
      </c>
      <c r="N324" s="207"/>
      <c r="O324" s="211" t="str">
        <f t="shared" si="45"/>
        <v/>
      </c>
      <c r="P324" s="207"/>
      <c r="Q324" s="211" t="str">
        <f t="shared" si="46"/>
        <v/>
      </c>
      <c r="R324" s="207"/>
      <c r="S324" s="211" t="str">
        <f t="shared" si="47"/>
        <v/>
      </c>
      <c r="T324" s="272" t="str">
        <f t="shared" si="48"/>
        <v/>
      </c>
      <c r="U324" s="212" t="str">
        <f t="shared" si="49"/>
        <v/>
      </c>
    </row>
    <row r="325" spans="2:21" x14ac:dyDescent="0.25">
      <c r="B325" s="241" t="str">
        <f>IF(Contagem!B323=0,"",Contagem!B323)</f>
        <v/>
      </c>
      <c r="C325" s="242" t="str">
        <f>IF(Contagem!T323 &gt; 0,Contagem!T323,"")</f>
        <v/>
      </c>
      <c r="D325" s="207"/>
      <c r="E325" s="211" t="str">
        <f t="shared" si="40"/>
        <v/>
      </c>
      <c r="F325" s="207"/>
      <c r="G325" s="211" t="str">
        <f t="shared" si="41"/>
        <v/>
      </c>
      <c r="H325" s="207"/>
      <c r="I325" s="211" t="str">
        <f t="shared" si="42"/>
        <v/>
      </c>
      <c r="J325" s="207"/>
      <c r="K325" s="211" t="str">
        <f t="shared" si="43"/>
        <v/>
      </c>
      <c r="L325" s="207"/>
      <c r="M325" s="211" t="str">
        <f t="shared" si="44"/>
        <v/>
      </c>
      <c r="N325" s="207"/>
      <c r="O325" s="211" t="str">
        <f t="shared" si="45"/>
        <v/>
      </c>
      <c r="P325" s="207"/>
      <c r="Q325" s="211" t="str">
        <f t="shared" si="46"/>
        <v/>
      </c>
      <c r="R325" s="207"/>
      <c r="S325" s="211" t="str">
        <f t="shared" si="47"/>
        <v/>
      </c>
      <c r="T325" s="272" t="str">
        <f t="shared" si="48"/>
        <v/>
      </c>
      <c r="U325" s="212" t="str">
        <f t="shared" si="49"/>
        <v/>
      </c>
    </row>
    <row r="326" spans="2:21" x14ac:dyDescent="0.25">
      <c r="B326" s="241" t="str">
        <f>IF(Contagem!B324=0,"",Contagem!B324)</f>
        <v/>
      </c>
      <c r="C326" s="242" t="str">
        <f>IF(Contagem!T324 &gt; 0,Contagem!T324,"")</f>
        <v/>
      </c>
      <c r="D326" s="207"/>
      <c r="E326" s="211" t="str">
        <f t="shared" si="40"/>
        <v/>
      </c>
      <c r="F326" s="207"/>
      <c r="G326" s="211" t="str">
        <f t="shared" si="41"/>
        <v/>
      </c>
      <c r="H326" s="207"/>
      <c r="I326" s="211" t="str">
        <f t="shared" si="42"/>
        <v/>
      </c>
      <c r="J326" s="207"/>
      <c r="K326" s="211" t="str">
        <f t="shared" si="43"/>
        <v/>
      </c>
      <c r="L326" s="207"/>
      <c r="M326" s="211" t="str">
        <f t="shared" si="44"/>
        <v/>
      </c>
      <c r="N326" s="207"/>
      <c r="O326" s="211" t="str">
        <f t="shared" si="45"/>
        <v/>
      </c>
      <c r="P326" s="207"/>
      <c r="Q326" s="211" t="str">
        <f t="shared" si="46"/>
        <v/>
      </c>
      <c r="R326" s="207"/>
      <c r="S326" s="211" t="str">
        <f t="shared" si="47"/>
        <v/>
      </c>
      <c r="T326" s="272" t="str">
        <f t="shared" si="48"/>
        <v/>
      </c>
      <c r="U326" s="212" t="str">
        <f t="shared" si="49"/>
        <v/>
      </c>
    </row>
    <row r="327" spans="2:21" x14ac:dyDescent="0.25">
      <c r="B327" s="241" t="str">
        <f>IF(Contagem!B325=0,"",Contagem!B325)</f>
        <v/>
      </c>
      <c r="C327" s="242" t="str">
        <f>IF(Contagem!T325 &gt; 0,Contagem!T325,"")</f>
        <v/>
      </c>
      <c r="D327" s="207"/>
      <c r="E327" s="211" t="str">
        <f t="shared" ref="E327:E390" si="50">IFERROR(IF(AND($D$4&lt;&gt; 0,D327="Sim", $C327 &gt; 0),$C327*$D$4,""),0)</f>
        <v/>
      </c>
      <c r="F327" s="207"/>
      <c r="G327" s="211" t="str">
        <f t="shared" ref="G327:G390" si="51">IFERROR(IF(AND($F$4&lt;&gt; 0,F327="Sim", $C327 &gt; 0),$C327*$F$4,""),0)</f>
        <v/>
      </c>
      <c r="H327" s="207"/>
      <c r="I327" s="211" t="str">
        <f t="shared" ref="I327:I390" si="52">IFERROR(IF(AND($H$4&lt;&gt; 0,H327="Sim", $C327 &gt; 0),$C327*$H$4,""),0)</f>
        <v/>
      </c>
      <c r="J327" s="207"/>
      <c r="K327" s="211" t="str">
        <f t="shared" ref="K327:K390" si="53">IFERROR(IF(AND($J$4&lt;&gt; 0,J327="Sim", $C327 &gt; 0),$C327*$J$4,""),0)</f>
        <v/>
      </c>
      <c r="L327" s="207"/>
      <c r="M327" s="211" t="str">
        <f t="shared" ref="M327:M390" si="54">IFERROR(IF(AND($L$4&lt;&gt; 0,L327="Sim", $C327 &gt; 0),$C327*$L$4,""),0)</f>
        <v/>
      </c>
      <c r="N327" s="207"/>
      <c r="O327" s="211" t="str">
        <f t="shared" ref="O327:O390" si="55">IFERROR(IF(AND($N$4&lt;&gt; 0,N327="Sim", $C327 &gt; 0),$C327*$N$4,""),0)</f>
        <v/>
      </c>
      <c r="P327" s="207"/>
      <c r="Q327" s="211" t="str">
        <f t="shared" ref="Q327:Q390" si="56">IFERROR(IF(AND($P$4&lt;&gt; 0,P327="Sim", $C327 &gt; 0),$C327*$P$4,""),0)</f>
        <v/>
      </c>
      <c r="R327" s="207"/>
      <c r="S327" s="211" t="str">
        <f t="shared" ref="S327:S390" si="57">IFERROR(IF(AND($R$4&lt;&gt; 0,R327="Sim", $C327 &gt; 0),$C327*$R$4,""),0)</f>
        <v/>
      </c>
      <c r="T327" s="272" t="str">
        <f t="shared" ref="T327:T390" si="58">IFERROR(U327/C327,"")</f>
        <v/>
      </c>
      <c r="U327" s="212" t="str">
        <f t="shared" ref="U327:U390" si="59">IF(SUM(E327,G327,I327,K327,M327,O327,Q327,S327) &gt; 0,SUM(E327,G327,I327,K327,M327,O327,Q327,S327),"")</f>
        <v/>
      </c>
    </row>
    <row r="328" spans="2:21" x14ac:dyDescent="0.25">
      <c r="B328" s="241" t="str">
        <f>IF(Contagem!B326=0,"",Contagem!B326)</f>
        <v/>
      </c>
      <c r="C328" s="242" t="str">
        <f>IF(Contagem!T326 &gt; 0,Contagem!T326,"")</f>
        <v/>
      </c>
      <c r="D328" s="207"/>
      <c r="E328" s="211" t="str">
        <f t="shared" si="50"/>
        <v/>
      </c>
      <c r="F328" s="207"/>
      <c r="G328" s="211" t="str">
        <f t="shared" si="51"/>
        <v/>
      </c>
      <c r="H328" s="207"/>
      <c r="I328" s="211" t="str">
        <f t="shared" si="52"/>
        <v/>
      </c>
      <c r="J328" s="207"/>
      <c r="K328" s="211" t="str">
        <f t="shared" si="53"/>
        <v/>
      </c>
      <c r="L328" s="207"/>
      <c r="M328" s="211" t="str">
        <f t="shared" si="54"/>
        <v/>
      </c>
      <c r="N328" s="207"/>
      <c r="O328" s="211" t="str">
        <f t="shared" si="55"/>
        <v/>
      </c>
      <c r="P328" s="207"/>
      <c r="Q328" s="211" t="str">
        <f t="shared" si="56"/>
        <v/>
      </c>
      <c r="R328" s="207"/>
      <c r="S328" s="211" t="str">
        <f t="shared" si="57"/>
        <v/>
      </c>
      <c r="T328" s="272" t="str">
        <f t="shared" si="58"/>
        <v/>
      </c>
      <c r="U328" s="212" t="str">
        <f t="shared" si="59"/>
        <v/>
      </c>
    </row>
    <row r="329" spans="2:21" x14ac:dyDescent="0.25">
      <c r="B329" s="241" t="str">
        <f>IF(Contagem!B327=0,"",Contagem!B327)</f>
        <v/>
      </c>
      <c r="C329" s="242" t="str">
        <f>IF(Contagem!T327 &gt; 0,Contagem!T327,"")</f>
        <v/>
      </c>
      <c r="D329" s="207"/>
      <c r="E329" s="211" t="str">
        <f t="shared" si="50"/>
        <v/>
      </c>
      <c r="F329" s="207"/>
      <c r="G329" s="211" t="str">
        <f t="shared" si="51"/>
        <v/>
      </c>
      <c r="H329" s="207"/>
      <c r="I329" s="211" t="str">
        <f t="shared" si="52"/>
        <v/>
      </c>
      <c r="J329" s="207"/>
      <c r="K329" s="211" t="str">
        <f t="shared" si="53"/>
        <v/>
      </c>
      <c r="L329" s="207"/>
      <c r="M329" s="211" t="str">
        <f t="shared" si="54"/>
        <v/>
      </c>
      <c r="N329" s="207"/>
      <c r="O329" s="211" t="str">
        <f t="shared" si="55"/>
        <v/>
      </c>
      <c r="P329" s="207"/>
      <c r="Q329" s="211" t="str">
        <f t="shared" si="56"/>
        <v/>
      </c>
      <c r="R329" s="207"/>
      <c r="S329" s="211" t="str">
        <f t="shared" si="57"/>
        <v/>
      </c>
      <c r="T329" s="272" t="str">
        <f t="shared" si="58"/>
        <v/>
      </c>
      <c r="U329" s="212" t="str">
        <f t="shared" si="59"/>
        <v/>
      </c>
    </row>
    <row r="330" spans="2:21" x14ac:dyDescent="0.25">
      <c r="B330" s="241" t="str">
        <f>IF(Contagem!B328=0,"",Contagem!B328)</f>
        <v/>
      </c>
      <c r="C330" s="242" t="str">
        <f>IF(Contagem!T328 &gt; 0,Contagem!T328,"")</f>
        <v/>
      </c>
      <c r="D330" s="207"/>
      <c r="E330" s="211" t="str">
        <f t="shared" si="50"/>
        <v/>
      </c>
      <c r="F330" s="207"/>
      <c r="G330" s="211" t="str">
        <f t="shared" si="51"/>
        <v/>
      </c>
      <c r="H330" s="207"/>
      <c r="I330" s="211" t="str">
        <f t="shared" si="52"/>
        <v/>
      </c>
      <c r="J330" s="207"/>
      <c r="K330" s="211" t="str">
        <f t="shared" si="53"/>
        <v/>
      </c>
      <c r="L330" s="207"/>
      <c r="M330" s="211" t="str">
        <f t="shared" si="54"/>
        <v/>
      </c>
      <c r="N330" s="207"/>
      <c r="O330" s="211" t="str">
        <f t="shared" si="55"/>
        <v/>
      </c>
      <c r="P330" s="207"/>
      <c r="Q330" s="211" t="str">
        <f t="shared" si="56"/>
        <v/>
      </c>
      <c r="R330" s="207"/>
      <c r="S330" s="211" t="str">
        <f t="shared" si="57"/>
        <v/>
      </c>
      <c r="T330" s="272" t="str">
        <f t="shared" si="58"/>
        <v/>
      </c>
      <c r="U330" s="212" t="str">
        <f t="shared" si="59"/>
        <v/>
      </c>
    </row>
    <row r="331" spans="2:21" x14ac:dyDescent="0.25">
      <c r="B331" s="241" t="str">
        <f>IF(Contagem!B329=0,"",Contagem!B329)</f>
        <v/>
      </c>
      <c r="C331" s="242" t="str">
        <f>IF(Contagem!T329 &gt; 0,Contagem!T329,"")</f>
        <v/>
      </c>
      <c r="D331" s="207"/>
      <c r="E331" s="211" t="str">
        <f t="shared" si="50"/>
        <v/>
      </c>
      <c r="F331" s="207"/>
      <c r="G331" s="211" t="str">
        <f t="shared" si="51"/>
        <v/>
      </c>
      <c r="H331" s="207"/>
      <c r="I331" s="211" t="str">
        <f t="shared" si="52"/>
        <v/>
      </c>
      <c r="J331" s="207"/>
      <c r="K331" s="211" t="str">
        <f t="shared" si="53"/>
        <v/>
      </c>
      <c r="L331" s="207"/>
      <c r="M331" s="211" t="str">
        <f t="shared" si="54"/>
        <v/>
      </c>
      <c r="N331" s="207"/>
      <c r="O331" s="211" t="str">
        <f t="shared" si="55"/>
        <v/>
      </c>
      <c r="P331" s="207"/>
      <c r="Q331" s="211" t="str">
        <f t="shared" si="56"/>
        <v/>
      </c>
      <c r="R331" s="207"/>
      <c r="S331" s="211" t="str">
        <f t="shared" si="57"/>
        <v/>
      </c>
      <c r="T331" s="272" t="str">
        <f t="shared" si="58"/>
        <v/>
      </c>
      <c r="U331" s="212" t="str">
        <f t="shared" si="59"/>
        <v/>
      </c>
    </row>
    <row r="332" spans="2:21" x14ac:dyDescent="0.25">
      <c r="B332" s="241" t="str">
        <f>IF(Contagem!B330=0,"",Contagem!B330)</f>
        <v/>
      </c>
      <c r="C332" s="242" t="str">
        <f>IF(Contagem!T330 &gt; 0,Contagem!T330,"")</f>
        <v/>
      </c>
      <c r="D332" s="207"/>
      <c r="E332" s="211" t="str">
        <f t="shared" si="50"/>
        <v/>
      </c>
      <c r="F332" s="207"/>
      <c r="G332" s="211" t="str">
        <f t="shared" si="51"/>
        <v/>
      </c>
      <c r="H332" s="207"/>
      <c r="I332" s="211" t="str">
        <f t="shared" si="52"/>
        <v/>
      </c>
      <c r="J332" s="207"/>
      <c r="K332" s="211" t="str">
        <f t="shared" si="53"/>
        <v/>
      </c>
      <c r="L332" s="207"/>
      <c r="M332" s="211" t="str">
        <f t="shared" si="54"/>
        <v/>
      </c>
      <c r="N332" s="207"/>
      <c r="O332" s="211" t="str">
        <f t="shared" si="55"/>
        <v/>
      </c>
      <c r="P332" s="207"/>
      <c r="Q332" s="211" t="str">
        <f t="shared" si="56"/>
        <v/>
      </c>
      <c r="R332" s="207"/>
      <c r="S332" s="211" t="str">
        <f t="shared" si="57"/>
        <v/>
      </c>
      <c r="T332" s="272" t="str">
        <f t="shared" si="58"/>
        <v/>
      </c>
      <c r="U332" s="212" t="str">
        <f t="shared" si="59"/>
        <v/>
      </c>
    </row>
    <row r="333" spans="2:21" x14ac:dyDescent="0.25">
      <c r="B333" s="241" t="str">
        <f>IF(Contagem!B331=0,"",Contagem!B331)</f>
        <v/>
      </c>
      <c r="C333" s="242" t="str">
        <f>IF(Contagem!T331 &gt; 0,Contagem!T331,"")</f>
        <v/>
      </c>
      <c r="D333" s="207"/>
      <c r="E333" s="211" t="str">
        <f t="shared" si="50"/>
        <v/>
      </c>
      <c r="F333" s="207"/>
      <c r="G333" s="211" t="str">
        <f t="shared" si="51"/>
        <v/>
      </c>
      <c r="H333" s="207"/>
      <c r="I333" s="211" t="str">
        <f t="shared" si="52"/>
        <v/>
      </c>
      <c r="J333" s="207"/>
      <c r="K333" s="211" t="str">
        <f t="shared" si="53"/>
        <v/>
      </c>
      <c r="L333" s="207"/>
      <c r="M333" s="211" t="str">
        <f t="shared" si="54"/>
        <v/>
      </c>
      <c r="N333" s="207"/>
      <c r="O333" s="211" t="str">
        <f t="shared" si="55"/>
        <v/>
      </c>
      <c r="P333" s="207"/>
      <c r="Q333" s="211" t="str">
        <f t="shared" si="56"/>
        <v/>
      </c>
      <c r="R333" s="207"/>
      <c r="S333" s="211" t="str">
        <f t="shared" si="57"/>
        <v/>
      </c>
      <c r="T333" s="272" t="str">
        <f t="shared" si="58"/>
        <v/>
      </c>
      <c r="U333" s="212" t="str">
        <f t="shared" si="59"/>
        <v/>
      </c>
    </row>
    <row r="334" spans="2:21" x14ac:dyDescent="0.25">
      <c r="B334" s="241" t="str">
        <f>IF(Contagem!B332=0,"",Contagem!B332)</f>
        <v/>
      </c>
      <c r="C334" s="242" t="str">
        <f>IF(Contagem!T332 &gt; 0,Contagem!T332,"")</f>
        <v/>
      </c>
      <c r="D334" s="207"/>
      <c r="E334" s="211" t="str">
        <f t="shared" si="50"/>
        <v/>
      </c>
      <c r="F334" s="207"/>
      <c r="G334" s="211" t="str">
        <f t="shared" si="51"/>
        <v/>
      </c>
      <c r="H334" s="207"/>
      <c r="I334" s="211" t="str">
        <f t="shared" si="52"/>
        <v/>
      </c>
      <c r="J334" s="207"/>
      <c r="K334" s="211" t="str">
        <f t="shared" si="53"/>
        <v/>
      </c>
      <c r="L334" s="207"/>
      <c r="M334" s="211" t="str">
        <f t="shared" si="54"/>
        <v/>
      </c>
      <c r="N334" s="207"/>
      <c r="O334" s="211" t="str">
        <f t="shared" si="55"/>
        <v/>
      </c>
      <c r="P334" s="207"/>
      <c r="Q334" s="211" t="str">
        <f t="shared" si="56"/>
        <v/>
      </c>
      <c r="R334" s="207"/>
      <c r="S334" s="211" t="str">
        <f t="shared" si="57"/>
        <v/>
      </c>
      <c r="T334" s="272" t="str">
        <f t="shared" si="58"/>
        <v/>
      </c>
      <c r="U334" s="212" t="str">
        <f t="shared" si="59"/>
        <v/>
      </c>
    </row>
    <row r="335" spans="2:21" x14ac:dyDescent="0.25">
      <c r="B335" s="241" t="str">
        <f>IF(Contagem!B333=0,"",Contagem!B333)</f>
        <v/>
      </c>
      <c r="C335" s="242" t="str">
        <f>IF(Contagem!T333 &gt; 0,Contagem!T333,"")</f>
        <v/>
      </c>
      <c r="D335" s="207"/>
      <c r="E335" s="211" t="str">
        <f t="shared" si="50"/>
        <v/>
      </c>
      <c r="F335" s="207"/>
      <c r="G335" s="211" t="str">
        <f t="shared" si="51"/>
        <v/>
      </c>
      <c r="H335" s="207"/>
      <c r="I335" s="211" t="str">
        <f t="shared" si="52"/>
        <v/>
      </c>
      <c r="J335" s="207"/>
      <c r="K335" s="211" t="str">
        <f t="shared" si="53"/>
        <v/>
      </c>
      <c r="L335" s="207"/>
      <c r="M335" s="211" t="str">
        <f t="shared" si="54"/>
        <v/>
      </c>
      <c r="N335" s="207"/>
      <c r="O335" s="211" t="str">
        <f t="shared" si="55"/>
        <v/>
      </c>
      <c r="P335" s="207"/>
      <c r="Q335" s="211" t="str">
        <f t="shared" si="56"/>
        <v/>
      </c>
      <c r="R335" s="207"/>
      <c r="S335" s="211" t="str">
        <f t="shared" si="57"/>
        <v/>
      </c>
      <c r="T335" s="272" t="str">
        <f t="shared" si="58"/>
        <v/>
      </c>
      <c r="U335" s="212" t="str">
        <f t="shared" si="59"/>
        <v/>
      </c>
    </row>
    <row r="336" spans="2:21" x14ac:dyDescent="0.25">
      <c r="B336" s="241" t="str">
        <f>IF(Contagem!B334=0,"",Contagem!B334)</f>
        <v/>
      </c>
      <c r="C336" s="242" t="str">
        <f>IF(Contagem!T334 &gt; 0,Contagem!T334,"")</f>
        <v/>
      </c>
      <c r="D336" s="207"/>
      <c r="E336" s="211" t="str">
        <f t="shared" si="50"/>
        <v/>
      </c>
      <c r="F336" s="207"/>
      <c r="G336" s="211" t="str">
        <f t="shared" si="51"/>
        <v/>
      </c>
      <c r="H336" s="207"/>
      <c r="I336" s="211" t="str">
        <f t="shared" si="52"/>
        <v/>
      </c>
      <c r="J336" s="207"/>
      <c r="K336" s="211" t="str">
        <f t="shared" si="53"/>
        <v/>
      </c>
      <c r="L336" s="207"/>
      <c r="M336" s="211" t="str">
        <f t="shared" si="54"/>
        <v/>
      </c>
      <c r="N336" s="207"/>
      <c r="O336" s="211" t="str">
        <f t="shared" si="55"/>
        <v/>
      </c>
      <c r="P336" s="207"/>
      <c r="Q336" s="211" t="str">
        <f t="shared" si="56"/>
        <v/>
      </c>
      <c r="R336" s="207"/>
      <c r="S336" s="211" t="str">
        <f t="shared" si="57"/>
        <v/>
      </c>
      <c r="T336" s="272" t="str">
        <f t="shared" si="58"/>
        <v/>
      </c>
      <c r="U336" s="212" t="str">
        <f t="shared" si="59"/>
        <v/>
      </c>
    </row>
    <row r="337" spans="2:21" x14ac:dyDescent="0.25">
      <c r="B337" s="241" t="str">
        <f>IF(Contagem!B335=0,"",Contagem!B335)</f>
        <v/>
      </c>
      <c r="C337" s="242" t="str">
        <f>IF(Contagem!T335 &gt; 0,Contagem!T335,"")</f>
        <v/>
      </c>
      <c r="D337" s="207"/>
      <c r="E337" s="211" t="str">
        <f t="shared" si="50"/>
        <v/>
      </c>
      <c r="F337" s="207"/>
      <c r="G337" s="211" t="str">
        <f t="shared" si="51"/>
        <v/>
      </c>
      <c r="H337" s="207"/>
      <c r="I337" s="211" t="str">
        <f t="shared" si="52"/>
        <v/>
      </c>
      <c r="J337" s="207"/>
      <c r="K337" s="211" t="str">
        <f t="shared" si="53"/>
        <v/>
      </c>
      <c r="L337" s="207"/>
      <c r="M337" s="211" t="str">
        <f t="shared" si="54"/>
        <v/>
      </c>
      <c r="N337" s="207"/>
      <c r="O337" s="211" t="str">
        <f t="shared" si="55"/>
        <v/>
      </c>
      <c r="P337" s="207"/>
      <c r="Q337" s="211" t="str">
        <f t="shared" si="56"/>
        <v/>
      </c>
      <c r="R337" s="207"/>
      <c r="S337" s="211" t="str">
        <f t="shared" si="57"/>
        <v/>
      </c>
      <c r="T337" s="272" t="str">
        <f t="shared" si="58"/>
        <v/>
      </c>
      <c r="U337" s="212" t="str">
        <f t="shared" si="59"/>
        <v/>
      </c>
    </row>
    <row r="338" spans="2:21" x14ac:dyDescent="0.25">
      <c r="B338" s="241" t="str">
        <f>IF(Contagem!B336=0,"",Contagem!B336)</f>
        <v/>
      </c>
      <c r="C338" s="242" t="str">
        <f>IF(Contagem!T336 &gt; 0,Contagem!T336,"")</f>
        <v/>
      </c>
      <c r="D338" s="207"/>
      <c r="E338" s="211" t="str">
        <f t="shared" si="50"/>
        <v/>
      </c>
      <c r="F338" s="207"/>
      <c r="G338" s="211" t="str">
        <f t="shared" si="51"/>
        <v/>
      </c>
      <c r="H338" s="207"/>
      <c r="I338" s="211" t="str">
        <f t="shared" si="52"/>
        <v/>
      </c>
      <c r="J338" s="207"/>
      <c r="K338" s="211" t="str">
        <f t="shared" si="53"/>
        <v/>
      </c>
      <c r="L338" s="207"/>
      <c r="M338" s="211" t="str">
        <f t="shared" si="54"/>
        <v/>
      </c>
      <c r="N338" s="207"/>
      <c r="O338" s="211" t="str">
        <f t="shared" si="55"/>
        <v/>
      </c>
      <c r="P338" s="207"/>
      <c r="Q338" s="211" t="str">
        <f t="shared" si="56"/>
        <v/>
      </c>
      <c r="R338" s="207"/>
      <c r="S338" s="211" t="str">
        <f t="shared" si="57"/>
        <v/>
      </c>
      <c r="T338" s="272" t="str">
        <f t="shared" si="58"/>
        <v/>
      </c>
      <c r="U338" s="212" t="str">
        <f t="shared" si="59"/>
        <v/>
      </c>
    </row>
    <row r="339" spans="2:21" x14ac:dyDescent="0.25">
      <c r="B339" s="241" t="str">
        <f>IF(Contagem!B337=0,"",Contagem!B337)</f>
        <v/>
      </c>
      <c r="C339" s="242" t="str">
        <f>IF(Contagem!T337 &gt; 0,Contagem!T337,"")</f>
        <v/>
      </c>
      <c r="D339" s="207"/>
      <c r="E339" s="211" t="str">
        <f t="shared" si="50"/>
        <v/>
      </c>
      <c r="F339" s="207"/>
      <c r="G339" s="211" t="str">
        <f t="shared" si="51"/>
        <v/>
      </c>
      <c r="H339" s="207"/>
      <c r="I339" s="211" t="str">
        <f t="shared" si="52"/>
        <v/>
      </c>
      <c r="J339" s="207"/>
      <c r="K339" s="211" t="str">
        <f t="shared" si="53"/>
        <v/>
      </c>
      <c r="L339" s="207"/>
      <c r="M339" s="211" t="str">
        <f t="shared" si="54"/>
        <v/>
      </c>
      <c r="N339" s="207"/>
      <c r="O339" s="211" t="str">
        <f t="shared" si="55"/>
        <v/>
      </c>
      <c r="P339" s="207"/>
      <c r="Q339" s="211" t="str">
        <f t="shared" si="56"/>
        <v/>
      </c>
      <c r="R339" s="207"/>
      <c r="S339" s="211" t="str">
        <f t="shared" si="57"/>
        <v/>
      </c>
      <c r="T339" s="272" t="str">
        <f t="shared" si="58"/>
        <v/>
      </c>
      <c r="U339" s="212" t="str">
        <f t="shared" si="59"/>
        <v/>
      </c>
    </row>
    <row r="340" spans="2:21" x14ac:dyDescent="0.25">
      <c r="B340" s="241" t="str">
        <f>IF(Contagem!B338=0,"",Contagem!B338)</f>
        <v/>
      </c>
      <c r="C340" s="242" t="str">
        <f>IF(Contagem!T338 &gt; 0,Contagem!T338,"")</f>
        <v/>
      </c>
      <c r="D340" s="207"/>
      <c r="E340" s="211" t="str">
        <f t="shared" si="50"/>
        <v/>
      </c>
      <c r="F340" s="207"/>
      <c r="G340" s="211" t="str">
        <f t="shared" si="51"/>
        <v/>
      </c>
      <c r="H340" s="207"/>
      <c r="I340" s="211" t="str">
        <f t="shared" si="52"/>
        <v/>
      </c>
      <c r="J340" s="207"/>
      <c r="K340" s="211" t="str">
        <f t="shared" si="53"/>
        <v/>
      </c>
      <c r="L340" s="207"/>
      <c r="M340" s="211" t="str">
        <f t="shared" si="54"/>
        <v/>
      </c>
      <c r="N340" s="207"/>
      <c r="O340" s="211" t="str">
        <f t="shared" si="55"/>
        <v/>
      </c>
      <c r="P340" s="207"/>
      <c r="Q340" s="211" t="str">
        <f t="shared" si="56"/>
        <v/>
      </c>
      <c r="R340" s="207"/>
      <c r="S340" s="211" t="str">
        <f t="shared" si="57"/>
        <v/>
      </c>
      <c r="T340" s="272" t="str">
        <f t="shared" si="58"/>
        <v/>
      </c>
      <c r="U340" s="212" t="str">
        <f t="shared" si="59"/>
        <v/>
      </c>
    </row>
    <row r="341" spans="2:21" x14ac:dyDescent="0.25">
      <c r="B341" s="241" t="str">
        <f>IF(Contagem!B339=0,"",Contagem!B339)</f>
        <v/>
      </c>
      <c r="C341" s="242" t="str">
        <f>IF(Contagem!T339 &gt; 0,Contagem!T339,"")</f>
        <v/>
      </c>
      <c r="D341" s="207"/>
      <c r="E341" s="211" t="str">
        <f t="shared" si="50"/>
        <v/>
      </c>
      <c r="F341" s="207"/>
      <c r="G341" s="211" t="str">
        <f t="shared" si="51"/>
        <v/>
      </c>
      <c r="H341" s="207"/>
      <c r="I341" s="211" t="str">
        <f t="shared" si="52"/>
        <v/>
      </c>
      <c r="J341" s="207"/>
      <c r="K341" s="211" t="str">
        <f t="shared" si="53"/>
        <v/>
      </c>
      <c r="L341" s="207"/>
      <c r="M341" s="211" t="str">
        <f t="shared" si="54"/>
        <v/>
      </c>
      <c r="N341" s="207"/>
      <c r="O341" s="211" t="str">
        <f t="shared" si="55"/>
        <v/>
      </c>
      <c r="P341" s="207"/>
      <c r="Q341" s="211" t="str">
        <f t="shared" si="56"/>
        <v/>
      </c>
      <c r="R341" s="207"/>
      <c r="S341" s="211" t="str">
        <f t="shared" si="57"/>
        <v/>
      </c>
      <c r="T341" s="272" t="str">
        <f t="shared" si="58"/>
        <v/>
      </c>
      <c r="U341" s="212" t="str">
        <f t="shared" si="59"/>
        <v/>
      </c>
    </row>
    <row r="342" spans="2:21" x14ac:dyDescent="0.25">
      <c r="B342" s="241" t="str">
        <f>IF(Contagem!B340=0,"",Contagem!B340)</f>
        <v/>
      </c>
      <c r="C342" s="242" t="str">
        <f>IF(Contagem!T340 &gt; 0,Contagem!T340,"")</f>
        <v/>
      </c>
      <c r="D342" s="207"/>
      <c r="E342" s="211" t="str">
        <f t="shared" si="50"/>
        <v/>
      </c>
      <c r="F342" s="207"/>
      <c r="G342" s="211" t="str">
        <f t="shared" si="51"/>
        <v/>
      </c>
      <c r="H342" s="207"/>
      <c r="I342" s="211" t="str">
        <f t="shared" si="52"/>
        <v/>
      </c>
      <c r="J342" s="207"/>
      <c r="K342" s="211" t="str">
        <f t="shared" si="53"/>
        <v/>
      </c>
      <c r="L342" s="207"/>
      <c r="M342" s="211" t="str">
        <f t="shared" si="54"/>
        <v/>
      </c>
      <c r="N342" s="207"/>
      <c r="O342" s="211" t="str">
        <f t="shared" si="55"/>
        <v/>
      </c>
      <c r="P342" s="207"/>
      <c r="Q342" s="211" t="str">
        <f t="shared" si="56"/>
        <v/>
      </c>
      <c r="R342" s="207"/>
      <c r="S342" s="211" t="str">
        <f t="shared" si="57"/>
        <v/>
      </c>
      <c r="T342" s="272" t="str">
        <f t="shared" si="58"/>
        <v/>
      </c>
      <c r="U342" s="212" t="str">
        <f t="shared" si="59"/>
        <v/>
      </c>
    </row>
    <row r="343" spans="2:21" x14ac:dyDescent="0.25">
      <c r="B343" s="241" t="str">
        <f>IF(Contagem!B341=0,"",Contagem!B341)</f>
        <v/>
      </c>
      <c r="C343" s="242" t="str">
        <f>IF(Contagem!T341 &gt; 0,Contagem!T341,"")</f>
        <v/>
      </c>
      <c r="D343" s="207"/>
      <c r="E343" s="211" t="str">
        <f t="shared" si="50"/>
        <v/>
      </c>
      <c r="F343" s="207"/>
      <c r="G343" s="211" t="str">
        <f t="shared" si="51"/>
        <v/>
      </c>
      <c r="H343" s="207"/>
      <c r="I343" s="211" t="str">
        <f t="shared" si="52"/>
        <v/>
      </c>
      <c r="J343" s="207"/>
      <c r="K343" s="211" t="str">
        <f t="shared" si="53"/>
        <v/>
      </c>
      <c r="L343" s="207"/>
      <c r="M343" s="211" t="str">
        <f t="shared" si="54"/>
        <v/>
      </c>
      <c r="N343" s="207"/>
      <c r="O343" s="211" t="str">
        <f t="shared" si="55"/>
        <v/>
      </c>
      <c r="P343" s="207"/>
      <c r="Q343" s="211" t="str">
        <f t="shared" si="56"/>
        <v/>
      </c>
      <c r="R343" s="207"/>
      <c r="S343" s="211" t="str">
        <f t="shared" si="57"/>
        <v/>
      </c>
      <c r="T343" s="272" t="str">
        <f t="shared" si="58"/>
        <v/>
      </c>
      <c r="U343" s="212" t="str">
        <f t="shared" si="59"/>
        <v/>
      </c>
    </row>
    <row r="344" spans="2:21" x14ac:dyDescent="0.25">
      <c r="B344" s="241" t="str">
        <f>IF(Contagem!B342=0,"",Contagem!B342)</f>
        <v/>
      </c>
      <c r="C344" s="242" t="str">
        <f>IF(Contagem!T342 &gt; 0,Contagem!T342,"")</f>
        <v/>
      </c>
      <c r="D344" s="207"/>
      <c r="E344" s="211" t="str">
        <f t="shared" si="50"/>
        <v/>
      </c>
      <c r="F344" s="207"/>
      <c r="G344" s="211" t="str">
        <f t="shared" si="51"/>
        <v/>
      </c>
      <c r="H344" s="207"/>
      <c r="I344" s="211" t="str">
        <f t="shared" si="52"/>
        <v/>
      </c>
      <c r="J344" s="207"/>
      <c r="K344" s="211" t="str">
        <f t="shared" si="53"/>
        <v/>
      </c>
      <c r="L344" s="207"/>
      <c r="M344" s="211" t="str">
        <f t="shared" si="54"/>
        <v/>
      </c>
      <c r="N344" s="207"/>
      <c r="O344" s="211" t="str">
        <f t="shared" si="55"/>
        <v/>
      </c>
      <c r="P344" s="207"/>
      <c r="Q344" s="211" t="str">
        <f t="shared" si="56"/>
        <v/>
      </c>
      <c r="R344" s="207"/>
      <c r="S344" s="211" t="str">
        <f t="shared" si="57"/>
        <v/>
      </c>
      <c r="T344" s="272" t="str">
        <f t="shared" si="58"/>
        <v/>
      </c>
      <c r="U344" s="212" t="str">
        <f t="shared" si="59"/>
        <v/>
      </c>
    </row>
    <row r="345" spans="2:21" x14ac:dyDescent="0.25">
      <c r="B345" s="241" t="str">
        <f>IF(Contagem!B343=0,"",Contagem!B343)</f>
        <v/>
      </c>
      <c r="C345" s="242" t="str">
        <f>IF(Contagem!T343 &gt; 0,Contagem!T343,"")</f>
        <v/>
      </c>
      <c r="D345" s="207"/>
      <c r="E345" s="211" t="str">
        <f t="shared" si="50"/>
        <v/>
      </c>
      <c r="F345" s="207"/>
      <c r="G345" s="211" t="str">
        <f t="shared" si="51"/>
        <v/>
      </c>
      <c r="H345" s="207"/>
      <c r="I345" s="211" t="str">
        <f t="shared" si="52"/>
        <v/>
      </c>
      <c r="J345" s="207"/>
      <c r="K345" s="211" t="str">
        <f t="shared" si="53"/>
        <v/>
      </c>
      <c r="L345" s="207"/>
      <c r="M345" s="211" t="str">
        <f t="shared" si="54"/>
        <v/>
      </c>
      <c r="N345" s="207"/>
      <c r="O345" s="211" t="str">
        <f t="shared" si="55"/>
        <v/>
      </c>
      <c r="P345" s="207"/>
      <c r="Q345" s="211" t="str">
        <f t="shared" si="56"/>
        <v/>
      </c>
      <c r="R345" s="207"/>
      <c r="S345" s="211" t="str">
        <f t="shared" si="57"/>
        <v/>
      </c>
      <c r="T345" s="272" t="str">
        <f t="shared" si="58"/>
        <v/>
      </c>
      <c r="U345" s="212" t="str">
        <f t="shared" si="59"/>
        <v/>
      </c>
    </row>
    <row r="346" spans="2:21" x14ac:dyDescent="0.25">
      <c r="B346" s="241" t="str">
        <f>IF(Contagem!B344=0,"",Contagem!B344)</f>
        <v/>
      </c>
      <c r="C346" s="242" t="str">
        <f>IF(Contagem!T344 &gt; 0,Contagem!T344,"")</f>
        <v/>
      </c>
      <c r="D346" s="207"/>
      <c r="E346" s="211" t="str">
        <f t="shared" si="50"/>
        <v/>
      </c>
      <c r="F346" s="207"/>
      <c r="G346" s="211" t="str">
        <f t="shared" si="51"/>
        <v/>
      </c>
      <c r="H346" s="207"/>
      <c r="I346" s="211" t="str">
        <f t="shared" si="52"/>
        <v/>
      </c>
      <c r="J346" s="207"/>
      <c r="K346" s="211" t="str">
        <f t="shared" si="53"/>
        <v/>
      </c>
      <c r="L346" s="207"/>
      <c r="M346" s="211" t="str">
        <f t="shared" si="54"/>
        <v/>
      </c>
      <c r="N346" s="207"/>
      <c r="O346" s="211" t="str">
        <f t="shared" si="55"/>
        <v/>
      </c>
      <c r="P346" s="207"/>
      <c r="Q346" s="211" t="str">
        <f t="shared" si="56"/>
        <v/>
      </c>
      <c r="R346" s="207"/>
      <c r="S346" s="211" t="str">
        <f t="shared" si="57"/>
        <v/>
      </c>
      <c r="T346" s="272" t="str">
        <f t="shared" si="58"/>
        <v/>
      </c>
      <c r="U346" s="212" t="str">
        <f t="shared" si="59"/>
        <v/>
      </c>
    </row>
    <row r="347" spans="2:21" x14ac:dyDescent="0.25">
      <c r="B347" s="241" t="str">
        <f>IF(Contagem!B345=0,"",Contagem!B345)</f>
        <v/>
      </c>
      <c r="C347" s="242" t="str">
        <f>IF(Contagem!T345 &gt; 0,Contagem!T345,"")</f>
        <v/>
      </c>
      <c r="D347" s="207"/>
      <c r="E347" s="211" t="str">
        <f t="shared" si="50"/>
        <v/>
      </c>
      <c r="F347" s="207"/>
      <c r="G347" s="211" t="str">
        <f t="shared" si="51"/>
        <v/>
      </c>
      <c r="H347" s="207"/>
      <c r="I347" s="211" t="str">
        <f t="shared" si="52"/>
        <v/>
      </c>
      <c r="J347" s="207"/>
      <c r="K347" s="211" t="str">
        <f t="shared" si="53"/>
        <v/>
      </c>
      <c r="L347" s="207"/>
      <c r="M347" s="211" t="str">
        <f t="shared" si="54"/>
        <v/>
      </c>
      <c r="N347" s="207"/>
      <c r="O347" s="211" t="str">
        <f t="shared" si="55"/>
        <v/>
      </c>
      <c r="P347" s="207"/>
      <c r="Q347" s="211" t="str">
        <f t="shared" si="56"/>
        <v/>
      </c>
      <c r="R347" s="207"/>
      <c r="S347" s="211" t="str">
        <f t="shared" si="57"/>
        <v/>
      </c>
      <c r="T347" s="272" t="str">
        <f t="shared" si="58"/>
        <v/>
      </c>
      <c r="U347" s="212" t="str">
        <f t="shared" si="59"/>
        <v/>
      </c>
    </row>
    <row r="348" spans="2:21" x14ac:dyDescent="0.25">
      <c r="B348" s="241" t="str">
        <f>IF(Contagem!B346=0,"",Contagem!B346)</f>
        <v/>
      </c>
      <c r="C348" s="242" t="str">
        <f>IF(Contagem!T346 &gt; 0,Contagem!T346,"")</f>
        <v/>
      </c>
      <c r="D348" s="207"/>
      <c r="E348" s="211" t="str">
        <f t="shared" si="50"/>
        <v/>
      </c>
      <c r="F348" s="207"/>
      <c r="G348" s="211" t="str">
        <f t="shared" si="51"/>
        <v/>
      </c>
      <c r="H348" s="207"/>
      <c r="I348" s="211" t="str">
        <f t="shared" si="52"/>
        <v/>
      </c>
      <c r="J348" s="207"/>
      <c r="K348" s="211" t="str">
        <f t="shared" si="53"/>
        <v/>
      </c>
      <c r="L348" s="207"/>
      <c r="M348" s="211" t="str">
        <f t="shared" si="54"/>
        <v/>
      </c>
      <c r="N348" s="207"/>
      <c r="O348" s="211" t="str">
        <f t="shared" si="55"/>
        <v/>
      </c>
      <c r="P348" s="207"/>
      <c r="Q348" s="211" t="str">
        <f t="shared" si="56"/>
        <v/>
      </c>
      <c r="R348" s="207"/>
      <c r="S348" s="211" t="str">
        <f t="shared" si="57"/>
        <v/>
      </c>
      <c r="T348" s="272" t="str">
        <f t="shared" si="58"/>
        <v/>
      </c>
      <c r="U348" s="212" t="str">
        <f t="shared" si="59"/>
        <v/>
      </c>
    </row>
    <row r="349" spans="2:21" x14ac:dyDescent="0.25">
      <c r="B349" s="241" t="str">
        <f>IF(Contagem!B347=0,"",Contagem!B347)</f>
        <v/>
      </c>
      <c r="C349" s="242" t="str">
        <f>IF(Contagem!T347 &gt; 0,Contagem!T347,"")</f>
        <v/>
      </c>
      <c r="D349" s="207"/>
      <c r="E349" s="211" t="str">
        <f t="shared" si="50"/>
        <v/>
      </c>
      <c r="F349" s="207"/>
      <c r="G349" s="211" t="str">
        <f t="shared" si="51"/>
        <v/>
      </c>
      <c r="H349" s="207"/>
      <c r="I349" s="211" t="str">
        <f t="shared" si="52"/>
        <v/>
      </c>
      <c r="J349" s="207"/>
      <c r="K349" s="211" t="str">
        <f t="shared" si="53"/>
        <v/>
      </c>
      <c r="L349" s="207"/>
      <c r="M349" s="211" t="str">
        <f t="shared" si="54"/>
        <v/>
      </c>
      <c r="N349" s="207"/>
      <c r="O349" s="211" t="str">
        <f t="shared" si="55"/>
        <v/>
      </c>
      <c r="P349" s="207"/>
      <c r="Q349" s="211" t="str">
        <f t="shared" si="56"/>
        <v/>
      </c>
      <c r="R349" s="207"/>
      <c r="S349" s="211" t="str">
        <f t="shared" si="57"/>
        <v/>
      </c>
      <c r="T349" s="272" t="str">
        <f t="shared" si="58"/>
        <v/>
      </c>
      <c r="U349" s="212" t="str">
        <f t="shared" si="59"/>
        <v/>
      </c>
    </row>
    <row r="350" spans="2:21" x14ac:dyDescent="0.25">
      <c r="B350" s="241" t="str">
        <f>IF(Contagem!B348=0,"",Contagem!B348)</f>
        <v/>
      </c>
      <c r="C350" s="242" t="str">
        <f>IF(Contagem!T348 &gt; 0,Contagem!T348,"")</f>
        <v/>
      </c>
      <c r="D350" s="207"/>
      <c r="E350" s="211" t="str">
        <f t="shared" si="50"/>
        <v/>
      </c>
      <c r="F350" s="207"/>
      <c r="G350" s="211" t="str">
        <f t="shared" si="51"/>
        <v/>
      </c>
      <c r="H350" s="207"/>
      <c r="I350" s="211" t="str">
        <f t="shared" si="52"/>
        <v/>
      </c>
      <c r="J350" s="207"/>
      <c r="K350" s="211" t="str">
        <f t="shared" si="53"/>
        <v/>
      </c>
      <c r="L350" s="207"/>
      <c r="M350" s="211" t="str">
        <f t="shared" si="54"/>
        <v/>
      </c>
      <c r="N350" s="207"/>
      <c r="O350" s="211" t="str">
        <f t="shared" si="55"/>
        <v/>
      </c>
      <c r="P350" s="207"/>
      <c r="Q350" s="211" t="str">
        <f t="shared" si="56"/>
        <v/>
      </c>
      <c r="R350" s="207"/>
      <c r="S350" s="211" t="str">
        <f t="shared" si="57"/>
        <v/>
      </c>
      <c r="T350" s="272" t="str">
        <f t="shared" si="58"/>
        <v/>
      </c>
      <c r="U350" s="212" t="str">
        <f t="shared" si="59"/>
        <v/>
      </c>
    </row>
    <row r="351" spans="2:21" x14ac:dyDescent="0.25">
      <c r="B351" s="241" t="str">
        <f>IF(Contagem!B349=0,"",Contagem!B349)</f>
        <v/>
      </c>
      <c r="C351" s="242" t="str">
        <f>IF(Contagem!T349 &gt; 0,Contagem!T349,"")</f>
        <v/>
      </c>
      <c r="D351" s="207"/>
      <c r="E351" s="211" t="str">
        <f t="shared" si="50"/>
        <v/>
      </c>
      <c r="F351" s="207"/>
      <c r="G351" s="211" t="str">
        <f t="shared" si="51"/>
        <v/>
      </c>
      <c r="H351" s="207"/>
      <c r="I351" s="211" t="str">
        <f t="shared" si="52"/>
        <v/>
      </c>
      <c r="J351" s="207"/>
      <c r="K351" s="211" t="str">
        <f t="shared" si="53"/>
        <v/>
      </c>
      <c r="L351" s="207"/>
      <c r="M351" s="211" t="str">
        <f t="shared" si="54"/>
        <v/>
      </c>
      <c r="N351" s="207"/>
      <c r="O351" s="211" t="str">
        <f t="shared" si="55"/>
        <v/>
      </c>
      <c r="P351" s="207"/>
      <c r="Q351" s="211" t="str">
        <f t="shared" si="56"/>
        <v/>
      </c>
      <c r="R351" s="207"/>
      <c r="S351" s="211" t="str">
        <f t="shared" si="57"/>
        <v/>
      </c>
      <c r="T351" s="272" t="str">
        <f t="shared" si="58"/>
        <v/>
      </c>
      <c r="U351" s="212" t="str">
        <f t="shared" si="59"/>
        <v/>
      </c>
    </row>
    <row r="352" spans="2:21" x14ac:dyDescent="0.25">
      <c r="B352" s="241" t="str">
        <f>IF(Contagem!B350=0,"",Contagem!B350)</f>
        <v/>
      </c>
      <c r="C352" s="242" t="str">
        <f>IF(Contagem!T350 &gt; 0,Contagem!T350,"")</f>
        <v/>
      </c>
      <c r="D352" s="207"/>
      <c r="E352" s="211" t="str">
        <f t="shared" si="50"/>
        <v/>
      </c>
      <c r="F352" s="207"/>
      <c r="G352" s="211" t="str">
        <f t="shared" si="51"/>
        <v/>
      </c>
      <c r="H352" s="207"/>
      <c r="I352" s="211" t="str">
        <f t="shared" si="52"/>
        <v/>
      </c>
      <c r="J352" s="207"/>
      <c r="K352" s="211" t="str">
        <f t="shared" si="53"/>
        <v/>
      </c>
      <c r="L352" s="207"/>
      <c r="M352" s="211" t="str">
        <f t="shared" si="54"/>
        <v/>
      </c>
      <c r="N352" s="207"/>
      <c r="O352" s="211" t="str">
        <f t="shared" si="55"/>
        <v/>
      </c>
      <c r="P352" s="207"/>
      <c r="Q352" s="211" t="str">
        <f t="shared" si="56"/>
        <v/>
      </c>
      <c r="R352" s="207"/>
      <c r="S352" s="211" t="str">
        <f t="shared" si="57"/>
        <v/>
      </c>
      <c r="T352" s="272" t="str">
        <f t="shared" si="58"/>
        <v/>
      </c>
      <c r="U352" s="212" t="str">
        <f t="shared" si="59"/>
        <v/>
      </c>
    </row>
    <row r="353" spans="2:21" x14ac:dyDescent="0.25">
      <c r="B353" s="241" t="str">
        <f>IF(Contagem!B351=0,"",Contagem!B351)</f>
        <v/>
      </c>
      <c r="C353" s="242" t="str">
        <f>IF(Contagem!T351 &gt; 0,Contagem!T351,"")</f>
        <v/>
      </c>
      <c r="D353" s="207"/>
      <c r="E353" s="211" t="str">
        <f t="shared" si="50"/>
        <v/>
      </c>
      <c r="F353" s="207"/>
      <c r="G353" s="211" t="str">
        <f t="shared" si="51"/>
        <v/>
      </c>
      <c r="H353" s="207"/>
      <c r="I353" s="211" t="str">
        <f t="shared" si="52"/>
        <v/>
      </c>
      <c r="J353" s="207"/>
      <c r="K353" s="211" t="str">
        <f t="shared" si="53"/>
        <v/>
      </c>
      <c r="L353" s="207"/>
      <c r="M353" s="211" t="str">
        <f t="shared" si="54"/>
        <v/>
      </c>
      <c r="N353" s="207"/>
      <c r="O353" s="211" t="str">
        <f t="shared" si="55"/>
        <v/>
      </c>
      <c r="P353" s="207"/>
      <c r="Q353" s="211" t="str">
        <f t="shared" si="56"/>
        <v/>
      </c>
      <c r="R353" s="207"/>
      <c r="S353" s="211" t="str">
        <f t="shared" si="57"/>
        <v/>
      </c>
      <c r="T353" s="272" t="str">
        <f t="shared" si="58"/>
        <v/>
      </c>
      <c r="U353" s="212" t="str">
        <f t="shared" si="59"/>
        <v/>
      </c>
    </row>
    <row r="354" spans="2:21" x14ac:dyDescent="0.25">
      <c r="B354" s="241" t="str">
        <f>IF(Contagem!B352=0,"",Contagem!B352)</f>
        <v/>
      </c>
      <c r="C354" s="242" t="str">
        <f>IF(Contagem!T352 &gt; 0,Contagem!T352,"")</f>
        <v/>
      </c>
      <c r="D354" s="207"/>
      <c r="E354" s="211" t="str">
        <f t="shared" si="50"/>
        <v/>
      </c>
      <c r="F354" s="207"/>
      <c r="G354" s="211" t="str">
        <f t="shared" si="51"/>
        <v/>
      </c>
      <c r="H354" s="207"/>
      <c r="I354" s="211" t="str">
        <f t="shared" si="52"/>
        <v/>
      </c>
      <c r="J354" s="207"/>
      <c r="K354" s="211" t="str">
        <f t="shared" si="53"/>
        <v/>
      </c>
      <c r="L354" s="207"/>
      <c r="M354" s="211" t="str">
        <f t="shared" si="54"/>
        <v/>
      </c>
      <c r="N354" s="207"/>
      <c r="O354" s="211" t="str">
        <f t="shared" si="55"/>
        <v/>
      </c>
      <c r="P354" s="207"/>
      <c r="Q354" s="211" t="str">
        <f t="shared" si="56"/>
        <v/>
      </c>
      <c r="R354" s="207"/>
      <c r="S354" s="211" t="str">
        <f t="shared" si="57"/>
        <v/>
      </c>
      <c r="T354" s="272" t="str">
        <f t="shared" si="58"/>
        <v/>
      </c>
      <c r="U354" s="212" t="str">
        <f t="shared" si="59"/>
        <v/>
      </c>
    </row>
    <row r="355" spans="2:21" x14ac:dyDescent="0.25">
      <c r="B355" s="241" t="str">
        <f>IF(Contagem!B353=0,"",Contagem!B353)</f>
        <v/>
      </c>
      <c r="C355" s="242" t="str">
        <f>IF(Contagem!T353 &gt; 0,Contagem!T353,"")</f>
        <v/>
      </c>
      <c r="D355" s="207"/>
      <c r="E355" s="211" t="str">
        <f t="shared" si="50"/>
        <v/>
      </c>
      <c r="F355" s="207"/>
      <c r="G355" s="211" t="str">
        <f t="shared" si="51"/>
        <v/>
      </c>
      <c r="H355" s="207"/>
      <c r="I355" s="211" t="str">
        <f t="shared" si="52"/>
        <v/>
      </c>
      <c r="J355" s="207"/>
      <c r="K355" s="211" t="str">
        <f t="shared" si="53"/>
        <v/>
      </c>
      <c r="L355" s="207"/>
      <c r="M355" s="211" t="str">
        <f t="shared" si="54"/>
        <v/>
      </c>
      <c r="N355" s="207"/>
      <c r="O355" s="211" t="str">
        <f t="shared" si="55"/>
        <v/>
      </c>
      <c r="P355" s="207"/>
      <c r="Q355" s="211" t="str">
        <f t="shared" si="56"/>
        <v/>
      </c>
      <c r="R355" s="207"/>
      <c r="S355" s="211" t="str">
        <f t="shared" si="57"/>
        <v/>
      </c>
      <c r="T355" s="272" t="str">
        <f t="shared" si="58"/>
        <v/>
      </c>
      <c r="U355" s="212" t="str">
        <f t="shared" si="59"/>
        <v/>
      </c>
    </row>
    <row r="356" spans="2:21" x14ac:dyDescent="0.25">
      <c r="B356" s="241" t="str">
        <f>IF(Contagem!B354=0,"",Contagem!B354)</f>
        <v/>
      </c>
      <c r="C356" s="242" t="str">
        <f>IF(Contagem!T354 &gt; 0,Contagem!T354,"")</f>
        <v/>
      </c>
      <c r="D356" s="207"/>
      <c r="E356" s="211" t="str">
        <f t="shared" si="50"/>
        <v/>
      </c>
      <c r="F356" s="207"/>
      <c r="G356" s="211" t="str">
        <f t="shared" si="51"/>
        <v/>
      </c>
      <c r="H356" s="207"/>
      <c r="I356" s="211" t="str">
        <f t="shared" si="52"/>
        <v/>
      </c>
      <c r="J356" s="207"/>
      <c r="K356" s="211" t="str">
        <f t="shared" si="53"/>
        <v/>
      </c>
      <c r="L356" s="207"/>
      <c r="M356" s="211" t="str">
        <f t="shared" si="54"/>
        <v/>
      </c>
      <c r="N356" s="207"/>
      <c r="O356" s="211" t="str">
        <f t="shared" si="55"/>
        <v/>
      </c>
      <c r="P356" s="207"/>
      <c r="Q356" s="211" t="str">
        <f t="shared" si="56"/>
        <v/>
      </c>
      <c r="R356" s="207"/>
      <c r="S356" s="211" t="str">
        <f t="shared" si="57"/>
        <v/>
      </c>
      <c r="T356" s="272" t="str">
        <f t="shared" si="58"/>
        <v/>
      </c>
      <c r="U356" s="212" t="str">
        <f t="shared" si="59"/>
        <v/>
      </c>
    </row>
    <row r="357" spans="2:21" x14ac:dyDescent="0.25">
      <c r="B357" s="241" t="str">
        <f>IF(Contagem!B355=0,"",Contagem!B355)</f>
        <v/>
      </c>
      <c r="C357" s="242" t="str">
        <f>IF(Contagem!T355 &gt; 0,Contagem!T355,"")</f>
        <v/>
      </c>
      <c r="D357" s="207"/>
      <c r="E357" s="211" t="str">
        <f t="shared" si="50"/>
        <v/>
      </c>
      <c r="F357" s="207"/>
      <c r="G357" s="211" t="str">
        <f t="shared" si="51"/>
        <v/>
      </c>
      <c r="H357" s="207"/>
      <c r="I357" s="211" t="str">
        <f t="shared" si="52"/>
        <v/>
      </c>
      <c r="J357" s="207"/>
      <c r="K357" s="211" t="str">
        <f t="shared" si="53"/>
        <v/>
      </c>
      <c r="L357" s="207"/>
      <c r="M357" s="211" t="str">
        <f t="shared" si="54"/>
        <v/>
      </c>
      <c r="N357" s="207"/>
      <c r="O357" s="211" t="str">
        <f t="shared" si="55"/>
        <v/>
      </c>
      <c r="P357" s="207"/>
      <c r="Q357" s="211" t="str">
        <f t="shared" si="56"/>
        <v/>
      </c>
      <c r="R357" s="207"/>
      <c r="S357" s="211" t="str">
        <f t="shared" si="57"/>
        <v/>
      </c>
      <c r="T357" s="272" t="str">
        <f t="shared" si="58"/>
        <v/>
      </c>
      <c r="U357" s="212" t="str">
        <f t="shared" si="59"/>
        <v/>
      </c>
    </row>
    <row r="358" spans="2:21" x14ac:dyDescent="0.25">
      <c r="B358" s="241" t="str">
        <f>IF(Contagem!B356=0,"",Contagem!B356)</f>
        <v/>
      </c>
      <c r="C358" s="242" t="str">
        <f>IF(Contagem!T356 &gt; 0,Contagem!T356,"")</f>
        <v/>
      </c>
      <c r="D358" s="207"/>
      <c r="E358" s="211" t="str">
        <f t="shared" si="50"/>
        <v/>
      </c>
      <c r="F358" s="207"/>
      <c r="G358" s="211" t="str">
        <f t="shared" si="51"/>
        <v/>
      </c>
      <c r="H358" s="207"/>
      <c r="I358" s="211" t="str">
        <f t="shared" si="52"/>
        <v/>
      </c>
      <c r="J358" s="207"/>
      <c r="K358" s="211" t="str">
        <f t="shared" si="53"/>
        <v/>
      </c>
      <c r="L358" s="207"/>
      <c r="M358" s="211" t="str">
        <f t="shared" si="54"/>
        <v/>
      </c>
      <c r="N358" s="207"/>
      <c r="O358" s="211" t="str">
        <f t="shared" si="55"/>
        <v/>
      </c>
      <c r="P358" s="207"/>
      <c r="Q358" s="211" t="str">
        <f t="shared" si="56"/>
        <v/>
      </c>
      <c r="R358" s="207"/>
      <c r="S358" s="211" t="str">
        <f t="shared" si="57"/>
        <v/>
      </c>
      <c r="T358" s="272" t="str">
        <f t="shared" si="58"/>
        <v/>
      </c>
      <c r="U358" s="212" t="str">
        <f t="shared" si="59"/>
        <v/>
      </c>
    </row>
    <row r="359" spans="2:21" x14ac:dyDescent="0.25">
      <c r="B359" s="241" t="str">
        <f>IF(Contagem!B357=0,"",Contagem!B357)</f>
        <v/>
      </c>
      <c r="C359" s="242" t="str">
        <f>IF(Contagem!T357 &gt; 0,Contagem!T357,"")</f>
        <v/>
      </c>
      <c r="D359" s="207"/>
      <c r="E359" s="211" t="str">
        <f t="shared" si="50"/>
        <v/>
      </c>
      <c r="F359" s="207"/>
      <c r="G359" s="211" t="str">
        <f t="shared" si="51"/>
        <v/>
      </c>
      <c r="H359" s="207"/>
      <c r="I359" s="211" t="str">
        <f t="shared" si="52"/>
        <v/>
      </c>
      <c r="J359" s="207"/>
      <c r="K359" s="211" t="str">
        <f t="shared" si="53"/>
        <v/>
      </c>
      <c r="L359" s="207"/>
      <c r="M359" s="211" t="str">
        <f t="shared" si="54"/>
        <v/>
      </c>
      <c r="N359" s="207"/>
      <c r="O359" s="211" t="str">
        <f t="shared" si="55"/>
        <v/>
      </c>
      <c r="P359" s="207"/>
      <c r="Q359" s="211" t="str">
        <f t="shared" si="56"/>
        <v/>
      </c>
      <c r="R359" s="207"/>
      <c r="S359" s="211" t="str">
        <f t="shared" si="57"/>
        <v/>
      </c>
      <c r="T359" s="272" t="str">
        <f t="shared" si="58"/>
        <v/>
      </c>
      <c r="U359" s="212" t="str">
        <f t="shared" si="59"/>
        <v/>
      </c>
    </row>
    <row r="360" spans="2:21" x14ac:dyDescent="0.25">
      <c r="B360" s="241" t="str">
        <f>IF(Contagem!B358=0,"",Contagem!B358)</f>
        <v/>
      </c>
      <c r="C360" s="242" t="str">
        <f>IF(Contagem!T358 &gt; 0,Contagem!T358,"")</f>
        <v/>
      </c>
      <c r="D360" s="207"/>
      <c r="E360" s="211" t="str">
        <f t="shared" si="50"/>
        <v/>
      </c>
      <c r="F360" s="207"/>
      <c r="G360" s="211" t="str">
        <f t="shared" si="51"/>
        <v/>
      </c>
      <c r="H360" s="207"/>
      <c r="I360" s="211" t="str">
        <f t="shared" si="52"/>
        <v/>
      </c>
      <c r="J360" s="207"/>
      <c r="K360" s="211" t="str">
        <f t="shared" si="53"/>
        <v/>
      </c>
      <c r="L360" s="207"/>
      <c r="M360" s="211" t="str">
        <f t="shared" si="54"/>
        <v/>
      </c>
      <c r="N360" s="207"/>
      <c r="O360" s="211" t="str">
        <f t="shared" si="55"/>
        <v/>
      </c>
      <c r="P360" s="207"/>
      <c r="Q360" s="211" t="str">
        <f t="shared" si="56"/>
        <v/>
      </c>
      <c r="R360" s="207"/>
      <c r="S360" s="211" t="str">
        <f t="shared" si="57"/>
        <v/>
      </c>
      <c r="T360" s="272" t="str">
        <f t="shared" si="58"/>
        <v/>
      </c>
      <c r="U360" s="212" t="str">
        <f t="shared" si="59"/>
        <v/>
      </c>
    </row>
    <row r="361" spans="2:21" x14ac:dyDescent="0.25">
      <c r="B361" s="241" t="str">
        <f>IF(Contagem!B359=0,"",Contagem!B359)</f>
        <v/>
      </c>
      <c r="C361" s="242" t="str">
        <f>IF(Contagem!T359 &gt; 0,Contagem!T359,"")</f>
        <v/>
      </c>
      <c r="D361" s="207"/>
      <c r="E361" s="211" t="str">
        <f t="shared" si="50"/>
        <v/>
      </c>
      <c r="F361" s="207"/>
      <c r="G361" s="211" t="str">
        <f t="shared" si="51"/>
        <v/>
      </c>
      <c r="H361" s="207"/>
      <c r="I361" s="211" t="str">
        <f t="shared" si="52"/>
        <v/>
      </c>
      <c r="J361" s="207"/>
      <c r="K361" s="211" t="str">
        <f t="shared" si="53"/>
        <v/>
      </c>
      <c r="L361" s="207"/>
      <c r="M361" s="211" t="str">
        <f t="shared" si="54"/>
        <v/>
      </c>
      <c r="N361" s="207"/>
      <c r="O361" s="211" t="str">
        <f t="shared" si="55"/>
        <v/>
      </c>
      <c r="P361" s="207"/>
      <c r="Q361" s="211" t="str">
        <f t="shared" si="56"/>
        <v/>
      </c>
      <c r="R361" s="207"/>
      <c r="S361" s="211" t="str">
        <f t="shared" si="57"/>
        <v/>
      </c>
      <c r="T361" s="272" t="str">
        <f t="shared" si="58"/>
        <v/>
      </c>
      <c r="U361" s="212" t="str">
        <f t="shared" si="59"/>
        <v/>
      </c>
    </row>
    <row r="362" spans="2:21" x14ac:dyDescent="0.25">
      <c r="B362" s="241" t="str">
        <f>IF(Contagem!B360=0,"",Contagem!B360)</f>
        <v/>
      </c>
      <c r="C362" s="242" t="str">
        <f>IF(Contagem!T360 &gt; 0,Contagem!T360,"")</f>
        <v/>
      </c>
      <c r="D362" s="207"/>
      <c r="E362" s="211" t="str">
        <f t="shared" si="50"/>
        <v/>
      </c>
      <c r="F362" s="207"/>
      <c r="G362" s="211" t="str">
        <f t="shared" si="51"/>
        <v/>
      </c>
      <c r="H362" s="207"/>
      <c r="I362" s="211" t="str">
        <f t="shared" si="52"/>
        <v/>
      </c>
      <c r="J362" s="207"/>
      <c r="K362" s="211" t="str">
        <f t="shared" si="53"/>
        <v/>
      </c>
      <c r="L362" s="207"/>
      <c r="M362" s="211" t="str">
        <f t="shared" si="54"/>
        <v/>
      </c>
      <c r="N362" s="207"/>
      <c r="O362" s="211" t="str">
        <f t="shared" si="55"/>
        <v/>
      </c>
      <c r="P362" s="207"/>
      <c r="Q362" s="211" t="str">
        <f t="shared" si="56"/>
        <v/>
      </c>
      <c r="R362" s="207"/>
      <c r="S362" s="211" t="str">
        <f t="shared" si="57"/>
        <v/>
      </c>
      <c r="T362" s="272" t="str">
        <f t="shared" si="58"/>
        <v/>
      </c>
      <c r="U362" s="212" t="str">
        <f t="shared" si="59"/>
        <v/>
      </c>
    </row>
    <row r="363" spans="2:21" x14ac:dyDescent="0.25">
      <c r="B363" s="241" t="str">
        <f>IF(Contagem!B361=0,"",Contagem!B361)</f>
        <v/>
      </c>
      <c r="C363" s="242" t="str">
        <f>IF(Contagem!T361 &gt; 0,Contagem!T361,"")</f>
        <v/>
      </c>
      <c r="D363" s="207"/>
      <c r="E363" s="211" t="str">
        <f t="shared" si="50"/>
        <v/>
      </c>
      <c r="F363" s="207"/>
      <c r="G363" s="211" t="str">
        <f t="shared" si="51"/>
        <v/>
      </c>
      <c r="H363" s="207"/>
      <c r="I363" s="211" t="str">
        <f t="shared" si="52"/>
        <v/>
      </c>
      <c r="J363" s="207"/>
      <c r="K363" s="211" t="str">
        <f t="shared" si="53"/>
        <v/>
      </c>
      <c r="L363" s="207"/>
      <c r="M363" s="211" t="str">
        <f t="shared" si="54"/>
        <v/>
      </c>
      <c r="N363" s="207"/>
      <c r="O363" s="211" t="str">
        <f t="shared" si="55"/>
        <v/>
      </c>
      <c r="P363" s="207"/>
      <c r="Q363" s="211" t="str">
        <f t="shared" si="56"/>
        <v/>
      </c>
      <c r="R363" s="207"/>
      <c r="S363" s="211" t="str">
        <f t="shared" si="57"/>
        <v/>
      </c>
      <c r="T363" s="272" t="str">
        <f t="shared" si="58"/>
        <v/>
      </c>
      <c r="U363" s="212" t="str">
        <f t="shared" si="59"/>
        <v/>
      </c>
    </row>
    <row r="364" spans="2:21" x14ac:dyDescent="0.25">
      <c r="B364" s="241" t="str">
        <f>IF(Contagem!B362=0,"",Contagem!B362)</f>
        <v/>
      </c>
      <c r="C364" s="242" t="str">
        <f>IF(Contagem!T362 &gt; 0,Contagem!T362,"")</f>
        <v/>
      </c>
      <c r="D364" s="207"/>
      <c r="E364" s="211" t="str">
        <f t="shared" si="50"/>
        <v/>
      </c>
      <c r="F364" s="207"/>
      <c r="G364" s="211" t="str">
        <f t="shared" si="51"/>
        <v/>
      </c>
      <c r="H364" s="207"/>
      <c r="I364" s="211" t="str">
        <f t="shared" si="52"/>
        <v/>
      </c>
      <c r="J364" s="207"/>
      <c r="K364" s="211" t="str">
        <f t="shared" si="53"/>
        <v/>
      </c>
      <c r="L364" s="207"/>
      <c r="M364" s="211" t="str">
        <f t="shared" si="54"/>
        <v/>
      </c>
      <c r="N364" s="207"/>
      <c r="O364" s="211" t="str">
        <f t="shared" si="55"/>
        <v/>
      </c>
      <c r="P364" s="207"/>
      <c r="Q364" s="211" t="str">
        <f t="shared" si="56"/>
        <v/>
      </c>
      <c r="R364" s="207"/>
      <c r="S364" s="211" t="str">
        <f t="shared" si="57"/>
        <v/>
      </c>
      <c r="T364" s="272" t="str">
        <f t="shared" si="58"/>
        <v/>
      </c>
      <c r="U364" s="212" t="str">
        <f t="shared" si="59"/>
        <v/>
      </c>
    </row>
    <row r="365" spans="2:21" x14ac:dyDescent="0.25">
      <c r="B365" s="241" t="str">
        <f>IF(Contagem!B363=0,"",Contagem!B363)</f>
        <v/>
      </c>
      <c r="C365" s="242" t="str">
        <f>IF(Contagem!T363 &gt; 0,Contagem!T363,"")</f>
        <v/>
      </c>
      <c r="D365" s="207"/>
      <c r="E365" s="211" t="str">
        <f t="shared" si="50"/>
        <v/>
      </c>
      <c r="F365" s="207"/>
      <c r="G365" s="211" t="str">
        <f t="shared" si="51"/>
        <v/>
      </c>
      <c r="H365" s="207"/>
      <c r="I365" s="211" t="str">
        <f t="shared" si="52"/>
        <v/>
      </c>
      <c r="J365" s="207"/>
      <c r="K365" s="211" t="str">
        <f t="shared" si="53"/>
        <v/>
      </c>
      <c r="L365" s="207"/>
      <c r="M365" s="211" t="str">
        <f t="shared" si="54"/>
        <v/>
      </c>
      <c r="N365" s="207"/>
      <c r="O365" s="211" t="str">
        <f t="shared" si="55"/>
        <v/>
      </c>
      <c r="P365" s="207"/>
      <c r="Q365" s="211" t="str">
        <f t="shared" si="56"/>
        <v/>
      </c>
      <c r="R365" s="207"/>
      <c r="S365" s="211" t="str">
        <f t="shared" si="57"/>
        <v/>
      </c>
      <c r="T365" s="272" t="str">
        <f t="shared" si="58"/>
        <v/>
      </c>
      <c r="U365" s="212" t="str">
        <f t="shared" si="59"/>
        <v/>
      </c>
    </row>
    <row r="366" spans="2:21" x14ac:dyDescent="0.25">
      <c r="B366" s="241" t="str">
        <f>IF(Contagem!B364=0,"",Contagem!B364)</f>
        <v/>
      </c>
      <c r="C366" s="242" t="str">
        <f>IF(Contagem!T364 &gt; 0,Contagem!T364,"")</f>
        <v/>
      </c>
      <c r="D366" s="207"/>
      <c r="E366" s="211" t="str">
        <f t="shared" si="50"/>
        <v/>
      </c>
      <c r="F366" s="207"/>
      <c r="G366" s="211" t="str">
        <f t="shared" si="51"/>
        <v/>
      </c>
      <c r="H366" s="207"/>
      <c r="I366" s="211" t="str">
        <f t="shared" si="52"/>
        <v/>
      </c>
      <c r="J366" s="207"/>
      <c r="K366" s="211" t="str">
        <f t="shared" si="53"/>
        <v/>
      </c>
      <c r="L366" s="207"/>
      <c r="M366" s="211" t="str">
        <f t="shared" si="54"/>
        <v/>
      </c>
      <c r="N366" s="207"/>
      <c r="O366" s="211" t="str">
        <f t="shared" si="55"/>
        <v/>
      </c>
      <c r="P366" s="207"/>
      <c r="Q366" s="211" t="str">
        <f t="shared" si="56"/>
        <v/>
      </c>
      <c r="R366" s="207"/>
      <c r="S366" s="211" t="str">
        <f t="shared" si="57"/>
        <v/>
      </c>
      <c r="T366" s="272" t="str">
        <f t="shared" si="58"/>
        <v/>
      </c>
      <c r="U366" s="212" t="str">
        <f t="shared" si="59"/>
        <v/>
      </c>
    </row>
    <row r="367" spans="2:21" x14ac:dyDescent="0.25">
      <c r="B367" s="241" t="str">
        <f>IF(Contagem!B365=0,"",Contagem!B365)</f>
        <v/>
      </c>
      <c r="C367" s="242" t="str">
        <f>IF(Contagem!T365 &gt; 0,Contagem!T365,"")</f>
        <v/>
      </c>
      <c r="D367" s="207"/>
      <c r="E367" s="211" t="str">
        <f t="shared" si="50"/>
        <v/>
      </c>
      <c r="F367" s="207"/>
      <c r="G367" s="211" t="str">
        <f t="shared" si="51"/>
        <v/>
      </c>
      <c r="H367" s="207"/>
      <c r="I367" s="211" t="str">
        <f t="shared" si="52"/>
        <v/>
      </c>
      <c r="J367" s="207"/>
      <c r="K367" s="211" t="str">
        <f t="shared" si="53"/>
        <v/>
      </c>
      <c r="L367" s="207"/>
      <c r="M367" s="211" t="str">
        <f t="shared" si="54"/>
        <v/>
      </c>
      <c r="N367" s="207"/>
      <c r="O367" s="211" t="str">
        <f t="shared" si="55"/>
        <v/>
      </c>
      <c r="P367" s="207"/>
      <c r="Q367" s="211" t="str">
        <f t="shared" si="56"/>
        <v/>
      </c>
      <c r="R367" s="207"/>
      <c r="S367" s="211" t="str">
        <f t="shared" si="57"/>
        <v/>
      </c>
      <c r="T367" s="272" t="str">
        <f t="shared" si="58"/>
        <v/>
      </c>
      <c r="U367" s="212" t="str">
        <f t="shared" si="59"/>
        <v/>
      </c>
    </row>
    <row r="368" spans="2:21" x14ac:dyDescent="0.25">
      <c r="B368" s="241" t="str">
        <f>IF(Contagem!B366=0,"",Contagem!B366)</f>
        <v/>
      </c>
      <c r="C368" s="242" t="str">
        <f>IF(Contagem!T366 &gt; 0,Contagem!T366,"")</f>
        <v/>
      </c>
      <c r="D368" s="207"/>
      <c r="E368" s="211" t="str">
        <f t="shared" si="50"/>
        <v/>
      </c>
      <c r="F368" s="207"/>
      <c r="G368" s="211" t="str">
        <f t="shared" si="51"/>
        <v/>
      </c>
      <c r="H368" s="207"/>
      <c r="I368" s="211" t="str">
        <f t="shared" si="52"/>
        <v/>
      </c>
      <c r="J368" s="207"/>
      <c r="K368" s="211" t="str">
        <f t="shared" si="53"/>
        <v/>
      </c>
      <c r="L368" s="207"/>
      <c r="M368" s="211" t="str">
        <f t="shared" si="54"/>
        <v/>
      </c>
      <c r="N368" s="207"/>
      <c r="O368" s="211" t="str">
        <f t="shared" si="55"/>
        <v/>
      </c>
      <c r="P368" s="207"/>
      <c r="Q368" s="211" t="str">
        <f t="shared" si="56"/>
        <v/>
      </c>
      <c r="R368" s="207"/>
      <c r="S368" s="211" t="str">
        <f t="shared" si="57"/>
        <v/>
      </c>
      <c r="T368" s="272" t="str">
        <f t="shared" si="58"/>
        <v/>
      </c>
      <c r="U368" s="212" t="str">
        <f t="shared" si="59"/>
        <v/>
      </c>
    </row>
    <row r="369" spans="2:21" x14ac:dyDescent="0.25">
      <c r="B369" s="241" t="str">
        <f>IF(Contagem!B367=0,"",Contagem!B367)</f>
        <v/>
      </c>
      <c r="C369" s="242" t="str">
        <f>IF(Contagem!T367 &gt; 0,Contagem!T367,"")</f>
        <v/>
      </c>
      <c r="D369" s="207"/>
      <c r="E369" s="211" t="str">
        <f t="shared" si="50"/>
        <v/>
      </c>
      <c r="F369" s="207"/>
      <c r="G369" s="211" t="str">
        <f t="shared" si="51"/>
        <v/>
      </c>
      <c r="H369" s="207"/>
      <c r="I369" s="211" t="str">
        <f t="shared" si="52"/>
        <v/>
      </c>
      <c r="J369" s="207"/>
      <c r="K369" s="211" t="str">
        <f t="shared" si="53"/>
        <v/>
      </c>
      <c r="L369" s="207"/>
      <c r="M369" s="211" t="str">
        <f t="shared" si="54"/>
        <v/>
      </c>
      <c r="N369" s="207"/>
      <c r="O369" s="211" t="str">
        <f t="shared" si="55"/>
        <v/>
      </c>
      <c r="P369" s="207"/>
      <c r="Q369" s="211" t="str">
        <f t="shared" si="56"/>
        <v/>
      </c>
      <c r="R369" s="207"/>
      <c r="S369" s="211" t="str">
        <f t="shared" si="57"/>
        <v/>
      </c>
      <c r="T369" s="272" t="str">
        <f t="shared" si="58"/>
        <v/>
      </c>
      <c r="U369" s="212" t="str">
        <f t="shared" si="59"/>
        <v/>
      </c>
    </row>
    <row r="370" spans="2:21" x14ac:dyDescent="0.25">
      <c r="B370" s="241" t="str">
        <f>IF(Contagem!B368=0,"",Contagem!B368)</f>
        <v/>
      </c>
      <c r="C370" s="242" t="str">
        <f>IF(Contagem!T368 &gt; 0,Contagem!T368,"")</f>
        <v/>
      </c>
      <c r="D370" s="207"/>
      <c r="E370" s="211" t="str">
        <f t="shared" si="50"/>
        <v/>
      </c>
      <c r="F370" s="207"/>
      <c r="G370" s="211" t="str">
        <f t="shared" si="51"/>
        <v/>
      </c>
      <c r="H370" s="207"/>
      <c r="I370" s="211" t="str">
        <f t="shared" si="52"/>
        <v/>
      </c>
      <c r="J370" s="207"/>
      <c r="K370" s="211" t="str">
        <f t="shared" si="53"/>
        <v/>
      </c>
      <c r="L370" s="207"/>
      <c r="M370" s="211" t="str">
        <f t="shared" si="54"/>
        <v/>
      </c>
      <c r="N370" s="207"/>
      <c r="O370" s="211" t="str">
        <f t="shared" si="55"/>
        <v/>
      </c>
      <c r="P370" s="207"/>
      <c r="Q370" s="211" t="str">
        <f t="shared" si="56"/>
        <v/>
      </c>
      <c r="R370" s="207"/>
      <c r="S370" s="211" t="str">
        <f t="shared" si="57"/>
        <v/>
      </c>
      <c r="T370" s="272" t="str">
        <f t="shared" si="58"/>
        <v/>
      </c>
      <c r="U370" s="212" t="str">
        <f t="shared" si="59"/>
        <v/>
      </c>
    </row>
    <row r="371" spans="2:21" x14ac:dyDescent="0.25">
      <c r="B371" s="241" t="str">
        <f>IF(Contagem!B369=0,"",Contagem!B369)</f>
        <v/>
      </c>
      <c r="C371" s="242" t="str">
        <f>IF(Contagem!T369 &gt; 0,Contagem!T369,"")</f>
        <v/>
      </c>
      <c r="D371" s="207"/>
      <c r="E371" s="211" t="str">
        <f t="shared" si="50"/>
        <v/>
      </c>
      <c r="F371" s="207"/>
      <c r="G371" s="211" t="str">
        <f t="shared" si="51"/>
        <v/>
      </c>
      <c r="H371" s="207"/>
      <c r="I371" s="211" t="str">
        <f t="shared" si="52"/>
        <v/>
      </c>
      <c r="J371" s="207"/>
      <c r="K371" s="211" t="str">
        <f t="shared" si="53"/>
        <v/>
      </c>
      <c r="L371" s="207"/>
      <c r="M371" s="211" t="str">
        <f t="shared" si="54"/>
        <v/>
      </c>
      <c r="N371" s="207"/>
      <c r="O371" s="211" t="str">
        <f t="shared" si="55"/>
        <v/>
      </c>
      <c r="P371" s="207"/>
      <c r="Q371" s="211" t="str">
        <f t="shared" si="56"/>
        <v/>
      </c>
      <c r="R371" s="207"/>
      <c r="S371" s="211" t="str">
        <f t="shared" si="57"/>
        <v/>
      </c>
      <c r="T371" s="272" t="str">
        <f t="shared" si="58"/>
        <v/>
      </c>
      <c r="U371" s="212" t="str">
        <f t="shared" si="59"/>
        <v/>
      </c>
    </row>
    <row r="372" spans="2:21" x14ac:dyDescent="0.25">
      <c r="B372" s="241" t="str">
        <f>IF(Contagem!B370=0,"",Contagem!B370)</f>
        <v/>
      </c>
      <c r="C372" s="242" t="str">
        <f>IF(Contagem!T370 &gt; 0,Contagem!T370,"")</f>
        <v/>
      </c>
      <c r="D372" s="207"/>
      <c r="E372" s="211" t="str">
        <f t="shared" si="50"/>
        <v/>
      </c>
      <c r="F372" s="207"/>
      <c r="G372" s="211" t="str">
        <f t="shared" si="51"/>
        <v/>
      </c>
      <c r="H372" s="207"/>
      <c r="I372" s="211" t="str">
        <f t="shared" si="52"/>
        <v/>
      </c>
      <c r="J372" s="207"/>
      <c r="K372" s="211" t="str">
        <f t="shared" si="53"/>
        <v/>
      </c>
      <c r="L372" s="207"/>
      <c r="M372" s="211" t="str">
        <f t="shared" si="54"/>
        <v/>
      </c>
      <c r="N372" s="207"/>
      <c r="O372" s="211" t="str">
        <f t="shared" si="55"/>
        <v/>
      </c>
      <c r="P372" s="207"/>
      <c r="Q372" s="211" t="str">
        <f t="shared" si="56"/>
        <v/>
      </c>
      <c r="R372" s="207"/>
      <c r="S372" s="211" t="str">
        <f t="shared" si="57"/>
        <v/>
      </c>
      <c r="T372" s="272" t="str">
        <f t="shared" si="58"/>
        <v/>
      </c>
      <c r="U372" s="212" t="str">
        <f t="shared" si="59"/>
        <v/>
      </c>
    </row>
    <row r="373" spans="2:21" x14ac:dyDescent="0.25">
      <c r="B373" s="241" t="str">
        <f>IF(Contagem!B371=0,"",Contagem!B371)</f>
        <v/>
      </c>
      <c r="C373" s="242" t="str">
        <f>IF(Contagem!T371 &gt; 0,Contagem!T371,"")</f>
        <v/>
      </c>
      <c r="D373" s="207"/>
      <c r="E373" s="211" t="str">
        <f t="shared" si="50"/>
        <v/>
      </c>
      <c r="F373" s="207"/>
      <c r="G373" s="211" t="str">
        <f t="shared" si="51"/>
        <v/>
      </c>
      <c r="H373" s="207"/>
      <c r="I373" s="211" t="str">
        <f t="shared" si="52"/>
        <v/>
      </c>
      <c r="J373" s="207"/>
      <c r="K373" s="211" t="str">
        <f t="shared" si="53"/>
        <v/>
      </c>
      <c r="L373" s="207"/>
      <c r="M373" s="211" t="str">
        <f t="shared" si="54"/>
        <v/>
      </c>
      <c r="N373" s="207"/>
      <c r="O373" s="211" t="str">
        <f t="shared" si="55"/>
        <v/>
      </c>
      <c r="P373" s="207"/>
      <c r="Q373" s="211" t="str">
        <f t="shared" si="56"/>
        <v/>
      </c>
      <c r="R373" s="207"/>
      <c r="S373" s="211" t="str">
        <f t="shared" si="57"/>
        <v/>
      </c>
      <c r="T373" s="272" t="str">
        <f t="shared" si="58"/>
        <v/>
      </c>
      <c r="U373" s="212" t="str">
        <f t="shared" si="59"/>
        <v/>
      </c>
    </row>
    <row r="374" spans="2:21" x14ac:dyDescent="0.25">
      <c r="B374" s="241" t="str">
        <f>IF(Contagem!B372=0,"",Contagem!B372)</f>
        <v/>
      </c>
      <c r="C374" s="242" t="str">
        <f>IF(Contagem!T372 &gt; 0,Contagem!T372,"")</f>
        <v/>
      </c>
      <c r="D374" s="207"/>
      <c r="E374" s="211" t="str">
        <f t="shared" si="50"/>
        <v/>
      </c>
      <c r="F374" s="207"/>
      <c r="G374" s="211" t="str">
        <f t="shared" si="51"/>
        <v/>
      </c>
      <c r="H374" s="207"/>
      <c r="I374" s="211" t="str">
        <f t="shared" si="52"/>
        <v/>
      </c>
      <c r="J374" s="207"/>
      <c r="K374" s="211" t="str">
        <f t="shared" si="53"/>
        <v/>
      </c>
      <c r="L374" s="207"/>
      <c r="M374" s="211" t="str">
        <f t="shared" si="54"/>
        <v/>
      </c>
      <c r="N374" s="207"/>
      <c r="O374" s="211" t="str">
        <f t="shared" si="55"/>
        <v/>
      </c>
      <c r="P374" s="207"/>
      <c r="Q374" s="211" t="str">
        <f t="shared" si="56"/>
        <v/>
      </c>
      <c r="R374" s="207"/>
      <c r="S374" s="211" t="str">
        <f t="shared" si="57"/>
        <v/>
      </c>
      <c r="T374" s="272" t="str">
        <f t="shared" si="58"/>
        <v/>
      </c>
      <c r="U374" s="212" t="str">
        <f t="shared" si="59"/>
        <v/>
      </c>
    </row>
    <row r="375" spans="2:21" x14ac:dyDescent="0.25">
      <c r="B375" s="241" t="str">
        <f>IF(Contagem!B373=0,"",Contagem!B373)</f>
        <v/>
      </c>
      <c r="C375" s="242" t="str">
        <f>IF(Contagem!T373 &gt; 0,Contagem!T373,"")</f>
        <v/>
      </c>
      <c r="D375" s="207"/>
      <c r="E375" s="211" t="str">
        <f t="shared" si="50"/>
        <v/>
      </c>
      <c r="F375" s="207"/>
      <c r="G375" s="211" t="str">
        <f t="shared" si="51"/>
        <v/>
      </c>
      <c r="H375" s="207"/>
      <c r="I375" s="211" t="str">
        <f t="shared" si="52"/>
        <v/>
      </c>
      <c r="J375" s="207"/>
      <c r="K375" s="211" t="str">
        <f t="shared" si="53"/>
        <v/>
      </c>
      <c r="L375" s="207"/>
      <c r="M375" s="211" t="str">
        <f t="shared" si="54"/>
        <v/>
      </c>
      <c r="N375" s="207"/>
      <c r="O375" s="211" t="str">
        <f t="shared" si="55"/>
        <v/>
      </c>
      <c r="P375" s="207"/>
      <c r="Q375" s="211" t="str">
        <f t="shared" si="56"/>
        <v/>
      </c>
      <c r="R375" s="207"/>
      <c r="S375" s="211" t="str">
        <f t="shared" si="57"/>
        <v/>
      </c>
      <c r="T375" s="272" t="str">
        <f t="shared" si="58"/>
        <v/>
      </c>
      <c r="U375" s="212" t="str">
        <f t="shared" si="59"/>
        <v/>
      </c>
    </row>
    <row r="376" spans="2:21" x14ac:dyDescent="0.25">
      <c r="B376" s="241" t="str">
        <f>IF(Contagem!B374=0,"",Contagem!B374)</f>
        <v/>
      </c>
      <c r="C376" s="242" t="str">
        <f>IF(Contagem!T374 &gt; 0,Contagem!T374,"")</f>
        <v/>
      </c>
      <c r="D376" s="207"/>
      <c r="E376" s="211" t="str">
        <f t="shared" si="50"/>
        <v/>
      </c>
      <c r="F376" s="207"/>
      <c r="G376" s="211" t="str">
        <f t="shared" si="51"/>
        <v/>
      </c>
      <c r="H376" s="207"/>
      <c r="I376" s="211" t="str">
        <f t="shared" si="52"/>
        <v/>
      </c>
      <c r="J376" s="207"/>
      <c r="K376" s="211" t="str">
        <f t="shared" si="53"/>
        <v/>
      </c>
      <c r="L376" s="207"/>
      <c r="M376" s="211" t="str">
        <f t="shared" si="54"/>
        <v/>
      </c>
      <c r="N376" s="207"/>
      <c r="O376" s="211" t="str">
        <f t="shared" si="55"/>
        <v/>
      </c>
      <c r="P376" s="207"/>
      <c r="Q376" s="211" t="str">
        <f t="shared" si="56"/>
        <v/>
      </c>
      <c r="R376" s="207"/>
      <c r="S376" s="211" t="str">
        <f t="shared" si="57"/>
        <v/>
      </c>
      <c r="T376" s="272" t="str">
        <f t="shared" si="58"/>
        <v/>
      </c>
      <c r="U376" s="212" t="str">
        <f t="shared" si="59"/>
        <v/>
      </c>
    </row>
    <row r="377" spans="2:21" x14ac:dyDescent="0.25">
      <c r="B377" s="241" t="str">
        <f>IF(Contagem!B375=0,"",Contagem!B375)</f>
        <v/>
      </c>
      <c r="C377" s="242" t="str">
        <f>IF(Contagem!T375 &gt; 0,Contagem!T375,"")</f>
        <v/>
      </c>
      <c r="D377" s="207"/>
      <c r="E377" s="211" t="str">
        <f t="shared" si="50"/>
        <v/>
      </c>
      <c r="F377" s="207"/>
      <c r="G377" s="211" t="str">
        <f t="shared" si="51"/>
        <v/>
      </c>
      <c r="H377" s="207"/>
      <c r="I377" s="211" t="str">
        <f t="shared" si="52"/>
        <v/>
      </c>
      <c r="J377" s="207"/>
      <c r="K377" s="211" t="str">
        <f t="shared" si="53"/>
        <v/>
      </c>
      <c r="L377" s="207"/>
      <c r="M377" s="211" t="str">
        <f t="shared" si="54"/>
        <v/>
      </c>
      <c r="N377" s="207"/>
      <c r="O377" s="211" t="str">
        <f t="shared" si="55"/>
        <v/>
      </c>
      <c r="P377" s="207"/>
      <c r="Q377" s="211" t="str">
        <f t="shared" si="56"/>
        <v/>
      </c>
      <c r="R377" s="207"/>
      <c r="S377" s="211" t="str">
        <f t="shared" si="57"/>
        <v/>
      </c>
      <c r="T377" s="272" t="str">
        <f t="shared" si="58"/>
        <v/>
      </c>
      <c r="U377" s="212" t="str">
        <f t="shared" si="59"/>
        <v/>
      </c>
    </row>
    <row r="378" spans="2:21" x14ac:dyDescent="0.25">
      <c r="B378" s="241" t="str">
        <f>IF(Contagem!B376=0,"",Contagem!B376)</f>
        <v/>
      </c>
      <c r="C378" s="242" t="str">
        <f>IF(Contagem!T376 &gt; 0,Contagem!T376,"")</f>
        <v/>
      </c>
      <c r="D378" s="207"/>
      <c r="E378" s="211" t="str">
        <f t="shared" si="50"/>
        <v/>
      </c>
      <c r="F378" s="207"/>
      <c r="G378" s="211" t="str">
        <f t="shared" si="51"/>
        <v/>
      </c>
      <c r="H378" s="207"/>
      <c r="I378" s="211" t="str">
        <f t="shared" si="52"/>
        <v/>
      </c>
      <c r="J378" s="207"/>
      <c r="K378" s="211" t="str">
        <f t="shared" si="53"/>
        <v/>
      </c>
      <c r="L378" s="207"/>
      <c r="M378" s="211" t="str">
        <f t="shared" si="54"/>
        <v/>
      </c>
      <c r="N378" s="207"/>
      <c r="O378" s="211" t="str">
        <f t="shared" si="55"/>
        <v/>
      </c>
      <c r="P378" s="207"/>
      <c r="Q378" s="211" t="str">
        <f t="shared" si="56"/>
        <v/>
      </c>
      <c r="R378" s="207"/>
      <c r="S378" s="211" t="str">
        <f t="shared" si="57"/>
        <v/>
      </c>
      <c r="T378" s="272" t="str">
        <f t="shared" si="58"/>
        <v/>
      </c>
      <c r="U378" s="212" t="str">
        <f t="shared" si="59"/>
        <v/>
      </c>
    </row>
    <row r="379" spans="2:21" x14ac:dyDescent="0.25">
      <c r="B379" s="241" t="str">
        <f>IF(Contagem!B377=0,"",Contagem!B377)</f>
        <v/>
      </c>
      <c r="C379" s="242" t="str">
        <f>IF(Contagem!T377 &gt; 0,Contagem!T377,"")</f>
        <v/>
      </c>
      <c r="D379" s="207"/>
      <c r="E379" s="211" t="str">
        <f t="shared" si="50"/>
        <v/>
      </c>
      <c r="F379" s="207"/>
      <c r="G379" s="211" t="str">
        <f t="shared" si="51"/>
        <v/>
      </c>
      <c r="H379" s="207"/>
      <c r="I379" s="211" t="str">
        <f t="shared" si="52"/>
        <v/>
      </c>
      <c r="J379" s="207"/>
      <c r="K379" s="211" t="str">
        <f t="shared" si="53"/>
        <v/>
      </c>
      <c r="L379" s="207"/>
      <c r="M379" s="211" t="str">
        <f t="shared" si="54"/>
        <v/>
      </c>
      <c r="N379" s="207"/>
      <c r="O379" s="211" t="str">
        <f t="shared" si="55"/>
        <v/>
      </c>
      <c r="P379" s="207"/>
      <c r="Q379" s="211" t="str">
        <f t="shared" si="56"/>
        <v/>
      </c>
      <c r="R379" s="207"/>
      <c r="S379" s="211" t="str">
        <f t="shared" si="57"/>
        <v/>
      </c>
      <c r="T379" s="272" t="str">
        <f t="shared" si="58"/>
        <v/>
      </c>
      <c r="U379" s="212" t="str">
        <f t="shared" si="59"/>
        <v/>
      </c>
    </row>
    <row r="380" spans="2:21" x14ac:dyDescent="0.25">
      <c r="B380" s="241" t="str">
        <f>IF(Contagem!B378=0,"",Contagem!B378)</f>
        <v/>
      </c>
      <c r="C380" s="242" t="str">
        <f>IF(Contagem!T378 &gt; 0,Contagem!T378,"")</f>
        <v/>
      </c>
      <c r="D380" s="207"/>
      <c r="E380" s="211" t="str">
        <f t="shared" si="50"/>
        <v/>
      </c>
      <c r="F380" s="207"/>
      <c r="G380" s="211" t="str">
        <f t="shared" si="51"/>
        <v/>
      </c>
      <c r="H380" s="207"/>
      <c r="I380" s="211" t="str">
        <f t="shared" si="52"/>
        <v/>
      </c>
      <c r="J380" s="207"/>
      <c r="K380" s="211" t="str">
        <f t="shared" si="53"/>
        <v/>
      </c>
      <c r="L380" s="207"/>
      <c r="M380" s="211" t="str">
        <f t="shared" si="54"/>
        <v/>
      </c>
      <c r="N380" s="207"/>
      <c r="O380" s="211" t="str">
        <f t="shared" si="55"/>
        <v/>
      </c>
      <c r="P380" s="207"/>
      <c r="Q380" s="211" t="str">
        <f t="shared" si="56"/>
        <v/>
      </c>
      <c r="R380" s="207"/>
      <c r="S380" s="211" t="str">
        <f t="shared" si="57"/>
        <v/>
      </c>
      <c r="T380" s="272" t="str">
        <f t="shared" si="58"/>
        <v/>
      </c>
      <c r="U380" s="212" t="str">
        <f t="shared" si="59"/>
        <v/>
      </c>
    </row>
    <row r="381" spans="2:21" x14ac:dyDescent="0.25">
      <c r="B381" s="241" t="str">
        <f>IF(Contagem!B379=0,"",Contagem!B379)</f>
        <v/>
      </c>
      <c r="C381" s="242" t="str">
        <f>IF(Contagem!T379 &gt; 0,Contagem!T379,"")</f>
        <v/>
      </c>
      <c r="D381" s="207"/>
      <c r="E381" s="211" t="str">
        <f t="shared" si="50"/>
        <v/>
      </c>
      <c r="F381" s="207"/>
      <c r="G381" s="211" t="str">
        <f t="shared" si="51"/>
        <v/>
      </c>
      <c r="H381" s="207"/>
      <c r="I381" s="211" t="str">
        <f t="shared" si="52"/>
        <v/>
      </c>
      <c r="J381" s="207"/>
      <c r="K381" s="211" t="str">
        <f t="shared" si="53"/>
        <v/>
      </c>
      <c r="L381" s="207"/>
      <c r="M381" s="211" t="str">
        <f t="shared" si="54"/>
        <v/>
      </c>
      <c r="N381" s="207"/>
      <c r="O381" s="211" t="str">
        <f t="shared" si="55"/>
        <v/>
      </c>
      <c r="P381" s="207"/>
      <c r="Q381" s="211" t="str">
        <f t="shared" si="56"/>
        <v/>
      </c>
      <c r="R381" s="207"/>
      <c r="S381" s="211" t="str">
        <f t="shared" si="57"/>
        <v/>
      </c>
      <c r="T381" s="272" t="str">
        <f t="shared" si="58"/>
        <v/>
      </c>
      <c r="U381" s="212" t="str">
        <f t="shared" si="59"/>
        <v/>
      </c>
    </row>
    <row r="382" spans="2:21" x14ac:dyDescent="0.25">
      <c r="B382" s="241" t="str">
        <f>IF(Contagem!B380=0,"",Contagem!B380)</f>
        <v/>
      </c>
      <c r="C382" s="242" t="str">
        <f>IF(Contagem!T380 &gt; 0,Contagem!T380,"")</f>
        <v/>
      </c>
      <c r="D382" s="207"/>
      <c r="E382" s="211" t="str">
        <f t="shared" si="50"/>
        <v/>
      </c>
      <c r="F382" s="207"/>
      <c r="G382" s="211" t="str">
        <f t="shared" si="51"/>
        <v/>
      </c>
      <c r="H382" s="207"/>
      <c r="I382" s="211" t="str">
        <f t="shared" si="52"/>
        <v/>
      </c>
      <c r="J382" s="207"/>
      <c r="K382" s="211" t="str">
        <f t="shared" si="53"/>
        <v/>
      </c>
      <c r="L382" s="207"/>
      <c r="M382" s="211" t="str">
        <f t="shared" si="54"/>
        <v/>
      </c>
      <c r="N382" s="207"/>
      <c r="O382" s="211" t="str">
        <f t="shared" si="55"/>
        <v/>
      </c>
      <c r="P382" s="207"/>
      <c r="Q382" s="211" t="str">
        <f t="shared" si="56"/>
        <v/>
      </c>
      <c r="R382" s="207"/>
      <c r="S382" s="211" t="str">
        <f t="shared" si="57"/>
        <v/>
      </c>
      <c r="T382" s="272" t="str">
        <f t="shared" si="58"/>
        <v/>
      </c>
      <c r="U382" s="212" t="str">
        <f t="shared" si="59"/>
        <v/>
      </c>
    </row>
    <row r="383" spans="2:21" x14ac:dyDescent="0.25">
      <c r="B383" s="241" t="str">
        <f>IF(Contagem!B381=0,"",Contagem!B381)</f>
        <v/>
      </c>
      <c r="C383" s="242" t="str">
        <f>IF(Contagem!T381 &gt; 0,Contagem!T381,"")</f>
        <v/>
      </c>
      <c r="D383" s="207"/>
      <c r="E383" s="211" t="str">
        <f t="shared" si="50"/>
        <v/>
      </c>
      <c r="F383" s="207"/>
      <c r="G383" s="211" t="str">
        <f t="shared" si="51"/>
        <v/>
      </c>
      <c r="H383" s="207"/>
      <c r="I383" s="211" t="str">
        <f t="shared" si="52"/>
        <v/>
      </c>
      <c r="J383" s="207"/>
      <c r="K383" s="211" t="str">
        <f t="shared" si="53"/>
        <v/>
      </c>
      <c r="L383" s="207"/>
      <c r="M383" s="211" t="str">
        <f t="shared" si="54"/>
        <v/>
      </c>
      <c r="N383" s="207"/>
      <c r="O383" s="211" t="str">
        <f t="shared" si="55"/>
        <v/>
      </c>
      <c r="P383" s="207"/>
      <c r="Q383" s="211" t="str">
        <f t="shared" si="56"/>
        <v/>
      </c>
      <c r="R383" s="207"/>
      <c r="S383" s="211" t="str">
        <f t="shared" si="57"/>
        <v/>
      </c>
      <c r="T383" s="272" t="str">
        <f t="shared" si="58"/>
        <v/>
      </c>
      <c r="U383" s="212" t="str">
        <f t="shared" si="59"/>
        <v/>
      </c>
    </row>
    <row r="384" spans="2:21" x14ac:dyDescent="0.25">
      <c r="B384" s="241" t="str">
        <f>IF(Contagem!B382=0,"",Contagem!B382)</f>
        <v/>
      </c>
      <c r="C384" s="242" t="str">
        <f>IF(Contagem!T382 &gt; 0,Contagem!T382,"")</f>
        <v/>
      </c>
      <c r="D384" s="207"/>
      <c r="E384" s="211" t="str">
        <f t="shared" si="50"/>
        <v/>
      </c>
      <c r="F384" s="207"/>
      <c r="G384" s="211" t="str">
        <f t="shared" si="51"/>
        <v/>
      </c>
      <c r="H384" s="207"/>
      <c r="I384" s="211" t="str">
        <f t="shared" si="52"/>
        <v/>
      </c>
      <c r="J384" s="207"/>
      <c r="K384" s="211" t="str">
        <f t="shared" si="53"/>
        <v/>
      </c>
      <c r="L384" s="207"/>
      <c r="M384" s="211" t="str">
        <f t="shared" si="54"/>
        <v/>
      </c>
      <c r="N384" s="207"/>
      <c r="O384" s="211" t="str">
        <f t="shared" si="55"/>
        <v/>
      </c>
      <c r="P384" s="207"/>
      <c r="Q384" s="211" t="str">
        <f t="shared" si="56"/>
        <v/>
      </c>
      <c r="R384" s="207"/>
      <c r="S384" s="211" t="str">
        <f t="shared" si="57"/>
        <v/>
      </c>
      <c r="T384" s="272" t="str">
        <f t="shared" si="58"/>
        <v/>
      </c>
      <c r="U384" s="212" t="str">
        <f t="shared" si="59"/>
        <v/>
      </c>
    </row>
    <row r="385" spans="2:21" x14ac:dyDescent="0.25">
      <c r="B385" s="241" t="str">
        <f>IF(Contagem!B383=0,"",Contagem!B383)</f>
        <v/>
      </c>
      <c r="C385" s="242" t="str">
        <f>IF(Contagem!T383 &gt; 0,Contagem!T383,"")</f>
        <v/>
      </c>
      <c r="D385" s="207"/>
      <c r="E385" s="211" t="str">
        <f t="shared" si="50"/>
        <v/>
      </c>
      <c r="F385" s="207"/>
      <c r="G385" s="211" t="str">
        <f t="shared" si="51"/>
        <v/>
      </c>
      <c r="H385" s="207"/>
      <c r="I385" s="211" t="str">
        <f t="shared" si="52"/>
        <v/>
      </c>
      <c r="J385" s="207"/>
      <c r="K385" s="211" t="str">
        <f t="shared" si="53"/>
        <v/>
      </c>
      <c r="L385" s="207"/>
      <c r="M385" s="211" t="str">
        <f t="shared" si="54"/>
        <v/>
      </c>
      <c r="N385" s="207"/>
      <c r="O385" s="211" t="str">
        <f t="shared" si="55"/>
        <v/>
      </c>
      <c r="P385" s="207"/>
      <c r="Q385" s="211" t="str">
        <f t="shared" si="56"/>
        <v/>
      </c>
      <c r="R385" s="207"/>
      <c r="S385" s="211" t="str">
        <f t="shared" si="57"/>
        <v/>
      </c>
      <c r="T385" s="272" t="str">
        <f t="shared" si="58"/>
        <v/>
      </c>
      <c r="U385" s="212" t="str">
        <f t="shared" si="59"/>
        <v/>
      </c>
    </row>
    <row r="386" spans="2:21" x14ac:dyDescent="0.25">
      <c r="B386" s="241" t="str">
        <f>IF(Contagem!B384=0,"",Contagem!B384)</f>
        <v/>
      </c>
      <c r="C386" s="242" t="str">
        <f>IF(Contagem!T384 &gt; 0,Contagem!T384,"")</f>
        <v/>
      </c>
      <c r="D386" s="207"/>
      <c r="E386" s="211" t="str">
        <f t="shared" si="50"/>
        <v/>
      </c>
      <c r="F386" s="207"/>
      <c r="G386" s="211" t="str">
        <f t="shared" si="51"/>
        <v/>
      </c>
      <c r="H386" s="207"/>
      <c r="I386" s="211" t="str">
        <f t="shared" si="52"/>
        <v/>
      </c>
      <c r="J386" s="207"/>
      <c r="K386" s="211" t="str">
        <f t="shared" si="53"/>
        <v/>
      </c>
      <c r="L386" s="207"/>
      <c r="M386" s="211" t="str">
        <f t="shared" si="54"/>
        <v/>
      </c>
      <c r="N386" s="207"/>
      <c r="O386" s="211" t="str">
        <f t="shared" si="55"/>
        <v/>
      </c>
      <c r="P386" s="207"/>
      <c r="Q386" s="211" t="str">
        <f t="shared" si="56"/>
        <v/>
      </c>
      <c r="R386" s="207"/>
      <c r="S386" s="211" t="str">
        <f t="shared" si="57"/>
        <v/>
      </c>
      <c r="T386" s="272" t="str">
        <f t="shared" si="58"/>
        <v/>
      </c>
      <c r="U386" s="212" t="str">
        <f t="shared" si="59"/>
        <v/>
      </c>
    </row>
    <row r="387" spans="2:21" x14ac:dyDescent="0.25">
      <c r="B387" s="241" t="str">
        <f>IF(Contagem!B385=0,"",Contagem!B385)</f>
        <v/>
      </c>
      <c r="C387" s="242" t="str">
        <f>IF(Contagem!T385 &gt; 0,Contagem!T385,"")</f>
        <v/>
      </c>
      <c r="D387" s="207"/>
      <c r="E387" s="211" t="str">
        <f t="shared" si="50"/>
        <v/>
      </c>
      <c r="F387" s="207"/>
      <c r="G387" s="211" t="str">
        <f t="shared" si="51"/>
        <v/>
      </c>
      <c r="H387" s="207"/>
      <c r="I387" s="211" t="str">
        <f t="shared" si="52"/>
        <v/>
      </c>
      <c r="J387" s="207"/>
      <c r="K387" s="211" t="str">
        <f t="shared" si="53"/>
        <v/>
      </c>
      <c r="L387" s="207"/>
      <c r="M387" s="211" t="str">
        <f t="shared" si="54"/>
        <v/>
      </c>
      <c r="N387" s="207"/>
      <c r="O387" s="211" t="str">
        <f t="shared" si="55"/>
        <v/>
      </c>
      <c r="P387" s="207"/>
      <c r="Q387" s="211" t="str">
        <f t="shared" si="56"/>
        <v/>
      </c>
      <c r="R387" s="207"/>
      <c r="S387" s="211" t="str">
        <f t="shared" si="57"/>
        <v/>
      </c>
      <c r="T387" s="272" t="str">
        <f t="shared" si="58"/>
        <v/>
      </c>
      <c r="U387" s="212" t="str">
        <f t="shared" si="59"/>
        <v/>
      </c>
    </row>
    <row r="388" spans="2:21" x14ac:dyDescent="0.25">
      <c r="B388" s="241" t="str">
        <f>IF(Contagem!B386=0,"",Contagem!B386)</f>
        <v/>
      </c>
      <c r="C388" s="242" t="str">
        <f>IF(Contagem!T386 &gt; 0,Contagem!T386,"")</f>
        <v/>
      </c>
      <c r="D388" s="207"/>
      <c r="E388" s="211" t="str">
        <f t="shared" si="50"/>
        <v/>
      </c>
      <c r="F388" s="207"/>
      <c r="G388" s="211" t="str">
        <f t="shared" si="51"/>
        <v/>
      </c>
      <c r="H388" s="207"/>
      <c r="I388" s="211" t="str">
        <f t="shared" si="52"/>
        <v/>
      </c>
      <c r="J388" s="207"/>
      <c r="K388" s="211" t="str">
        <f t="shared" si="53"/>
        <v/>
      </c>
      <c r="L388" s="207"/>
      <c r="M388" s="211" t="str">
        <f t="shared" si="54"/>
        <v/>
      </c>
      <c r="N388" s="207"/>
      <c r="O388" s="211" t="str">
        <f t="shared" si="55"/>
        <v/>
      </c>
      <c r="P388" s="207"/>
      <c r="Q388" s="211" t="str">
        <f t="shared" si="56"/>
        <v/>
      </c>
      <c r="R388" s="207"/>
      <c r="S388" s="211" t="str">
        <f t="shared" si="57"/>
        <v/>
      </c>
      <c r="T388" s="272" t="str">
        <f t="shared" si="58"/>
        <v/>
      </c>
      <c r="U388" s="212" t="str">
        <f t="shared" si="59"/>
        <v/>
      </c>
    </row>
    <row r="389" spans="2:21" x14ac:dyDescent="0.25">
      <c r="B389" s="241" t="str">
        <f>IF(Contagem!B387=0,"",Contagem!B387)</f>
        <v/>
      </c>
      <c r="C389" s="242" t="str">
        <f>IF(Contagem!T387 &gt; 0,Contagem!T387,"")</f>
        <v/>
      </c>
      <c r="D389" s="207"/>
      <c r="E389" s="211" t="str">
        <f t="shared" si="50"/>
        <v/>
      </c>
      <c r="F389" s="207"/>
      <c r="G389" s="211" t="str">
        <f t="shared" si="51"/>
        <v/>
      </c>
      <c r="H389" s="207"/>
      <c r="I389" s="211" t="str">
        <f t="shared" si="52"/>
        <v/>
      </c>
      <c r="J389" s="207"/>
      <c r="K389" s="211" t="str">
        <f t="shared" si="53"/>
        <v/>
      </c>
      <c r="L389" s="207"/>
      <c r="M389" s="211" t="str">
        <f t="shared" si="54"/>
        <v/>
      </c>
      <c r="N389" s="207"/>
      <c r="O389" s="211" t="str">
        <f t="shared" si="55"/>
        <v/>
      </c>
      <c r="P389" s="207"/>
      <c r="Q389" s="211" t="str">
        <f t="shared" si="56"/>
        <v/>
      </c>
      <c r="R389" s="207"/>
      <c r="S389" s="211" t="str">
        <f t="shared" si="57"/>
        <v/>
      </c>
      <c r="T389" s="272" t="str">
        <f t="shared" si="58"/>
        <v/>
      </c>
      <c r="U389" s="212" t="str">
        <f t="shared" si="59"/>
        <v/>
      </c>
    </row>
    <row r="390" spans="2:21" x14ac:dyDescent="0.25">
      <c r="B390" s="241" t="str">
        <f>IF(Contagem!B388=0,"",Contagem!B388)</f>
        <v/>
      </c>
      <c r="C390" s="242" t="str">
        <f>IF(Contagem!T388 &gt; 0,Contagem!T388,"")</f>
        <v/>
      </c>
      <c r="D390" s="207"/>
      <c r="E390" s="211" t="str">
        <f t="shared" si="50"/>
        <v/>
      </c>
      <c r="F390" s="207"/>
      <c r="G390" s="211" t="str">
        <f t="shared" si="51"/>
        <v/>
      </c>
      <c r="H390" s="207"/>
      <c r="I390" s="211" t="str">
        <f t="shared" si="52"/>
        <v/>
      </c>
      <c r="J390" s="207"/>
      <c r="K390" s="211" t="str">
        <f t="shared" si="53"/>
        <v/>
      </c>
      <c r="L390" s="207"/>
      <c r="M390" s="211" t="str">
        <f t="shared" si="54"/>
        <v/>
      </c>
      <c r="N390" s="207"/>
      <c r="O390" s="211" t="str">
        <f t="shared" si="55"/>
        <v/>
      </c>
      <c r="P390" s="207"/>
      <c r="Q390" s="211" t="str">
        <f t="shared" si="56"/>
        <v/>
      </c>
      <c r="R390" s="207"/>
      <c r="S390" s="211" t="str">
        <f t="shared" si="57"/>
        <v/>
      </c>
      <c r="T390" s="272" t="str">
        <f t="shared" si="58"/>
        <v/>
      </c>
      <c r="U390" s="212" t="str">
        <f t="shared" si="59"/>
        <v/>
      </c>
    </row>
    <row r="391" spans="2:21" x14ac:dyDescent="0.25">
      <c r="B391" s="241" t="str">
        <f>IF(Contagem!B389=0,"",Contagem!B389)</f>
        <v/>
      </c>
      <c r="C391" s="242" t="str">
        <f>IF(Contagem!T389 &gt; 0,Contagem!T389,"")</f>
        <v/>
      </c>
      <c r="D391" s="207"/>
      <c r="E391" s="211" t="str">
        <f t="shared" ref="E391:E454" si="60">IFERROR(IF(AND($D$4&lt;&gt; 0,D391="Sim", $C391 &gt; 0),$C391*$D$4,""),0)</f>
        <v/>
      </c>
      <c r="F391" s="207"/>
      <c r="G391" s="211" t="str">
        <f t="shared" ref="G391:G454" si="61">IFERROR(IF(AND($F$4&lt;&gt; 0,F391="Sim", $C391 &gt; 0),$C391*$F$4,""),0)</f>
        <v/>
      </c>
      <c r="H391" s="207"/>
      <c r="I391" s="211" t="str">
        <f t="shared" ref="I391:I454" si="62">IFERROR(IF(AND($H$4&lt;&gt; 0,H391="Sim", $C391 &gt; 0),$C391*$H$4,""),0)</f>
        <v/>
      </c>
      <c r="J391" s="207"/>
      <c r="K391" s="211" t="str">
        <f t="shared" ref="K391:K454" si="63">IFERROR(IF(AND($J$4&lt;&gt; 0,J391="Sim", $C391 &gt; 0),$C391*$J$4,""),0)</f>
        <v/>
      </c>
      <c r="L391" s="207"/>
      <c r="M391" s="211" t="str">
        <f t="shared" ref="M391:M454" si="64">IFERROR(IF(AND($L$4&lt;&gt; 0,L391="Sim", $C391 &gt; 0),$C391*$L$4,""),0)</f>
        <v/>
      </c>
      <c r="N391" s="207"/>
      <c r="O391" s="211" t="str">
        <f t="shared" ref="O391:O454" si="65">IFERROR(IF(AND($N$4&lt;&gt; 0,N391="Sim", $C391 &gt; 0),$C391*$N$4,""),0)</f>
        <v/>
      </c>
      <c r="P391" s="207"/>
      <c r="Q391" s="211" t="str">
        <f t="shared" ref="Q391:Q454" si="66">IFERROR(IF(AND($P$4&lt;&gt; 0,P391="Sim", $C391 &gt; 0),$C391*$P$4,""),0)</f>
        <v/>
      </c>
      <c r="R391" s="207"/>
      <c r="S391" s="211" t="str">
        <f t="shared" ref="S391:S454" si="67">IFERROR(IF(AND($R$4&lt;&gt; 0,R391="Sim", $C391 &gt; 0),$C391*$R$4,""),0)</f>
        <v/>
      </c>
      <c r="T391" s="272" t="str">
        <f t="shared" ref="T391:T454" si="68">IFERROR(U391/C391,"")</f>
        <v/>
      </c>
      <c r="U391" s="212" t="str">
        <f t="shared" ref="U391:U454" si="69">IF(SUM(E391,G391,I391,K391,M391,O391,Q391,S391) &gt; 0,SUM(E391,G391,I391,K391,M391,O391,Q391,S391),"")</f>
        <v/>
      </c>
    </row>
    <row r="392" spans="2:21" x14ac:dyDescent="0.25">
      <c r="B392" s="241" t="str">
        <f>IF(Contagem!B390=0,"",Contagem!B390)</f>
        <v/>
      </c>
      <c r="C392" s="242" t="str">
        <f>IF(Contagem!T390 &gt; 0,Contagem!T390,"")</f>
        <v/>
      </c>
      <c r="D392" s="207"/>
      <c r="E392" s="211" t="str">
        <f t="shared" si="60"/>
        <v/>
      </c>
      <c r="F392" s="207"/>
      <c r="G392" s="211" t="str">
        <f t="shared" si="61"/>
        <v/>
      </c>
      <c r="H392" s="207"/>
      <c r="I392" s="211" t="str">
        <f t="shared" si="62"/>
        <v/>
      </c>
      <c r="J392" s="207"/>
      <c r="K392" s="211" t="str">
        <f t="shared" si="63"/>
        <v/>
      </c>
      <c r="L392" s="207"/>
      <c r="M392" s="211" t="str">
        <f t="shared" si="64"/>
        <v/>
      </c>
      <c r="N392" s="207"/>
      <c r="O392" s="211" t="str">
        <f t="shared" si="65"/>
        <v/>
      </c>
      <c r="P392" s="207"/>
      <c r="Q392" s="211" t="str">
        <f t="shared" si="66"/>
        <v/>
      </c>
      <c r="R392" s="207"/>
      <c r="S392" s="211" t="str">
        <f t="shared" si="67"/>
        <v/>
      </c>
      <c r="T392" s="272" t="str">
        <f t="shared" si="68"/>
        <v/>
      </c>
      <c r="U392" s="212" t="str">
        <f t="shared" si="69"/>
        <v/>
      </c>
    </row>
    <row r="393" spans="2:21" x14ac:dyDescent="0.25">
      <c r="B393" s="241" t="str">
        <f>IF(Contagem!B391=0,"",Contagem!B391)</f>
        <v/>
      </c>
      <c r="C393" s="242" t="str">
        <f>IF(Contagem!T391 &gt; 0,Contagem!T391,"")</f>
        <v/>
      </c>
      <c r="D393" s="207"/>
      <c r="E393" s="211" t="str">
        <f t="shared" si="60"/>
        <v/>
      </c>
      <c r="F393" s="207"/>
      <c r="G393" s="211" t="str">
        <f t="shared" si="61"/>
        <v/>
      </c>
      <c r="H393" s="207"/>
      <c r="I393" s="211" t="str">
        <f t="shared" si="62"/>
        <v/>
      </c>
      <c r="J393" s="207"/>
      <c r="K393" s="211" t="str">
        <f t="shared" si="63"/>
        <v/>
      </c>
      <c r="L393" s="207"/>
      <c r="M393" s="211" t="str">
        <f t="shared" si="64"/>
        <v/>
      </c>
      <c r="N393" s="207"/>
      <c r="O393" s="211" t="str">
        <f t="shared" si="65"/>
        <v/>
      </c>
      <c r="P393" s="207"/>
      <c r="Q393" s="211" t="str">
        <f t="shared" si="66"/>
        <v/>
      </c>
      <c r="R393" s="207"/>
      <c r="S393" s="211" t="str">
        <f t="shared" si="67"/>
        <v/>
      </c>
      <c r="T393" s="272" t="str">
        <f t="shared" si="68"/>
        <v/>
      </c>
      <c r="U393" s="212" t="str">
        <f t="shared" si="69"/>
        <v/>
      </c>
    </row>
    <row r="394" spans="2:21" x14ac:dyDescent="0.25">
      <c r="B394" s="241" t="str">
        <f>IF(Contagem!B392=0,"",Contagem!B392)</f>
        <v/>
      </c>
      <c r="C394" s="242" t="str">
        <f>IF(Contagem!T392 &gt; 0,Contagem!T392,"")</f>
        <v/>
      </c>
      <c r="D394" s="207"/>
      <c r="E394" s="211" t="str">
        <f t="shared" si="60"/>
        <v/>
      </c>
      <c r="F394" s="207"/>
      <c r="G394" s="211" t="str">
        <f t="shared" si="61"/>
        <v/>
      </c>
      <c r="H394" s="207"/>
      <c r="I394" s="211" t="str">
        <f t="shared" si="62"/>
        <v/>
      </c>
      <c r="J394" s="207"/>
      <c r="K394" s="211" t="str">
        <f t="shared" si="63"/>
        <v/>
      </c>
      <c r="L394" s="207"/>
      <c r="M394" s="211" t="str">
        <f t="shared" si="64"/>
        <v/>
      </c>
      <c r="N394" s="207"/>
      <c r="O394" s="211" t="str">
        <f t="shared" si="65"/>
        <v/>
      </c>
      <c r="P394" s="207"/>
      <c r="Q394" s="211" t="str">
        <f t="shared" si="66"/>
        <v/>
      </c>
      <c r="R394" s="207"/>
      <c r="S394" s="211" t="str">
        <f t="shared" si="67"/>
        <v/>
      </c>
      <c r="T394" s="272" t="str">
        <f t="shared" si="68"/>
        <v/>
      </c>
      <c r="U394" s="212" t="str">
        <f t="shared" si="69"/>
        <v/>
      </c>
    </row>
    <row r="395" spans="2:21" x14ac:dyDescent="0.25">
      <c r="B395" s="241" t="str">
        <f>IF(Contagem!B393=0,"",Contagem!B393)</f>
        <v/>
      </c>
      <c r="C395" s="242" t="str">
        <f>IF(Contagem!T393 &gt; 0,Contagem!T393,"")</f>
        <v/>
      </c>
      <c r="D395" s="207"/>
      <c r="E395" s="211" t="str">
        <f t="shared" si="60"/>
        <v/>
      </c>
      <c r="F395" s="207"/>
      <c r="G395" s="211" t="str">
        <f t="shared" si="61"/>
        <v/>
      </c>
      <c r="H395" s="207"/>
      <c r="I395" s="211" t="str">
        <f t="shared" si="62"/>
        <v/>
      </c>
      <c r="J395" s="207"/>
      <c r="K395" s="211" t="str">
        <f t="shared" si="63"/>
        <v/>
      </c>
      <c r="L395" s="207"/>
      <c r="M395" s="211" t="str">
        <f t="shared" si="64"/>
        <v/>
      </c>
      <c r="N395" s="207"/>
      <c r="O395" s="211" t="str">
        <f t="shared" si="65"/>
        <v/>
      </c>
      <c r="P395" s="207"/>
      <c r="Q395" s="211" t="str">
        <f t="shared" si="66"/>
        <v/>
      </c>
      <c r="R395" s="207"/>
      <c r="S395" s="211" t="str">
        <f t="shared" si="67"/>
        <v/>
      </c>
      <c r="T395" s="272" t="str">
        <f t="shared" si="68"/>
        <v/>
      </c>
      <c r="U395" s="212" t="str">
        <f t="shared" si="69"/>
        <v/>
      </c>
    </row>
    <row r="396" spans="2:21" x14ac:dyDescent="0.25">
      <c r="B396" s="241" t="str">
        <f>IF(Contagem!B394=0,"",Contagem!B394)</f>
        <v/>
      </c>
      <c r="C396" s="242" t="str">
        <f>IF(Contagem!T394 &gt; 0,Contagem!T394,"")</f>
        <v/>
      </c>
      <c r="D396" s="207"/>
      <c r="E396" s="211" t="str">
        <f t="shared" si="60"/>
        <v/>
      </c>
      <c r="F396" s="207"/>
      <c r="G396" s="211" t="str">
        <f t="shared" si="61"/>
        <v/>
      </c>
      <c r="H396" s="207"/>
      <c r="I396" s="211" t="str">
        <f t="shared" si="62"/>
        <v/>
      </c>
      <c r="J396" s="207"/>
      <c r="K396" s="211" t="str">
        <f t="shared" si="63"/>
        <v/>
      </c>
      <c r="L396" s="207"/>
      <c r="M396" s="211" t="str">
        <f t="shared" si="64"/>
        <v/>
      </c>
      <c r="N396" s="207"/>
      <c r="O396" s="211" t="str">
        <f t="shared" si="65"/>
        <v/>
      </c>
      <c r="P396" s="207"/>
      <c r="Q396" s="211" t="str">
        <f t="shared" si="66"/>
        <v/>
      </c>
      <c r="R396" s="207"/>
      <c r="S396" s="211" t="str">
        <f t="shared" si="67"/>
        <v/>
      </c>
      <c r="T396" s="272" t="str">
        <f t="shared" si="68"/>
        <v/>
      </c>
      <c r="U396" s="212" t="str">
        <f t="shared" si="69"/>
        <v/>
      </c>
    </row>
    <row r="397" spans="2:21" x14ac:dyDescent="0.25">
      <c r="B397" s="241" t="str">
        <f>IF(Contagem!B395=0,"",Contagem!B395)</f>
        <v/>
      </c>
      <c r="C397" s="242" t="str">
        <f>IF(Contagem!T395 &gt; 0,Contagem!T395,"")</f>
        <v/>
      </c>
      <c r="D397" s="207"/>
      <c r="E397" s="211" t="str">
        <f t="shared" si="60"/>
        <v/>
      </c>
      <c r="F397" s="207"/>
      <c r="G397" s="211" t="str">
        <f t="shared" si="61"/>
        <v/>
      </c>
      <c r="H397" s="207"/>
      <c r="I397" s="211" t="str">
        <f t="shared" si="62"/>
        <v/>
      </c>
      <c r="J397" s="207"/>
      <c r="K397" s="211" t="str">
        <f t="shared" si="63"/>
        <v/>
      </c>
      <c r="L397" s="207"/>
      <c r="M397" s="211" t="str">
        <f t="shared" si="64"/>
        <v/>
      </c>
      <c r="N397" s="207"/>
      <c r="O397" s="211" t="str">
        <f t="shared" si="65"/>
        <v/>
      </c>
      <c r="P397" s="207"/>
      <c r="Q397" s="211" t="str">
        <f t="shared" si="66"/>
        <v/>
      </c>
      <c r="R397" s="207"/>
      <c r="S397" s="211" t="str">
        <f t="shared" si="67"/>
        <v/>
      </c>
      <c r="T397" s="272" t="str">
        <f t="shared" si="68"/>
        <v/>
      </c>
      <c r="U397" s="212" t="str">
        <f t="shared" si="69"/>
        <v/>
      </c>
    </row>
    <row r="398" spans="2:21" x14ac:dyDescent="0.25">
      <c r="B398" s="241" t="str">
        <f>IF(Contagem!B396=0,"",Contagem!B396)</f>
        <v/>
      </c>
      <c r="C398" s="242" t="str">
        <f>IF(Contagem!T396 &gt; 0,Contagem!T396,"")</f>
        <v/>
      </c>
      <c r="D398" s="207"/>
      <c r="E398" s="211" t="str">
        <f t="shared" si="60"/>
        <v/>
      </c>
      <c r="F398" s="207"/>
      <c r="G398" s="211" t="str">
        <f t="shared" si="61"/>
        <v/>
      </c>
      <c r="H398" s="207"/>
      <c r="I398" s="211" t="str">
        <f t="shared" si="62"/>
        <v/>
      </c>
      <c r="J398" s="207"/>
      <c r="K398" s="211" t="str">
        <f t="shared" si="63"/>
        <v/>
      </c>
      <c r="L398" s="207"/>
      <c r="M398" s="211" t="str">
        <f t="shared" si="64"/>
        <v/>
      </c>
      <c r="N398" s="207"/>
      <c r="O398" s="211" t="str">
        <f t="shared" si="65"/>
        <v/>
      </c>
      <c r="P398" s="207"/>
      <c r="Q398" s="211" t="str">
        <f t="shared" si="66"/>
        <v/>
      </c>
      <c r="R398" s="207"/>
      <c r="S398" s="211" t="str">
        <f t="shared" si="67"/>
        <v/>
      </c>
      <c r="T398" s="272" t="str">
        <f t="shared" si="68"/>
        <v/>
      </c>
      <c r="U398" s="212" t="str">
        <f t="shared" si="69"/>
        <v/>
      </c>
    </row>
    <row r="399" spans="2:21" x14ac:dyDescent="0.25">
      <c r="B399" s="241" t="str">
        <f>IF(Contagem!B397=0,"",Contagem!B397)</f>
        <v/>
      </c>
      <c r="C399" s="242" t="str">
        <f>IF(Contagem!T397 &gt; 0,Contagem!T397,"")</f>
        <v/>
      </c>
      <c r="D399" s="207"/>
      <c r="E399" s="211" t="str">
        <f t="shared" si="60"/>
        <v/>
      </c>
      <c r="F399" s="207"/>
      <c r="G399" s="211" t="str">
        <f t="shared" si="61"/>
        <v/>
      </c>
      <c r="H399" s="207"/>
      <c r="I399" s="211" t="str">
        <f t="shared" si="62"/>
        <v/>
      </c>
      <c r="J399" s="207"/>
      <c r="K399" s="211" t="str">
        <f t="shared" si="63"/>
        <v/>
      </c>
      <c r="L399" s="207"/>
      <c r="M399" s="211" t="str">
        <f t="shared" si="64"/>
        <v/>
      </c>
      <c r="N399" s="207"/>
      <c r="O399" s="211" t="str">
        <f t="shared" si="65"/>
        <v/>
      </c>
      <c r="P399" s="207"/>
      <c r="Q399" s="211" t="str">
        <f t="shared" si="66"/>
        <v/>
      </c>
      <c r="R399" s="207"/>
      <c r="S399" s="211" t="str">
        <f t="shared" si="67"/>
        <v/>
      </c>
      <c r="T399" s="272" t="str">
        <f t="shared" si="68"/>
        <v/>
      </c>
      <c r="U399" s="212" t="str">
        <f t="shared" si="69"/>
        <v/>
      </c>
    </row>
    <row r="400" spans="2:21" x14ac:dyDescent="0.25">
      <c r="B400" s="241" t="str">
        <f>IF(Contagem!B398=0,"",Contagem!B398)</f>
        <v/>
      </c>
      <c r="C400" s="242" t="str">
        <f>IF(Contagem!T398 &gt; 0,Contagem!T398,"")</f>
        <v/>
      </c>
      <c r="D400" s="207"/>
      <c r="E400" s="211" t="str">
        <f t="shared" si="60"/>
        <v/>
      </c>
      <c r="F400" s="207"/>
      <c r="G400" s="211" t="str">
        <f t="shared" si="61"/>
        <v/>
      </c>
      <c r="H400" s="207"/>
      <c r="I400" s="211" t="str">
        <f t="shared" si="62"/>
        <v/>
      </c>
      <c r="J400" s="207"/>
      <c r="K400" s="211" t="str">
        <f t="shared" si="63"/>
        <v/>
      </c>
      <c r="L400" s="207"/>
      <c r="M400" s="211" t="str">
        <f t="shared" si="64"/>
        <v/>
      </c>
      <c r="N400" s="207"/>
      <c r="O400" s="211" t="str">
        <f t="shared" si="65"/>
        <v/>
      </c>
      <c r="P400" s="207"/>
      <c r="Q400" s="211" t="str">
        <f t="shared" si="66"/>
        <v/>
      </c>
      <c r="R400" s="207"/>
      <c r="S400" s="211" t="str">
        <f t="shared" si="67"/>
        <v/>
      </c>
      <c r="T400" s="272" t="str">
        <f t="shared" si="68"/>
        <v/>
      </c>
      <c r="U400" s="212" t="str">
        <f t="shared" si="69"/>
        <v/>
      </c>
    </row>
    <row r="401" spans="2:21" x14ac:dyDescent="0.25">
      <c r="B401" s="241" t="str">
        <f>IF(Contagem!B399=0,"",Contagem!B399)</f>
        <v/>
      </c>
      <c r="C401" s="242" t="str">
        <f>IF(Contagem!T399 &gt; 0,Contagem!T399,"")</f>
        <v/>
      </c>
      <c r="D401" s="207"/>
      <c r="E401" s="211" t="str">
        <f t="shared" si="60"/>
        <v/>
      </c>
      <c r="F401" s="207"/>
      <c r="G401" s="211" t="str">
        <f t="shared" si="61"/>
        <v/>
      </c>
      <c r="H401" s="207"/>
      <c r="I401" s="211" t="str">
        <f t="shared" si="62"/>
        <v/>
      </c>
      <c r="J401" s="207"/>
      <c r="K401" s="211" t="str">
        <f t="shared" si="63"/>
        <v/>
      </c>
      <c r="L401" s="207"/>
      <c r="M401" s="211" t="str">
        <f t="shared" si="64"/>
        <v/>
      </c>
      <c r="N401" s="207"/>
      <c r="O401" s="211" t="str">
        <f t="shared" si="65"/>
        <v/>
      </c>
      <c r="P401" s="207"/>
      <c r="Q401" s="211" t="str">
        <f t="shared" si="66"/>
        <v/>
      </c>
      <c r="R401" s="207"/>
      <c r="S401" s="211" t="str">
        <f t="shared" si="67"/>
        <v/>
      </c>
      <c r="T401" s="272" t="str">
        <f t="shared" si="68"/>
        <v/>
      </c>
      <c r="U401" s="212" t="str">
        <f t="shared" si="69"/>
        <v/>
      </c>
    </row>
    <row r="402" spans="2:21" x14ac:dyDescent="0.25">
      <c r="B402" s="241" t="str">
        <f>IF(Contagem!B400=0,"",Contagem!B400)</f>
        <v/>
      </c>
      <c r="C402" s="242" t="str">
        <f>IF(Contagem!T400 &gt; 0,Contagem!T400,"")</f>
        <v/>
      </c>
      <c r="D402" s="207"/>
      <c r="E402" s="211" t="str">
        <f t="shared" si="60"/>
        <v/>
      </c>
      <c r="F402" s="207"/>
      <c r="G402" s="211" t="str">
        <f t="shared" si="61"/>
        <v/>
      </c>
      <c r="H402" s="207"/>
      <c r="I402" s="211" t="str">
        <f t="shared" si="62"/>
        <v/>
      </c>
      <c r="J402" s="207"/>
      <c r="K402" s="211" t="str">
        <f t="shared" si="63"/>
        <v/>
      </c>
      <c r="L402" s="207"/>
      <c r="M402" s="211" t="str">
        <f t="shared" si="64"/>
        <v/>
      </c>
      <c r="N402" s="207"/>
      <c r="O402" s="211" t="str">
        <f t="shared" si="65"/>
        <v/>
      </c>
      <c r="P402" s="207"/>
      <c r="Q402" s="211" t="str">
        <f t="shared" si="66"/>
        <v/>
      </c>
      <c r="R402" s="207"/>
      <c r="S402" s="211" t="str">
        <f t="shared" si="67"/>
        <v/>
      </c>
      <c r="T402" s="272" t="str">
        <f t="shared" si="68"/>
        <v/>
      </c>
      <c r="U402" s="212" t="str">
        <f t="shared" si="69"/>
        <v/>
      </c>
    </row>
    <row r="403" spans="2:21" x14ac:dyDescent="0.25">
      <c r="B403" s="241" t="str">
        <f>IF(Contagem!B401=0,"",Contagem!B401)</f>
        <v/>
      </c>
      <c r="C403" s="242" t="str">
        <f>IF(Contagem!T401 &gt; 0,Contagem!T401,"")</f>
        <v/>
      </c>
      <c r="D403" s="207"/>
      <c r="E403" s="211" t="str">
        <f t="shared" si="60"/>
        <v/>
      </c>
      <c r="F403" s="207"/>
      <c r="G403" s="211" t="str">
        <f t="shared" si="61"/>
        <v/>
      </c>
      <c r="H403" s="207"/>
      <c r="I403" s="211" t="str">
        <f t="shared" si="62"/>
        <v/>
      </c>
      <c r="J403" s="207"/>
      <c r="K403" s="211" t="str">
        <f t="shared" si="63"/>
        <v/>
      </c>
      <c r="L403" s="207"/>
      <c r="M403" s="211" t="str">
        <f t="shared" si="64"/>
        <v/>
      </c>
      <c r="N403" s="207"/>
      <c r="O403" s="211" t="str">
        <f t="shared" si="65"/>
        <v/>
      </c>
      <c r="P403" s="207"/>
      <c r="Q403" s="211" t="str">
        <f t="shared" si="66"/>
        <v/>
      </c>
      <c r="R403" s="207"/>
      <c r="S403" s="211" t="str">
        <f t="shared" si="67"/>
        <v/>
      </c>
      <c r="T403" s="272" t="str">
        <f t="shared" si="68"/>
        <v/>
      </c>
      <c r="U403" s="212" t="str">
        <f t="shared" si="69"/>
        <v/>
      </c>
    </row>
    <row r="404" spans="2:21" x14ac:dyDescent="0.25">
      <c r="B404" s="241" t="str">
        <f>IF(Contagem!B402=0,"",Contagem!B402)</f>
        <v/>
      </c>
      <c r="C404" s="242" t="str">
        <f>IF(Contagem!T402 &gt; 0,Contagem!T402,"")</f>
        <v/>
      </c>
      <c r="D404" s="207"/>
      <c r="E404" s="211" t="str">
        <f t="shared" si="60"/>
        <v/>
      </c>
      <c r="F404" s="207"/>
      <c r="G404" s="211" t="str">
        <f t="shared" si="61"/>
        <v/>
      </c>
      <c r="H404" s="207"/>
      <c r="I404" s="211" t="str">
        <f t="shared" si="62"/>
        <v/>
      </c>
      <c r="J404" s="207"/>
      <c r="K404" s="211" t="str">
        <f t="shared" si="63"/>
        <v/>
      </c>
      <c r="L404" s="207"/>
      <c r="M404" s="211" t="str">
        <f t="shared" si="64"/>
        <v/>
      </c>
      <c r="N404" s="207"/>
      <c r="O404" s="211" t="str">
        <f t="shared" si="65"/>
        <v/>
      </c>
      <c r="P404" s="207"/>
      <c r="Q404" s="211" t="str">
        <f t="shared" si="66"/>
        <v/>
      </c>
      <c r="R404" s="207"/>
      <c r="S404" s="211" t="str">
        <f t="shared" si="67"/>
        <v/>
      </c>
      <c r="T404" s="272" t="str">
        <f t="shared" si="68"/>
        <v/>
      </c>
      <c r="U404" s="212" t="str">
        <f t="shared" si="69"/>
        <v/>
      </c>
    </row>
    <row r="405" spans="2:21" x14ac:dyDescent="0.25">
      <c r="B405" s="241" t="str">
        <f>IF(Contagem!B403=0,"",Contagem!B403)</f>
        <v/>
      </c>
      <c r="C405" s="242" t="str">
        <f>IF(Contagem!T403 &gt; 0,Contagem!T403,"")</f>
        <v/>
      </c>
      <c r="D405" s="207"/>
      <c r="E405" s="211" t="str">
        <f t="shared" si="60"/>
        <v/>
      </c>
      <c r="F405" s="207"/>
      <c r="G405" s="211" t="str">
        <f t="shared" si="61"/>
        <v/>
      </c>
      <c r="H405" s="207"/>
      <c r="I405" s="211" t="str">
        <f t="shared" si="62"/>
        <v/>
      </c>
      <c r="J405" s="207"/>
      <c r="K405" s="211" t="str">
        <f t="shared" si="63"/>
        <v/>
      </c>
      <c r="L405" s="207"/>
      <c r="M405" s="211" t="str">
        <f t="shared" si="64"/>
        <v/>
      </c>
      <c r="N405" s="207"/>
      <c r="O405" s="211" t="str">
        <f t="shared" si="65"/>
        <v/>
      </c>
      <c r="P405" s="207"/>
      <c r="Q405" s="211" t="str">
        <f t="shared" si="66"/>
        <v/>
      </c>
      <c r="R405" s="207"/>
      <c r="S405" s="211" t="str">
        <f t="shared" si="67"/>
        <v/>
      </c>
      <c r="T405" s="272" t="str">
        <f t="shared" si="68"/>
        <v/>
      </c>
      <c r="U405" s="212" t="str">
        <f t="shared" si="69"/>
        <v/>
      </c>
    </row>
    <row r="406" spans="2:21" x14ac:dyDescent="0.25">
      <c r="B406" s="241" t="str">
        <f>IF(Contagem!B404=0,"",Contagem!B404)</f>
        <v/>
      </c>
      <c r="C406" s="242" t="str">
        <f>IF(Contagem!T404 &gt; 0,Contagem!T404,"")</f>
        <v/>
      </c>
      <c r="D406" s="207"/>
      <c r="E406" s="211" t="str">
        <f t="shared" si="60"/>
        <v/>
      </c>
      <c r="F406" s="207"/>
      <c r="G406" s="211" t="str">
        <f t="shared" si="61"/>
        <v/>
      </c>
      <c r="H406" s="207"/>
      <c r="I406" s="211" t="str">
        <f t="shared" si="62"/>
        <v/>
      </c>
      <c r="J406" s="207"/>
      <c r="K406" s="211" t="str">
        <f t="shared" si="63"/>
        <v/>
      </c>
      <c r="L406" s="207"/>
      <c r="M406" s="211" t="str">
        <f t="shared" si="64"/>
        <v/>
      </c>
      <c r="N406" s="207"/>
      <c r="O406" s="211" t="str">
        <f t="shared" si="65"/>
        <v/>
      </c>
      <c r="P406" s="207"/>
      <c r="Q406" s="211" t="str">
        <f t="shared" si="66"/>
        <v/>
      </c>
      <c r="R406" s="207"/>
      <c r="S406" s="211" t="str">
        <f t="shared" si="67"/>
        <v/>
      </c>
      <c r="T406" s="272" t="str">
        <f t="shared" si="68"/>
        <v/>
      </c>
      <c r="U406" s="212" t="str">
        <f t="shared" si="69"/>
        <v/>
      </c>
    </row>
    <row r="407" spans="2:21" x14ac:dyDescent="0.25">
      <c r="B407" s="241" t="str">
        <f>IF(Contagem!B405=0,"",Contagem!B405)</f>
        <v/>
      </c>
      <c r="C407" s="242" t="str">
        <f>IF(Contagem!T405 &gt; 0,Contagem!T405,"")</f>
        <v/>
      </c>
      <c r="D407" s="207"/>
      <c r="E407" s="211" t="str">
        <f t="shared" si="60"/>
        <v/>
      </c>
      <c r="F407" s="207"/>
      <c r="G407" s="211" t="str">
        <f t="shared" si="61"/>
        <v/>
      </c>
      <c r="H407" s="207"/>
      <c r="I407" s="211" t="str">
        <f t="shared" si="62"/>
        <v/>
      </c>
      <c r="J407" s="207"/>
      <c r="K407" s="211" t="str">
        <f t="shared" si="63"/>
        <v/>
      </c>
      <c r="L407" s="207"/>
      <c r="M407" s="211" t="str">
        <f t="shared" si="64"/>
        <v/>
      </c>
      <c r="N407" s="207"/>
      <c r="O407" s="211" t="str">
        <f t="shared" si="65"/>
        <v/>
      </c>
      <c r="P407" s="207"/>
      <c r="Q407" s="211" t="str">
        <f t="shared" si="66"/>
        <v/>
      </c>
      <c r="R407" s="207"/>
      <c r="S407" s="211" t="str">
        <f t="shared" si="67"/>
        <v/>
      </c>
      <c r="T407" s="272" t="str">
        <f t="shared" si="68"/>
        <v/>
      </c>
      <c r="U407" s="212" t="str">
        <f t="shared" si="69"/>
        <v/>
      </c>
    </row>
    <row r="408" spans="2:21" x14ac:dyDescent="0.25">
      <c r="B408" s="241" t="str">
        <f>IF(Contagem!B406=0,"",Contagem!B406)</f>
        <v/>
      </c>
      <c r="C408" s="242" t="str">
        <f>IF(Contagem!T406 &gt; 0,Contagem!T406,"")</f>
        <v/>
      </c>
      <c r="D408" s="207"/>
      <c r="E408" s="211" t="str">
        <f t="shared" si="60"/>
        <v/>
      </c>
      <c r="F408" s="207"/>
      <c r="G408" s="211" t="str">
        <f t="shared" si="61"/>
        <v/>
      </c>
      <c r="H408" s="207"/>
      <c r="I408" s="211" t="str">
        <f t="shared" si="62"/>
        <v/>
      </c>
      <c r="J408" s="207"/>
      <c r="K408" s="211" t="str">
        <f t="shared" si="63"/>
        <v/>
      </c>
      <c r="L408" s="207"/>
      <c r="M408" s="211" t="str">
        <f t="shared" si="64"/>
        <v/>
      </c>
      <c r="N408" s="207"/>
      <c r="O408" s="211" t="str">
        <f t="shared" si="65"/>
        <v/>
      </c>
      <c r="P408" s="207"/>
      <c r="Q408" s="211" t="str">
        <f t="shared" si="66"/>
        <v/>
      </c>
      <c r="R408" s="207"/>
      <c r="S408" s="211" t="str">
        <f t="shared" si="67"/>
        <v/>
      </c>
      <c r="T408" s="272" t="str">
        <f t="shared" si="68"/>
        <v/>
      </c>
      <c r="U408" s="212" t="str">
        <f t="shared" si="69"/>
        <v/>
      </c>
    </row>
    <row r="409" spans="2:21" x14ac:dyDescent="0.25">
      <c r="B409" s="241" t="str">
        <f>IF(Contagem!B407=0,"",Contagem!B407)</f>
        <v/>
      </c>
      <c r="C409" s="242" t="str">
        <f>IF(Contagem!T407 &gt; 0,Contagem!T407,"")</f>
        <v/>
      </c>
      <c r="D409" s="207"/>
      <c r="E409" s="211" t="str">
        <f t="shared" si="60"/>
        <v/>
      </c>
      <c r="F409" s="207"/>
      <c r="G409" s="211" t="str">
        <f t="shared" si="61"/>
        <v/>
      </c>
      <c r="H409" s="207"/>
      <c r="I409" s="211" t="str">
        <f t="shared" si="62"/>
        <v/>
      </c>
      <c r="J409" s="207"/>
      <c r="K409" s="211" t="str">
        <f t="shared" si="63"/>
        <v/>
      </c>
      <c r="L409" s="207"/>
      <c r="M409" s="211" t="str">
        <f t="shared" si="64"/>
        <v/>
      </c>
      <c r="N409" s="207"/>
      <c r="O409" s="211" t="str">
        <f t="shared" si="65"/>
        <v/>
      </c>
      <c r="P409" s="207"/>
      <c r="Q409" s="211" t="str">
        <f t="shared" si="66"/>
        <v/>
      </c>
      <c r="R409" s="207"/>
      <c r="S409" s="211" t="str">
        <f t="shared" si="67"/>
        <v/>
      </c>
      <c r="T409" s="272" t="str">
        <f t="shared" si="68"/>
        <v/>
      </c>
      <c r="U409" s="212" t="str">
        <f t="shared" si="69"/>
        <v/>
      </c>
    </row>
    <row r="410" spans="2:21" x14ac:dyDescent="0.25">
      <c r="B410" s="241" t="str">
        <f>IF(Contagem!B408=0,"",Contagem!B408)</f>
        <v/>
      </c>
      <c r="C410" s="242" t="str">
        <f>IF(Contagem!T408 &gt; 0,Contagem!T408,"")</f>
        <v/>
      </c>
      <c r="D410" s="207"/>
      <c r="E410" s="211" t="str">
        <f t="shared" si="60"/>
        <v/>
      </c>
      <c r="F410" s="207"/>
      <c r="G410" s="211" t="str">
        <f t="shared" si="61"/>
        <v/>
      </c>
      <c r="H410" s="207"/>
      <c r="I410" s="211" t="str">
        <f t="shared" si="62"/>
        <v/>
      </c>
      <c r="J410" s="207"/>
      <c r="K410" s="211" t="str">
        <f t="shared" si="63"/>
        <v/>
      </c>
      <c r="L410" s="207"/>
      <c r="M410" s="211" t="str">
        <f t="shared" si="64"/>
        <v/>
      </c>
      <c r="N410" s="207"/>
      <c r="O410" s="211" t="str">
        <f t="shared" si="65"/>
        <v/>
      </c>
      <c r="P410" s="207"/>
      <c r="Q410" s="211" t="str">
        <f t="shared" si="66"/>
        <v/>
      </c>
      <c r="R410" s="207"/>
      <c r="S410" s="211" t="str">
        <f t="shared" si="67"/>
        <v/>
      </c>
      <c r="T410" s="272" t="str">
        <f t="shared" si="68"/>
        <v/>
      </c>
      <c r="U410" s="212" t="str">
        <f t="shared" si="69"/>
        <v/>
      </c>
    </row>
    <row r="411" spans="2:21" x14ac:dyDescent="0.25">
      <c r="B411" s="241" t="str">
        <f>IF(Contagem!B409=0,"",Contagem!B409)</f>
        <v/>
      </c>
      <c r="C411" s="242" t="str">
        <f>IF(Contagem!T409 &gt; 0,Contagem!T409,"")</f>
        <v/>
      </c>
      <c r="D411" s="207"/>
      <c r="E411" s="211" t="str">
        <f t="shared" si="60"/>
        <v/>
      </c>
      <c r="F411" s="207"/>
      <c r="G411" s="211" t="str">
        <f t="shared" si="61"/>
        <v/>
      </c>
      <c r="H411" s="207"/>
      <c r="I411" s="211" t="str">
        <f t="shared" si="62"/>
        <v/>
      </c>
      <c r="J411" s="207"/>
      <c r="K411" s="211" t="str">
        <f t="shared" si="63"/>
        <v/>
      </c>
      <c r="L411" s="207"/>
      <c r="M411" s="211" t="str">
        <f t="shared" si="64"/>
        <v/>
      </c>
      <c r="N411" s="207"/>
      <c r="O411" s="211" t="str">
        <f t="shared" si="65"/>
        <v/>
      </c>
      <c r="P411" s="207"/>
      <c r="Q411" s="211" t="str">
        <f t="shared" si="66"/>
        <v/>
      </c>
      <c r="R411" s="207"/>
      <c r="S411" s="211" t="str">
        <f t="shared" si="67"/>
        <v/>
      </c>
      <c r="T411" s="272" t="str">
        <f t="shared" si="68"/>
        <v/>
      </c>
      <c r="U411" s="212" t="str">
        <f t="shared" si="69"/>
        <v/>
      </c>
    </row>
    <row r="412" spans="2:21" x14ac:dyDescent="0.25">
      <c r="B412" s="241" t="str">
        <f>IF(Contagem!B410=0,"",Contagem!B410)</f>
        <v/>
      </c>
      <c r="C412" s="242" t="str">
        <f>IF(Contagem!T410 &gt; 0,Contagem!T410,"")</f>
        <v/>
      </c>
      <c r="D412" s="207"/>
      <c r="E412" s="211" t="str">
        <f t="shared" si="60"/>
        <v/>
      </c>
      <c r="F412" s="207"/>
      <c r="G412" s="211" t="str">
        <f t="shared" si="61"/>
        <v/>
      </c>
      <c r="H412" s="207"/>
      <c r="I412" s="211" t="str">
        <f t="shared" si="62"/>
        <v/>
      </c>
      <c r="J412" s="207"/>
      <c r="K412" s="211" t="str">
        <f t="shared" si="63"/>
        <v/>
      </c>
      <c r="L412" s="207"/>
      <c r="M412" s="211" t="str">
        <f t="shared" si="64"/>
        <v/>
      </c>
      <c r="N412" s="207"/>
      <c r="O412" s="211" t="str">
        <f t="shared" si="65"/>
        <v/>
      </c>
      <c r="P412" s="207"/>
      <c r="Q412" s="211" t="str">
        <f t="shared" si="66"/>
        <v/>
      </c>
      <c r="R412" s="207"/>
      <c r="S412" s="211" t="str">
        <f t="shared" si="67"/>
        <v/>
      </c>
      <c r="T412" s="272" t="str">
        <f t="shared" si="68"/>
        <v/>
      </c>
      <c r="U412" s="212" t="str">
        <f t="shared" si="69"/>
        <v/>
      </c>
    </row>
    <row r="413" spans="2:21" x14ac:dyDescent="0.25">
      <c r="B413" s="241" t="str">
        <f>IF(Contagem!B411=0,"",Contagem!B411)</f>
        <v/>
      </c>
      <c r="C413" s="242" t="str">
        <f>IF(Contagem!T411 &gt; 0,Contagem!T411,"")</f>
        <v/>
      </c>
      <c r="D413" s="207"/>
      <c r="E413" s="211" t="str">
        <f t="shared" si="60"/>
        <v/>
      </c>
      <c r="F413" s="207"/>
      <c r="G413" s="211" t="str">
        <f t="shared" si="61"/>
        <v/>
      </c>
      <c r="H413" s="207"/>
      <c r="I413" s="211" t="str">
        <f t="shared" si="62"/>
        <v/>
      </c>
      <c r="J413" s="207"/>
      <c r="K413" s="211" t="str">
        <f t="shared" si="63"/>
        <v/>
      </c>
      <c r="L413" s="207"/>
      <c r="M413" s="211" t="str">
        <f t="shared" si="64"/>
        <v/>
      </c>
      <c r="N413" s="207"/>
      <c r="O413" s="211" t="str">
        <f t="shared" si="65"/>
        <v/>
      </c>
      <c r="P413" s="207"/>
      <c r="Q413" s="211" t="str">
        <f t="shared" si="66"/>
        <v/>
      </c>
      <c r="R413" s="207"/>
      <c r="S413" s="211" t="str">
        <f t="shared" si="67"/>
        <v/>
      </c>
      <c r="T413" s="272" t="str">
        <f t="shared" si="68"/>
        <v/>
      </c>
      <c r="U413" s="212" t="str">
        <f t="shared" si="69"/>
        <v/>
      </c>
    </row>
    <row r="414" spans="2:21" x14ac:dyDescent="0.25">
      <c r="B414" s="241" t="str">
        <f>IF(Contagem!B412=0,"",Contagem!B412)</f>
        <v/>
      </c>
      <c r="C414" s="242" t="str">
        <f>IF(Contagem!T412 &gt; 0,Contagem!T412,"")</f>
        <v/>
      </c>
      <c r="D414" s="207"/>
      <c r="E414" s="211" t="str">
        <f t="shared" si="60"/>
        <v/>
      </c>
      <c r="F414" s="207"/>
      <c r="G414" s="211" t="str">
        <f t="shared" si="61"/>
        <v/>
      </c>
      <c r="H414" s="207"/>
      <c r="I414" s="211" t="str">
        <f t="shared" si="62"/>
        <v/>
      </c>
      <c r="J414" s="207"/>
      <c r="K414" s="211" t="str">
        <f t="shared" si="63"/>
        <v/>
      </c>
      <c r="L414" s="207"/>
      <c r="M414" s="211" t="str">
        <f t="shared" si="64"/>
        <v/>
      </c>
      <c r="N414" s="207"/>
      <c r="O414" s="211" t="str">
        <f t="shared" si="65"/>
        <v/>
      </c>
      <c r="P414" s="207"/>
      <c r="Q414" s="211" t="str">
        <f t="shared" si="66"/>
        <v/>
      </c>
      <c r="R414" s="207"/>
      <c r="S414" s="211" t="str">
        <f t="shared" si="67"/>
        <v/>
      </c>
      <c r="T414" s="272" t="str">
        <f t="shared" si="68"/>
        <v/>
      </c>
      <c r="U414" s="212" t="str">
        <f t="shared" si="69"/>
        <v/>
      </c>
    </row>
    <row r="415" spans="2:21" x14ac:dyDescent="0.25">
      <c r="B415" s="241" t="str">
        <f>IF(Contagem!B413=0,"",Contagem!B413)</f>
        <v/>
      </c>
      <c r="C415" s="242" t="str">
        <f>IF(Contagem!T413 &gt; 0,Contagem!T413,"")</f>
        <v/>
      </c>
      <c r="D415" s="207"/>
      <c r="E415" s="211" t="str">
        <f t="shared" si="60"/>
        <v/>
      </c>
      <c r="F415" s="207"/>
      <c r="G415" s="211" t="str">
        <f t="shared" si="61"/>
        <v/>
      </c>
      <c r="H415" s="207"/>
      <c r="I415" s="211" t="str">
        <f t="shared" si="62"/>
        <v/>
      </c>
      <c r="J415" s="207"/>
      <c r="K415" s="211" t="str">
        <f t="shared" si="63"/>
        <v/>
      </c>
      <c r="L415" s="207"/>
      <c r="M415" s="211" t="str">
        <f t="shared" si="64"/>
        <v/>
      </c>
      <c r="N415" s="207"/>
      <c r="O415" s="211" t="str">
        <f t="shared" si="65"/>
        <v/>
      </c>
      <c r="P415" s="207"/>
      <c r="Q415" s="211" t="str">
        <f t="shared" si="66"/>
        <v/>
      </c>
      <c r="R415" s="207"/>
      <c r="S415" s="211" t="str">
        <f t="shared" si="67"/>
        <v/>
      </c>
      <c r="T415" s="272" t="str">
        <f t="shared" si="68"/>
        <v/>
      </c>
      <c r="U415" s="212" t="str">
        <f t="shared" si="69"/>
        <v/>
      </c>
    </row>
    <row r="416" spans="2:21" x14ac:dyDescent="0.25">
      <c r="B416" s="241" t="str">
        <f>IF(Contagem!B414=0,"",Contagem!B414)</f>
        <v/>
      </c>
      <c r="C416" s="242" t="str">
        <f>IF(Contagem!T414 &gt; 0,Contagem!T414,"")</f>
        <v/>
      </c>
      <c r="D416" s="207"/>
      <c r="E416" s="211" t="str">
        <f t="shared" si="60"/>
        <v/>
      </c>
      <c r="F416" s="207"/>
      <c r="G416" s="211" t="str">
        <f t="shared" si="61"/>
        <v/>
      </c>
      <c r="H416" s="207"/>
      <c r="I416" s="211" t="str">
        <f t="shared" si="62"/>
        <v/>
      </c>
      <c r="J416" s="207"/>
      <c r="K416" s="211" t="str">
        <f t="shared" si="63"/>
        <v/>
      </c>
      <c r="L416" s="207"/>
      <c r="M416" s="211" t="str">
        <f t="shared" si="64"/>
        <v/>
      </c>
      <c r="N416" s="207"/>
      <c r="O416" s="211" t="str">
        <f t="shared" si="65"/>
        <v/>
      </c>
      <c r="P416" s="207"/>
      <c r="Q416" s="211" t="str">
        <f t="shared" si="66"/>
        <v/>
      </c>
      <c r="R416" s="207"/>
      <c r="S416" s="211" t="str">
        <f t="shared" si="67"/>
        <v/>
      </c>
      <c r="T416" s="272" t="str">
        <f t="shared" si="68"/>
        <v/>
      </c>
      <c r="U416" s="212" t="str">
        <f t="shared" si="69"/>
        <v/>
      </c>
    </row>
    <row r="417" spans="2:21" x14ac:dyDescent="0.25">
      <c r="B417" s="241" t="str">
        <f>IF(Contagem!B415=0,"",Contagem!B415)</f>
        <v/>
      </c>
      <c r="C417" s="242" t="str">
        <f>IF(Contagem!T415 &gt; 0,Contagem!T415,"")</f>
        <v/>
      </c>
      <c r="D417" s="207"/>
      <c r="E417" s="211" t="str">
        <f t="shared" si="60"/>
        <v/>
      </c>
      <c r="F417" s="207"/>
      <c r="G417" s="211" t="str">
        <f t="shared" si="61"/>
        <v/>
      </c>
      <c r="H417" s="207"/>
      <c r="I417" s="211" t="str">
        <f t="shared" si="62"/>
        <v/>
      </c>
      <c r="J417" s="207"/>
      <c r="K417" s="211" t="str">
        <f t="shared" si="63"/>
        <v/>
      </c>
      <c r="L417" s="207"/>
      <c r="M417" s="211" t="str">
        <f t="shared" si="64"/>
        <v/>
      </c>
      <c r="N417" s="207"/>
      <c r="O417" s="211" t="str">
        <f t="shared" si="65"/>
        <v/>
      </c>
      <c r="P417" s="207"/>
      <c r="Q417" s="211" t="str">
        <f t="shared" si="66"/>
        <v/>
      </c>
      <c r="R417" s="207"/>
      <c r="S417" s="211" t="str">
        <f t="shared" si="67"/>
        <v/>
      </c>
      <c r="T417" s="272" t="str">
        <f t="shared" si="68"/>
        <v/>
      </c>
      <c r="U417" s="212" t="str">
        <f t="shared" si="69"/>
        <v/>
      </c>
    </row>
    <row r="418" spans="2:21" x14ac:dyDescent="0.25">
      <c r="B418" s="241" t="str">
        <f>IF(Contagem!B416=0,"",Contagem!B416)</f>
        <v/>
      </c>
      <c r="C418" s="242" t="str">
        <f>IF(Contagem!T416 &gt; 0,Contagem!T416,"")</f>
        <v/>
      </c>
      <c r="D418" s="207"/>
      <c r="E418" s="211" t="str">
        <f t="shared" si="60"/>
        <v/>
      </c>
      <c r="F418" s="207"/>
      <c r="G418" s="211" t="str">
        <f t="shared" si="61"/>
        <v/>
      </c>
      <c r="H418" s="207"/>
      <c r="I418" s="211" t="str">
        <f t="shared" si="62"/>
        <v/>
      </c>
      <c r="J418" s="207"/>
      <c r="K418" s="211" t="str">
        <f t="shared" si="63"/>
        <v/>
      </c>
      <c r="L418" s="207"/>
      <c r="M418" s="211" t="str">
        <f t="shared" si="64"/>
        <v/>
      </c>
      <c r="N418" s="207"/>
      <c r="O418" s="211" t="str">
        <f t="shared" si="65"/>
        <v/>
      </c>
      <c r="P418" s="207"/>
      <c r="Q418" s="211" t="str">
        <f t="shared" si="66"/>
        <v/>
      </c>
      <c r="R418" s="207"/>
      <c r="S418" s="211" t="str">
        <f t="shared" si="67"/>
        <v/>
      </c>
      <c r="T418" s="272" t="str">
        <f t="shared" si="68"/>
        <v/>
      </c>
      <c r="U418" s="212" t="str">
        <f t="shared" si="69"/>
        <v/>
      </c>
    </row>
    <row r="419" spans="2:21" x14ac:dyDescent="0.25">
      <c r="B419" s="241" t="str">
        <f>IF(Contagem!B417=0,"",Contagem!B417)</f>
        <v/>
      </c>
      <c r="C419" s="242" t="str">
        <f>IF(Contagem!T417 &gt; 0,Contagem!T417,"")</f>
        <v/>
      </c>
      <c r="D419" s="207"/>
      <c r="E419" s="211" t="str">
        <f t="shared" si="60"/>
        <v/>
      </c>
      <c r="F419" s="207"/>
      <c r="G419" s="211" t="str">
        <f t="shared" si="61"/>
        <v/>
      </c>
      <c r="H419" s="207"/>
      <c r="I419" s="211" t="str">
        <f t="shared" si="62"/>
        <v/>
      </c>
      <c r="J419" s="207"/>
      <c r="K419" s="211" t="str">
        <f t="shared" si="63"/>
        <v/>
      </c>
      <c r="L419" s="207"/>
      <c r="M419" s="211" t="str">
        <f t="shared" si="64"/>
        <v/>
      </c>
      <c r="N419" s="207"/>
      <c r="O419" s="211" t="str">
        <f t="shared" si="65"/>
        <v/>
      </c>
      <c r="P419" s="207"/>
      <c r="Q419" s="211" t="str">
        <f t="shared" si="66"/>
        <v/>
      </c>
      <c r="R419" s="207"/>
      <c r="S419" s="211" t="str">
        <f t="shared" si="67"/>
        <v/>
      </c>
      <c r="T419" s="272" t="str">
        <f t="shared" si="68"/>
        <v/>
      </c>
      <c r="U419" s="212" t="str">
        <f t="shared" si="69"/>
        <v/>
      </c>
    </row>
    <row r="420" spans="2:21" x14ac:dyDescent="0.25">
      <c r="B420" s="241" t="str">
        <f>IF(Contagem!B418=0,"",Contagem!B418)</f>
        <v/>
      </c>
      <c r="C420" s="242" t="str">
        <f>IF(Contagem!T418 &gt; 0,Contagem!T418,"")</f>
        <v/>
      </c>
      <c r="D420" s="207"/>
      <c r="E420" s="211" t="str">
        <f t="shared" si="60"/>
        <v/>
      </c>
      <c r="F420" s="207"/>
      <c r="G420" s="211" t="str">
        <f t="shared" si="61"/>
        <v/>
      </c>
      <c r="H420" s="207"/>
      <c r="I420" s="211" t="str">
        <f t="shared" si="62"/>
        <v/>
      </c>
      <c r="J420" s="207"/>
      <c r="K420" s="211" t="str">
        <f t="shared" si="63"/>
        <v/>
      </c>
      <c r="L420" s="207"/>
      <c r="M420" s="211" t="str">
        <f t="shared" si="64"/>
        <v/>
      </c>
      <c r="N420" s="207"/>
      <c r="O420" s="211" t="str">
        <f t="shared" si="65"/>
        <v/>
      </c>
      <c r="P420" s="207"/>
      <c r="Q420" s="211" t="str">
        <f t="shared" si="66"/>
        <v/>
      </c>
      <c r="R420" s="207"/>
      <c r="S420" s="211" t="str">
        <f t="shared" si="67"/>
        <v/>
      </c>
      <c r="T420" s="272" t="str">
        <f t="shared" si="68"/>
        <v/>
      </c>
      <c r="U420" s="212" t="str">
        <f t="shared" si="69"/>
        <v/>
      </c>
    </row>
    <row r="421" spans="2:21" x14ac:dyDescent="0.25">
      <c r="B421" s="241" t="str">
        <f>IF(Contagem!B419=0,"",Contagem!B419)</f>
        <v/>
      </c>
      <c r="C421" s="242" t="str">
        <f>IF(Contagem!T419 &gt; 0,Contagem!T419,"")</f>
        <v/>
      </c>
      <c r="D421" s="207"/>
      <c r="E421" s="211" t="str">
        <f t="shared" si="60"/>
        <v/>
      </c>
      <c r="F421" s="207"/>
      <c r="G421" s="211" t="str">
        <f t="shared" si="61"/>
        <v/>
      </c>
      <c r="H421" s="207"/>
      <c r="I421" s="211" t="str">
        <f t="shared" si="62"/>
        <v/>
      </c>
      <c r="J421" s="207"/>
      <c r="K421" s="211" t="str">
        <f t="shared" si="63"/>
        <v/>
      </c>
      <c r="L421" s="207"/>
      <c r="M421" s="211" t="str">
        <f t="shared" si="64"/>
        <v/>
      </c>
      <c r="N421" s="207"/>
      <c r="O421" s="211" t="str">
        <f t="shared" si="65"/>
        <v/>
      </c>
      <c r="P421" s="207"/>
      <c r="Q421" s="211" t="str">
        <f t="shared" si="66"/>
        <v/>
      </c>
      <c r="R421" s="207"/>
      <c r="S421" s="211" t="str">
        <f t="shared" si="67"/>
        <v/>
      </c>
      <c r="T421" s="272" t="str">
        <f t="shared" si="68"/>
        <v/>
      </c>
      <c r="U421" s="212" t="str">
        <f t="shared" si="69"/>
        <v/>
      </c>
    </row>
    <row r="422" spans="2:21" x14ac:dyDescent="0.25">
      <c r="B422" s="241" t="str">
        <f>IF(Contagem!B420=0,"",Contagem!B420)</f>
        <v/>
      </c>
      <c r="C422" s="242" t="str">
        <f>IF(Contagem!T420 &gt; 0,Contagem!T420,"")</f>
        <v/>
      </c>
      <c r="D422" s="207"/>
      <c r="E422" s="211" t="str">
        <f t="shared" si="60"/>
        <v/>
      </c>
      <c r="F422" s="207"/>
      <c r="G422" s="211" t="str">
        <f t="shared" si="61"/>
        <v/>
      </c>
      <c r="H422" s="207"/>
      <c r="I422" s="211" t="str">
        <f t="shared" si="62"/>
        <v/>
      </c>
      <c r="J422" s="207"/>
      <c r="K422" s="211" t="str">
        <f t="shared" si="63"/>
        <v/>
      </c>
      <c r="L422" s="207"/>
      <c r="M422" s="211" t="str">
        <f t="shared" si="64"/>
        <v/>
      </c>
      <c r="N422" s="207"/>
      <c r="O422" s="211" t="str">
        <f t="shared" si="65"/>
        <v/>
      </c>
      <c r="P422" s="207"/>
      <c r="Q422" s="211" t="str">
        <f t="shared" si="66"/>
        <v/>
      </c>
      <c r="R422" s="207"/>
      <c r="S422" s="211" t="str">
        <f t="shared" si="67"/>
        <v/>
      </c>
      <c r="T422" s="272" t="str">
        <f t="shared" si="68"/>
        <v/>
      </c>
      <c r="U422" s="212" t="str">
        <f t="shared" si="69"/>
        <v/>
      </c>
    </row>
    <row r="423" spans="2:21" x14ac:dyDescent="0.25">
      <c r="B423" s="241" t="str">
        <f>IF(Contagem!B421=0,"",Contagem!B421)</f>
        <v/>
      </c>
      <c r="C423" s="242" t="str">
        <f>IF(Contagem!T421 &gt; 0,Contagem!T421,"")</f>
        <v/>
      </c>
      <c r="D423" s="207"/>
      <c r="E423" s="211" t="str">
        <f t="shared" si="60"/>
        <v/>
      </c>
      <c r="F423" s="207"/>
      <c r="G423" s="211" t="str">
        <f t="shared" si="61"/>
        <v/>
      </c>
      <c r="H423" s="207"/>
      <c r="I423" s="211" t="str">
        <f t="shared" si="62"/>
        <v/>
      </c>
      <c r="J423" s="207"/>
      <c r="K423" s="211" t="str">
        <f t="shared" si="63"/>
        <v/>
      </c>
      <c r="L423" s="207"/>
      <c r="M423" s="211" t="str">
        <f t="shared" si="64"/>
        <v/>
      </c>
      <c r="N423" s="207"/>
      <c r="O423" s="211" t="str">
        <f t="shared" si="65"/>
        <v/>
      </c>
      <c r="P423" s="207"/>
      <c r="Q423" s="211" t="str">
        <f t="shared" si="66"/>
        <v/>
      </c>
      <c r="R423" s="207"/>
      <c r="S423" s="211" t="str">
        <f t="shared" si="67"/>
        <v/>
      </c>
      <c r="T423" s="272" t="str">
        <f t="shared" si="68"/>
        <v/>
      </c>
      <c r="U423" s="212" t="str">
        <f t="shared" si="69"/>
        <v/>
      </c>
    </row>
    <row r="424" spans="2:21" x14ac:dyDescent="0.25">
      <c r="B424" s="241" t="str">
        <f>IF(Contagem!B422=0,"",Contagem!B422)</f>
        <v/>
      </c>
      <c r="C424" s="242" t="str">
        <f>IF(Contagem!T422 &gt; 0,Contagem!T422,"")</f>
        <v/>
      </c>
      <c r="D424" s="207"/>
      <c r="E424" s="211" t="str">
        <f t="shared" si="60"/>
        <v/>
      </c>
      <c r="F424" s="207"/>
      <c r="G424" s="211" t="str">
        <f t="shared" si="61"/>
        <v/>
      </c>
      <c r="H424" s="207"/>
      <c r="I424" s="211" t="str">
        <f t="shared" si="62"/>
        <v/>
      </c>
      <c r="J424" s="207"/>
      <c r="K424" s="211" t="str">
        <f t="shared" si="63"/>
        <v/>
      </c>
      <c r="L424" s="207"/>
      <c r="M424" s="211" t="str">
        <f t="shared" si="64"/>
        <v/>
      </c>
      <c r="N424" s="207"/>
      <c r="O424" s="211" t="str">
        <f t="shared" si="65"/>
        <v/>
      </c>
      <c r="P424" s="207"/>
      <c r="Q424" s="211" t="str">
        <f t="shared" si="66"/>
        <v/>
      </c>
      <c r="R424" s="207"/>
      <c r="S424" s="211" t="str">
        <f t="shared" si="67"/>
        <v/>
      </c>
      <c r="T424" s="272" t="str">
        <f t="shared" si="68"/>
        <v/>
      </c>
      <c r="U424" s="212" t="str">
        <f t="shared" si="69"/>
        <v/>
      </c>
    </row>
    <row r="425" spans="2:21" x14ac:dyDescent="0.25">
      <c r="B425" s="241" t="str">
        <f>IF(Contagem!B423=0,"",Contagem!B423)</f>
        <v/>
      </c>
      <c r="C425" s="242" t="str">
        <f>IF(Contagem!T423 &gt; 0,Contagem!T423,"")</f>
        <v/>
      </c>
      <c r="D425" s="207"/>
      <c r="E425" s="211" t="str">
        <f t="shared" si="60"/>
        <v/>
      </c>
      <c r="F425" s="207"/>
      <c r="G425" s="211" t="str">
        <f t="shared" si="61"/>
        <v/>
      </c>
      <c r="H425" s="207"/>
      <c r="I425" s="211" t="str">
        <f t="shared" si="62"/>
        <v/>
      </c>
      <c r="J425" s="207"/>
      <c r="K425" s="211" t="str">
        <f t="shared" si="63"/>
        <v/>
      </c>
      <c r="L425" s="207"/>
      <c r="M425" s="211" t="str">
        <f t="shared" si="64"/>
        <v/>
      </c>
      <c r="N425" s="207"/>
      <c r="O425" s="211" t="str">
        <f t="shared" si="65"/>
        <v/>
      </c>
      <c r="P425" s="207"/>
      <c r="Q425" s="211" t="str">
        <f t="shared" si="66"/>
        <v/>
      </c>
      <c r="R425" s="207"/>
      <c r="S425" s="211" t="str">
        <f t="shared" si="67"/>
        <v/>
      </c>
      <c r="T425" s="272" t="str">
        <f t="shared" si="68"/>
        <v/>
      </c>
      <c r="U425" s="212" t="str">
        <f t="shared" si="69"/>
        <v/>
      </c>
    </row>
    <row r="426" spans="2:21" x14ac:dyDescent="0.25">
      <c r="B426" s="241" t="str">
        <f>IF(Contagem!B424=0,"",Contagem!B424)</f>
        <v/>
      </c>
      <c r="C426" s="242" t="str">
        <f>IF(Contagem!T424 &gt; 0,Contagem!T424,"")</f>
        <v/>
      </c>
      <c r="D426" s="207"/>
      <c r="E426" s="211" t="str">
        <f t="shared" si="60"/>
        <v/>
      </c>
      <c r="F426" s="207"/>
      <c r="G426" s="211" t="str">
        <f t="shared" si="61"/>
        <v/>
      </c>
      <c r="H426" s="207"/>
      <c r="I426" s="211" t="str">
        <f t="shared" si="62"/>
        <v/>
      </c>
      <c r="J426" s="207"/>
      <c r="K426" s="211" t="str">
        <f t="shared" si="63"/>
        <v/>
      </c>
      <c r="L426" s="207"/>
      <c r="M426" s="211" t="str">
        <f t="shared" si="64"/>
        <v/>
      </c>
      <c r="N426" s="207"/>
      <c r="O426" s="211" t="str">
        <f t="shared" si="65"/>
        <v/>
      </c>
      <c r="P426" s="207"/>
      <c r="Q426" s="211" t="str">
        <f t="shared" si="66"/>
        <v/>
      </c>
      <c r="R426" s="207"/>
      <c r="S426" s="211" t="str">
        <f t="shared" si="67"/>
        <v/>
      </c>
      <c r="T426" s="272" t="str">
        <f t="shared" si="68"/>
        <v/>
      </c>
      <c r="U426" s="212" t="str">
        <f t="shared" si="69"/>
        <v/>
      </c>
    </row>
    <row r="427" spans="2:21" x14ac:dyDescent="0.25">
      <c r="B427" s="241" t="str">
        <f>IF(Contagem!B425=0,"",Contagem!B425)</f>
        <v/>
      </c>
      <c r="C427" s="242" t="str">
        <f>IF(Contagem!T425 &gt; 0,Contagem!T425,"")</f>
        <v/>
      </c>
      <c r="D427" s="207"/>
      <c r="E427" s="211" t="str">
        <f t="shared" si="60"/>
        <v/>
      </c>
      <c r="F427" s="207"/>
      <c r="G427" s="211" t="str">
        <f t="shared" si="61"/>
        <v/>
      </c>
      <c r="H427" s="207"/>
      <c r="I427" s="211" t="str">
        <f t="shared" si="62"/>
        <v/>
      </c>
      <c r="J427" s="207"/>
      <c r="K427" s="211" t="str">
        <f t="shared" si="63"/>
        <v/>
      </c>
      <c r="L427" s="207"/>
      <c r="M427" s="211" t="str">
        <f t="shared" si="64"/>
        <v/>
      </c>
      <c r="N427" s="207"/>
      <c r="O427" s="211" t="str">
        <f t="shared" si="65"/>
        <v/>
      </c>
      <c r="P427" s="207"/>
      <c r="Q427" s="211" t="str">
        <f t="shared" si="66"/>
        <v/>
      </c>
      <c r="R427" s="207"/>
      <c r="S427" s="211" t="str">
        <f t="shared" si="67"/>
        <v/>
      </c>
      <c r="T427" s="272" t="str">
        <f t="shared" si="68"/>
        <v/>
      </c>
      <c r="U427" s="212" t="str">
        <f t="shared" si="69"/>
        <v/>
      </c>
    </row>
    <row r="428" spans="2:21" x14ac:dyDescent="0.25">
      <c r="B428" s="241" t="str">
        <f>IF(Contagem!B426=0,"",Contagem!B426)</f>
        <v/>
      </c>
      <c r="C428" s="242" t="str">
        <f>IF(Contagem!T426 &gt; 0,Contagem!T426,"")</f>
        <v/>
      </c>
      <c r="D428" s="207"/>
      <c r="E428" s="211" t="str">
        <f t="shared" si="60"/>
        <v/>
      </c>
      <c r="F428" s="207"/>
      <c r="G428" s="211" t="str">
        <f t="shared" si="61"/>
        <v/>
      </c>
      <c r="H428" s="207"/>
      <c r="I428" s="211" t="str">
        <f t="shared" si="62"/>
        <v/>
      </c>
      <c r="J428" s="207"/>
      <c r="K428" s="211" t="str">
        <f t="shared" si="63"/>
        <v/>
      </c>
      <c r="L428" s="207"/>
      <c r="M428" s="211" t="str">
        <f t="shared" si="64"/>
        <v/>
      </c>
      <c r="N428" s="207"/>
      <c r="O428" s="211" t="str">
        <f t="shared" si="65"/>
        <v/>
      </c>
      <c r="P428" s="207"/>
      <c r="Q428" s="211" t="str">
        <f t="shared" si="66"/>
        <v/>
      </c>
      <c r="R428" s="207"/>
      <c r="S428" s="211" t="str">
        <f t="shared" si="67"/>
        <v/>
      </c>
      <c r="T428" s="272" t="str">
        <f t="shared" si="68"/>
        <v/>
      </c>
      <c r="U428" s="212" t="str">
        <f t="shared" si="69"/>
        <v/>
      </c>
    </row>
    <row r="429" spans="2:21" x14ac:dyDescent="0.25">
      <c r="B429" s="241" t="str">
        <f>IF(Contagem!B427=0,"",Contagem!B427)</f>
        <v/>
      </c>
      <c r="C429" s="242" t="str">
        <f>IF(Contagem!T427 &gt; 0,Contagem!T427,"")</f>
        <v/>
      </c>
      <c r="D429" s="207"/>
      <c r="E429" s="211" t="str">
        <f t="shared" si="60"/>
        <v/>
      </c>
      <c r="F429" s="207"/>
      <c r="G429" s="211" t="str">
        <f t="shared" si="61"/>
        <v/>
      </c>
      <c r="H429" s="207"/>
      <c r="I429" s="211" t="str">
        <f t="shared" si="62"/>
        <v/>
      </c>
      <c r="J429" s="207"/>
      <c r="K429" s="211" t="str">
        <f t="shared" si="63"/>
        <v/>
      </c>
      <c r="L429" s="207"/>
      <c r="M429" s="211" t="str">
        <f t="shared" si="64"/>
        <v/>
      </c>
      <c r="N429" s="207"/>
      <c r="O429" s="211" t="str">
        <f t="shared" si="65"/>
        <v/>
      </c>
      <c r="P429" s="207"/>
      <c r="Q429" s="211" t="str">
        <f t="shared" si="66"/>
        <v/>
      </c>
      <c r="R429" s="207"/>
      <c r="S429" s="211" t="str">
        <f t="shared" si="67"/>
        <v/>
      </c>
      <c r="T429" s="272" t="str">
        <f t="shared" si="68"/>
        <v/>
      </c>
      <c r="U429" s="212" t="str">
        <f t="shared" si="69"/>
        <v/>
      </c>
    </row>
    <row r="430" spans="2:21" x14ac:dyDescent="0.25">
      <c r="B430" s="241" t="str">
        <f>IF(Contagem!B428=0,"",Contagem!B428)</f>
        <v/>
      </c>
      <c r="C430" s="242" t="str">
        <f>IF(Contagem!T428 &gt; 0,Contagem!T428,"")</f>
        <v/>
      </c>
      <c r="D430" s="207"/>
      <c r="E430" s="211" t="str">
        <f t="shared" si="60"/>
        <v/>
      </c>
      <c r="F430" s="207"/>
      <c r="G430" s="211" t="str">
        <f t="shared" si="61"/>
        <v/>
      </c>
      <c r="H430" s="207"/>
      <c r="I430" s="211" t="str">
        <f t="shared" si="62"/>
        <v/>
      </c>
      <c r="J430" s="207"/>
      <c r="K430" s="211" t="str">
        <f t="shared" si="63"/>
        <v/>
      </c>
      <c r="L430" s="207"/>
      <c r="M430" s="211" t="str">
        <f t="shared" si="64"/>
        <v/>
      </c>
      <c r="N430" s="207"/>
      <c r="O430" s="211" t="str">
        <f t="shared" si="65"/>
        <v/>
      </c>
      <c r="P430" s="207"/>
      <c r="Q430" s="211" t="str">
        <f t="shared" si="66"/>
        <v/>
      </c>
      <c r="R430" s="207"/>
      <c r="S430" s="211" t="str">
        <f t="shared" si="67"/>
        <v/>
      </c>
      <c r="T430" s="272" t="str">
        <f t="shared" si="68"/>
        <v/>
      </c>
      <c r="U430" s="212" t="str">
        <f t="shared" si="69"/>
        <v/>
      </c>
    </row>
    <row r="431" spans="2:21" x14ac:dyDescent="0.25">
      <c r="B431" s="241" t="str">
        <f>IF(Contagem!B429=0,"",Contagem!B429)</f>
        <v/>
      </c>
      <c r="C431" s="242" t="str">
        <f>IF(Contagem!T429 &gt; 0,Contagem!T429,"")</f>
        <v/>
      </c>
      <c r="D431" s="207"/>
      <c r="E431" s="211" t="str">
        <f t="shared" si="60"/>
        <v/>
      </c>
      <c r="F431" s="207"/>
      <c r="G431" s="211" t="str">
        <f t="shared" si="61"/>
        <v/>
      </c>
      <c r="H431" s="207"/>
      <c r="I431" s="211" t="str">
        <f t="shared" si="62"/>
        <v/>
      </c>
      <c r="J431" s="207"/>
      <c r="K431" s="211" t="str">
        <f t="shared" si="63"/>
        <v/>
      </c>
      <c r="L431" s="207"/>
      <c r="M431" s="211" t="str">
        <f t="shared" si="64"/>
        <v/>
      </c>
      <c r="N431" s="207"/>
      <c r="O431" s="211" t="str">
        <f t="shared" si="65"/>
        <v/>
      </c>
      <c r="P431" s="207"/>
      <c r="Q431" s="211" t="str">
        <f t="shared" si="66"/>
        <v/>
      </c>
      <c r="R431" s="207"/>
      <c r="S431" s="211" t="str">
        <f t="shared" si="67"/>
        <v/>
      </c>
      <c r="T431" s="272" t="str">
        <f t="shared" si="68"/>
        <v/>
      </c>
      <c r="U431" s="212" t="str">
        <f t="shared" si="69"/>
        <v/>
      </c>
    </row>
    <row r="432" spans="2:21" x14ac:dyDescent="0.25">
      <c r="B432" s="241" t="str">
        <f>IF(Contagem!B430=0,"",Contagem!B430)</f>
        <v/>
      </c>
      <c r="C432" s="242" t="str">
        <f>IF(Contagem!T430 &gt; 0,Contagem!T430,"")</f>
        <v/>
      </c>
      <c r="D432" s="207"/>
      <c r="E432" s="211" t="str">
        <f t="shared" si="60"/>
        <v/>
      </c>
      <c r="F432" s="207"/>
      <c r="G432" s="211" t="str">
        <f t="shared" si="61"/>
        <v/>
      </c>
      <c r="H432" s="207"/>
      <c r="I432" s="211" t="str">
        <f t="shared" si="62"/>
        <v/>
      </c>
      <c r="J432" s="207"/>
      <c r="K432" s="211" t="str">
        <f t="shared" si="63"/>
        <v/>
      </c>
      <c r="L432" s="207"/>
      <c r="M432" s="211" t="str">
        <f t="shared" si="64"/>
        <v/>
      </c>
      <c r="N432" s="207"/>
      <c r="O432" s="211" t="str">
        <f t="shared" si="65"/>
        <v/>
      </c>
      <c r="P432" s="207"/>
      <c r="Q432" s="211" t="str">
        <f t="shared" si="66"/>
        <v/>
      </c>
      <c r="R432" s="207"/>
      <c r="S432" s="211" t="str">
        <f t="shared" si="67"/>
        <v/>
      </c>
      <c r="T432" s="272" t="str">
        <f t="shared" si="68"/>
        <v/>
      </c>
      <c r="U432" s="212" t="str">
        <f t="shared" si="69"/>
        <v/>
      </c>
    </row>
    <row r="433" spans="2:21" x14ac:dyDescent="0.25">
      <c r="B433" s="241" t="str">
        <f>IF(Contagem!B431=0,"",Contagem!B431)</f>
        <v/>
      </c>
      <c r="C433" s="242" t="str">
        <f>IF(Contagem!T431 &gt; 0,Contagem!T431,"")</f>
        <v/>
      </c>
      <c r="D433" s="207"/>
      <c r="E433" s="211" t="str">
        <f t="shared" si="60"/>
        <v/>
      </c>
      <c r="F433" s="207"/>
      <c r="G433" s="211" t="str">
        <f t="shared" si="61"/>
        <v/>
      </c>
      <c r="H433" s="207"/>
      <c r="I433" s="211" t="str">
        <f t="shared" si="62"/>
        <v/>
      </c>
      <c r="J433" s="207"/>
      <c r="K433" s="211" t="str">
        <f t="shared" si="63"/>
        <v/>
      </c>
      <c r="L433" s="207"/>
      <c r="M433" s="211" t="str">
        <f t="shared" si="64"/>
        <v/>
      </c>
      <c r="N433" s="207"/>
      <c r="O433" s="211" t="str">
        <f t="shared" si="65"/>
        <v/>
      </c>
      <c r="P433" s="207"/>
      <c r="Q433" s="211" t="str">
        <f t="shared" si="66"/>
        <v/>
      </c>
      <c r="R433" s="207"/>
      <c r="S433" s="211" t="str">
        <f t="shared" si="67"/>
        <v/>
      </c>
      <c r="T433" s="272" t="str">
        <f t="shared" si="68"/>
        <v/>
      </c>
      <c r="U433" s="212" t="str">
        <f t="shared" si="69"/>
        <v/>
      </c>
    </row>
    <row r="434" spans="2:21" x14ac:dyDescent="0.25">
      <c r="B434" s="241" t="str">
        <f>IF(Contagem!B432=0,"",Contagem!B432)</f>
        <v/>
      </c>
      <c r="C434" s="242" t="str">
        <f>IF(Contagem!T432 &gt; 0,Contagem!T432,"")</f>
        <v/>
      </c>
      <c r="D434" s="207"/>
      <c r="E434" s="211" t="str">
        <f t="shared" si="60"/>
        <v/>
      </c>
      <c r="F434" s="207"/>
      <c r="G434" s="211" t="str">
        <f t="shared" si="61"/>
        <v/>
      </c>
      <c r="H434" s="207"/>
      <c r="I434" s="211" t="str">
        <f t="shared" si="62"/>
        <v/>
      </c>
      <c r="J434" s="207"/>
      <c r="K434" s="211" t="str">
        <f t="shared" si="63"/>
        <v/>
      </c>
      <c r="L434" s="207"/>
      <c r="M434" s="211" t="str">
        <f t="shared" si="64"/>
        <v/>
      </c>
      <c r="N434" s="207"/>
      <c r="O434" s="211" t="str">
        <f t="shared" si="65"/>
        <v/>
      </c>
      <c r="P434" s="207"/>
      <c r="Q434" s="211" t="str">
        <f t="shared" si="66"/>
        <v/>
      </c>
      <c r="R434" s="207"/>
      <c r="S434" s="211" t="str">
        <f t="shared" si="67"/>
        <v/>
      </c>
      <c r="T434" s="272" t="str">
        <f t="shared" si="68"/>
        <v/>
      </c>
      <c r="U434" s="212" t="str">
        <f t="shared" si="69"/>
        <v/>
      </c>
    </row>
    <row r="435" spans="2:21" x14ac:dyDescent="0.25">
      <c r="B435" s="241" t="str">
        <f>IF(Contagem!B433=0,"",Contagem!B433)</f>
        <v/>
      </c>
      <c r="C435" s="242" t="str">
        <f>IF(Contagem!T433 &gt; 0,Contagem!T433,"")</f>
        <v/>
      </c>
      <c r="D435" s="207"/>
      <c r="E435" s="211" t="str">
        <f t="shared" si="60"/>
        <v/>
      </c>
      <c r="F435" s="207"/>
      <c r="G435" s="211" t="str">
        <f t="shared" si="61"/>
        <v/>
      </c>
      <c r="H435" s="207"/>
      <c r="I435" s="211" t="str">
        <f t="shared" si="62"/>
        <v/>
      </c>
      <c r="J435" s="207"/>
      <c r="K435" s="211" t="str">
        <f t="shared" si="63"/>
        <v/>
      </c>
      <c r="L435" s="207"/>
      <c r="M435" s="211" t="str">
        <f t="shared" si="64"/>
        <v/>
      </c>
      <c r="N435" s="207"/>
      <c r="O435" s="211" t="str">
        <f t="shared" si="65"/>
        <v/>
      </c>
      <c r="P435" s="207"/>
      <c r="Q435" s="211" t="str">
        <f t="shared" si="66"/>
        <v/>
      </c>
      <c r="R435" s="207"/>
      <c r="S435" s="211" t="str">
        <f t="shared" si="67"/>
        <v/>
      </c>
      <c r="T435" s="272" t="str">
        <f t="shared" si="68"/>
        <v/>
      </c>
      <c r="U435" s="212" t="str">
        <f t="shared" si="69"/>
        <v/>
      </c>
    </row>
    <row r="436" spans="2:21" x14ac:dyDescent="0.25">
      <c r="B436" s="241" t="str">
        <f>IF(Contagem!B434=0,"",Contagem!B434)</f>
        <v/>
      </c>
      <c r="C436" s="242" t="str">
        <f>IF(Contagem!T434 &gt; 0,Contagem!T434,"")</f>
        <v/>
      </c>
      <c r="D436" s="207"/>
      <c r="E436" s="211" t="str">
        <f t="shared" si="60"/>
        <v/>
      </c>
      <c r="F436" s="207"/>
      <c r="G436" s="211" t="str">
        <f t="shared" si="61"/>
        <v/>
      </c>
      <c r="H436" s="207"/>
      <c r="I436" s="211" t="str">
        <f t="shared" si="62"/>
        <v/>
      </c>
      <c r="J436" s="207"/>
      <c r="K436" s="211" t="str">
        <f t="shared" si="63"/>
        <v/>
      </c>
      <c r="L436" s="207"/>
      <c r="M436" s="211" t="str">
        <f t="shared" si="64"/>
        <v/>
      </c>
      <c r="N436" s="207"/>
      <c r="O436" s="211" t="str">
        <f t="shared" si="65"/>
        <v/>
      </c>
      <c r="P436" s="207"/>
      <c r="Q436" s="211" t="str">
        <f t="shared" si="66"/>
        <v/>
      </c>
      <c r="R436" s="207"/>
      <c r="S436" s="211" t="str">
        <f t="shared" si="67"/>
        <v/>
      </c>
      <c r="T436" s="272" t="str">
        <f t="shared" si="68"/>
        <v/>
      </c>
      <c r="U436" s="212" t="str">
        <f t="shared" si="69"/>
        <v/>
      </c>
    </row>
    <row r="437" spans="2:21" x14ac:dyDescent="0.25">
      <c r="B437" s="241" t="str">
        <f>IF(Contagem!B435=0,"",Contagem!B435)</f>
        <v/>
      </c>
      <c r="C437" s="242" t="str">
        <f>IF(Contagem!T435 &gt; 0,Contagem!T435,"")</f>
        <v/>
      </c>
      <c r="D437" s="207"/>
      <c r="E437" s="211" t="str">
        <f t="shared" si="60"/>
        <v/>
      </c>
      <c r="F437" s="207"/>
      <c r="G437" s="211" t="str">
        <f t="shared" si="61"/>
        <v/>
      </c>
      <c r="H437" s="207"/>
      <c r="I437" s="211" t="str">
        <f t="shared" si="62"/>
        <v/>
      </c>
      <c r="J437" s="207"/>
      <c r="K437" s="211" t="str">
        <f t="shared" si="63"/>
        <v/>
      </c>
      <c r="L437" s="207"/>
      <c r="M437" s="211" t="str">
        <f t="shared" si="64"/>
        <v/>
      </c>
      <c r="N437" s="207"/>
      <c r="O437" s="211" t="str">
        <f t="shared" si="65"/>
        <v/>
      </c>
      <c r="P437" s="207"/>
      <c r="Q437" s="211" t="str">
        <f t="shared" si="66"/>
        <v/>
      </c>
      <c r="R437" s="207"/>
      <c r="S437" s="211" t="str">
        <f t="shared" si="67"/>
        <v/>
      </c>
      <c r="T437" s="272" t="str">
        <f t="shared" si="68"/>
        <v/>
      </c>
      <c r="U437" s="212" t="str">
        <f t="shared" si="69"/>
        <v/>
      </c>
    </row>
    <row r="438" spans="2:21" x14ac:dyDescent="0.25">
      <c r="B438" s="241" t="str">
        <f>IF(Contagem!B436=0,"",Contagem!B436)</f>
        <v/>
      </c>
      <c r="C438" s="242" t="str">
        <f>IF(Contagem!T436 &gt; 0,Contagem!T436,"")</f>
        <v/>
      </c>
      <c r="D438" s="207"/>
      <c r="E438" s="211" t="str">
        <f t="shared" si="60"/>
        <v/>
      </c>
      <c r="F438" s="207"/>
      <c r="G438" s="211" t="str">
        <f t="shared" si="61"/>
        <v/>
      </c>
      <c r="H438" s="207"/>
      <c r="I438" s="211" t="str">
        <f t="shared" si="62"/>
        <v/>
      </c>
      <c r="J438" s="207"/>
      <c r="K438" s="211" t="str">
        <f t="shared" si="63"/>
        <v/>
      </c>
      <c r="L438" s="207"/>
      <c r="M438" s="211" t="str">
        <f t="shared" si="64"/>
        <v/>
      </c>
      <c r="N438" s="207"/>
      <c r="O438" s="211" t="str">
        <f t="shared" si="65"/>
        <v/>
      </c>
      <c r="P438" s="207"/>
      <c r="Q438" s="211" t="str">
        <f t="shared" si="66"/>
        <v/>
      </c>
      <c r="R438" s="207"/>
      <c r="S438" s="211" t="str">
        <f t="shared" si="67"/>
        <v/>
      </c>
      <c r="T438" s="272" t="str">
        <f t="shared" si="68"/>
        <v/>
      </c>
      <c r="U438" s="212" t="str">
        <f t="shared" si="69"/>
        <v/>
      </c>
    </row>
    <row r="439" spans="2:21" x14ac:dyDescent="0.25">
      <c r="B439" s="241" t="str">
        <f>IF(Contagem!B437=0,"",Contagem!B437)</f>
        <v/>
      </c>
      <c r="C439" s="242" t="str">
        <f>IF(Contagem!T437 &gt; 0,Contagem!T437,"")</f>
        <v/>
      </c>
      <c r="D439" s="207"/>
      <c r="E439" s="211" t="str">
        <f t="shared" si="60"/>
        <v/>
      </c>
      <c r="F439" s="207"/>
      <c r="G439" s="211" t="str">
        <f t="shared" si="61"/>
        <v/>
      </c>
      <c r="H439" s="207"/>
      <c r="I439" s="211" t="str">
        <f t="shared" si="62"/>
        <v/>
      </c>
      <c r="J439" s="207"/>
      <c r="K439" s="211" t="str">
        <f t="shared" si="63"/>
        <v/>
      </c>
      <c r="L439" s="207"/>
      <c r="M439" s="211" t="str">
        <f t="shared" si="64"/>
        <v/>
      </c>
      <c r="N439" s="207"/>
      <c r="O439" s="211" t="str">
        <f t="shared" si="65"/>
        <v/>
      </c>
      <c r="P439" s="207"/>
      <c r="Q439" s="211" t="str">
        <f t="shared" si="66"/>
        <v/>
      </c>
      <c r="R439" s="207"/>
      <c r="S439" s="211" t="str">
        <f t="shared" si="67"/>
        <v/>
      </c>
      <c r="T439" s="272" t="str">
        <f t="shared" si="68"/>
        <v/>
      </c>
      <c r="U439" s="212" t="str">
        <f t="shared" si="69"/>
        <v/>
      </c>
    </row>
    <row r="440" spans="2:21" x14ac:dyDescent="0.25">
      <c r="B440" s="241" t="str">
        <f>IF(Contagem!B438=0,"",Contagem!B438)</f>
        <v/>
      </c>
      <c r="C440" s="242" t="str">
        <f>IF(Contagem!T438 &gt; 0,Contagem!T438,"")</f>
        <v/>
      </c>
      <c r="D440" s="207"/>
      <c r="E440" s="211" t="str">
        <f t="shared" si="60"/>
        <v/>
      </c>
      <c r="F440" s="207"/>
      <c r="G440" s="211" t="str">
        <f t="shared" si="61"/>
        <v/>
      </c>
      <c r="H440" s="207"/>
      <c r="I440" s="211" t="str">
        <f t="shared" si="62"/>
        <v/>
      </c>
      <c r="J440" s="207"/>
      <c r="K440" s="211" t="str">
        <f t="shared" si="63"/>
        <v/>
      </c>
      <c r="L440" s="207"/>
      <c r="M440" s="211" t="str">
        <f t="shared" si="64"/>
        <v/>
      </c>
      <c r="N440" s="207"/>
      <c r="O440" s="211" t="str">
        <f t="shared" si="65"/>
        <v/>
      </c>
      <c r="P440" s="207"/>
      <c r="Q440" s="211" t="str">
        <f t="shared" si="66"/>
        <v/>
      </c>
      <c r="R440" s="207"/>
      <c r="S440" s="211" t="str">
        <f t="shared" si="67"/>
        <v/>
      </c>
      <c r="T440" s="272" t="str">
        <f t="shared" si="68"/>
        <v/>
      </c>
      <c r="U440" s="212" t="str">
        <f t="shared" si="69"/>
        <v/>
      </c>
    </row>
    <row r="441" spans="2:21" x14ac:dyDescent="0.25">
      <c r="B441" s="241" t="str">
        <f>IF(Contagem!B439=0,"",Contagem!B439)</f>
        <v/>
      </c>
      <c r="C441" s="242" t="str">
        <f>IF(Contagem!T439 &gt; 0,Contagem!T439,"")</f>
        <v/>
      </c>
      <c r="D441" s="207"/>
      <c r="E441" s="211" t="str">
        <f t="shared" si="60"/>
        <v/>
      </c>
      <c r="F441" s="207"/>
      <c r="G441" s="211" t="str">
        <f t="shared" si="61"/>
        <v/>
      </c>
      <c r="H441" s="207"/>
      <c r="I441" s="211" t="str">
        <f t="shared" si="62"/>
        <v/>
      </c>
      <c r="J441" s="207"/>
      <c r="K441" s="211" t="str">
        <f t="shared" si="63"/>
        <v/>
      </c>
      <c r="L441" s="207"/>
      <c r="M441" s="211" t="str">
        <f t="shared" si="64"/>
        <v/>
      </c>
      <c r="N441" s="207"/>
      <c r="O441" s="211" t="str">
        <f t="shared" si="65"/>
        <v/>
      </c>
      <c r="P441" s="207"/>
      <c r="Q441" s="211" t="str">
        <f t="shared" si="66"/>
        <v/>
      </c>
      <c r="R441" s="207"/>
      <c r="S441" s="211" t="str">
        <f t="shared" si="67"/>
        <v/>
      </c>
      <c r="T441" s="272" t="str">
        <f t="shared" si="68"/>
        <v/>
      </c>
      <c r="U441" s="212" t="str">
        <f t="shared" si="69"/>
        <v/>
      </c>
    </row>
    <row r="442" spans="2:21" x14ac:dyDescent="0.25">
      <c r="B442" s="241" t="str">
        <f>IF(Contagem!B440=0,"",Contagem!B440)</f>
        <v/>
      </c>
      <c r="C442" s="242" t="str">
        <f>IF(Contagem!T440 &gt; 0,Contagem!T440,"")</f>
        <v/>
      </c>
      <c r="D442" s="207"/>
      <c r="E442" s="211" t="str">
        <f t="shared" si="60"/>
        <v/>
      </c>
      <c r="F442" s="207"/>
      <c r="G442" s="211" t="str">
        <f t="shared" si="61"/>
        <v/>
      </c>
      <c r="H442" s="207"/>
      <c r="I442" s="211" t="str">
        <f t="shared" si="62"/>
        <v/>
      </c>
      <c r="J442" s="207"/>
      <c r="K442" s="211" t="str">
        <f t="shared" si="63"/>
        <v/>
      </c>
      <c r="L442" s="207"/>
      <c r="M442" s="211" t="str">
        <f t="shared" si="64"/>
        <v/>
      </c>
      <c r="N442" s="207"/>
      <c r="O442" s="211" t="str">
        <f t="shared" si="65"/>
        <v/>
      </c>
      <c r="P442" s="207"/>
      <c r="Q442" s="211" t="str">
        <f t="shared" si="66"/>
        <v/>
      </c>
      <c r="R442" s="207"/>
      <c r="S442" s="211" t="str">
        <f t="shared" si="67"/>
        <v/>
      </c>
      <c r="T442" s="272" t="str">
        <f t="shared" si="68"/>
        <v/>
      </c>
      <c r="U442" s="212" t="str">
        <f t="shared" si="69"/>
        <v/>
      </c>
    </row>
    <row r="443" spans="2:21" x14ac:dyDescent="0.25">
      <c r="B443" s="241" t="str">
        <f>IF(Contagem!B441=0,"",Contagem!B441)</f>
        <v/>
      </c>
      <c r="C443" s="242" t="str">
        <f>IF(Contagem!T441 &gt; 0,Contagem!T441,"")</f>
        <v/>
      </c>
      <c r="D443" s="207"/>
      <c r="E443" s="211" t="str">
        <f t="shared" si="60"/>
        <v/>
      </c>
      <c r="F443" s="207"/>
      <c r="G443" s="211" t="str">
        <f t="shared" si="61"/>
        <v/>
      </c>
      <c r="H443" s="207"/>
      <c r="I443" s="211" t="str">
        <f t="shared" si="62"/>
        <v/>
      </c>
      <c r="J443" s="207"/>
      <c r="K443" s="211" t="str">
        <f t="shared" si="63"/>
        <v/>
      </c>
      <c r="L443" s="207"/>
      <c r="M443" s="211" t="str">
        <f t="shared" si="64"/>
        <v/>
      </c>
      <c r="N443" s="207"/>
      <c r="O443" s="211" t="str">
        <f t="shared" si="65"/>
        <v/>
      </c>
      <c r="P443" s="207"/>
      <c r="Q443" s="211" t="str">
        <f t="shared" si="66"/>
        <v/>
      </c>
      <c r="R443" s="207"/>
      <c r="S443" s="211" t="str">
        <f t="shared" si="67"/>
        <v/>
      </c>
      <c r="T443" s="272" t="str">
        <f t="shared" si="68"/>
        <v/>
      </c>
      <c r="U443" s="212" t="str">
        <f t="shared" si="69"/>
        <v/>
      </c>
    </row>
    <row r="444" spans="2:21" x14ac:dyDescent="0.25">
      <c r="B444" s="241" t="str">
        <f>IF(Contagem!B442=0,"",Contagem!B442)</f>
        <v/>
      </c>
      <c r="C444" s="242" t="str">
        <f>IF(Contagem!T442 &gt; 0,Contagem!T442,"")</f>
        <v/>
      </c>
      <c r="D444" s="207"/>
      <c r="E444" s="211" t="str">
        <f t="shared" si="60"/>
        <v/>
      </c>
      <c r="F444" s="207"/>
      <c r="G444" s="211" t="str">
        <f t="shared" si="61"/>
        <v/>
      </c>
      <c r="H444" s="207"/>
      <c r="I444" s="211" t="str">
        <f t="shared" si="62"/>
        <v/>
      </c>
      <c r="J444" s="207"/>
      <c r="K444" s="211" t="str">
        <f t="shared" si="63"/>
        <v/>
      </c>
      <c r="L444" s="207"/>
      <c r="M444" s="211" t="str">
        <f t="shared" si="64"/>
        <v/>
      </c>
      <c r="N444" s="207"/>
      <c r="O444" s="211" t="str">
        <f t="shared" si="65"/>
        <v/>
      </c>
      <c r="P444" s="207"/>
      <c r="Q444" s="211" t="str">
        <f t="shared" si="66"/>
        <v/>
      </c>
      <c r="R444" s="207"/>
      <c r="S444" s="211" t="str">
        <f t="shared" si="67"/>
        <v/>
      </c>
      <c r="T444" s="272" t="str">
        <f t="shared" si="68"/>
        <v/>
      </c>
      <c r="U444" s="212" t="str">
        <f t="shared" si="69"/>
        <v/>
      </c>
    </row>
    <row r="445" spans="2:21" x14ac:dyDescent="0.25">
      <c r="B445" s="241" t="str">
        <f>IF(Contagem!B443=0,"",Contagem!B443)</f>
        <v/>
      </c>
      <c r="C445" s="242" t="str">
        <f>IF(Contagem!T443 &gt; 0,Contagem!T443,"")</f>
        <v/>
      </c>
      <c r="D445" s="207"/>
      <c r="E445" s="211" t="str">
        <f t="shared" si="60"/>
        <v/>
      </c>
      <c r="F445" s="207"/>
      <c r="G445" s="211" t="str">
        <f t="shared" si="61"/>
        <v/>
      </c>
      <c r="H445" s="207"/>
      <c r="I445" s="211" t="str">
        <f t="shared" si="62"/>
        <v/>
      </c>
      <c r="J445" s="207"/>
      <c r="K445" s="211" t="str">
        <f t="shared" si="63"/>
        <v/>
      </c>
      <c r="L445" s="207"/>
      <c r="M445" s="211" t="str">
        <f t="shared" si="64"/>
        <v/>
      </c>
      <c r="N445" s="207"/>
      <c r="O445" s="211" t="str">
        <f t="shared" si="65"/>
        <v/>
      </c>
      <c r="P445" s="207"/>
      <c r="Q445" s="211" t="str">
        <f t="shared" si="66"/>
        <v/>
      </c>
      <c r="R445" s="207"/>
      <c r="S445" s="211" t="str">
        <f t="shared" si="67"/>
        <v/>
      </c>
      <c r="T445" s="272" t="str">
        <f t="shared" si="68"/>
        <v/>
      </c>
      <c r="U445" s="212" t="str">
        <f t="shared" si="69"/>
        <v/>
      </c>
    </row>
    <row r="446" spans="2:21" x14ac:dyDescent="0.25">
      <c r="B446" s="241" t="str">
        <f>IF(Contagem!B444=0,"",Contagem!B444)</f>
        <v/>
      </c>
      <c r="C446" s="242" t="str">
        <f>IF(Contagem!T444 &gt; 0,Contagem!T444,"")</f>
        <v/>
      </c>
      <c r="D446" s="207"/>
      <c r="E446" s="211" t="str">
        <f t="shared" si="60"/>
        <v/>
      </c>
      <c r="F446" s="207"/>
      <c r="G446" s="211" t="str">
        <f t="shared" si="61"/>
        <v/>
      </c>
      <c r="H446" s="207"/>
      <c r="I446" s="211" t="str">
        <f t="shared" si="62"/>
        <v/>
      </c>
      <c r="J446" s="207"/>
      <c r="K446" s="211" t="str">
        <f t="shared" si="63"/>
        <v/>
      </c>
      <c r="L446" s="207"/>
      <c r="M446" s="211" t="str">
        <f t="shared" si="64"/>
        <v/>
      </c>
      <c r="N446" s="207"/>
      <c r="O446" s="211" t="str">
        <f t="shared" si="65"/>
        <v/>
      </c>
      <c r="P446" s="207"/>
      <c r="Q446" s="211" t="str">
        <f t="shared" si="66"/>
        <v/>
      </c>
      <c r="R446" s="207"/>
      <c r="S446" s="211" t="str">
        <f t="shared" si="67"/>
        <v/>
      </c>
      <c r="T446" s="272" t="str">
        <f t="shared" si="68"/>
        <v/>
      </c>
      <c r="U446" s="212" t="str">
        <f t="shared" si="69"/>
        <v/>
      </c>
    </row>
    <row r="447" spans="2:21" x14ac:dyDescent="0.25">
      <c r="B447" s="241" t="str">
        <f>IF(Contagem!B445=0,"",Contagem!B445)</f>
        <v/>
      </c>
      <c r="C447" s="242" t="str">
        <f>IF(Contagem!T445 &gt; 0,Contagem!T445,"")</f>
        <v/>
      </c>
      <c r="D447" s="207"/>
      <c r="E447" s="211" t="str">
        <f t="shared" si="60"/>
        <v/>
      </c>
      <c r="F447" s="207"/>
      <c r="G447" s="211" t="str">
        <f t="shared" si="61"/>
        <v/>
      </c>
      <c r="H447" s="207"/>
      <c r="I447" s="211" t="str">
        <f t="shared" si="62"/>
        <v/>
      </c>
      <c r="J447" s="207"/>
      <c r="K447" s="211" t="str">
        <f t="shared" si="63"/>
        <v/>
      </c>
      <c r="L447" s="207"/>
      <c r="M447" s="211" t="str">
        <f t="shared" si="64"/>
        <v/>
      </c>
      <c r="N447" s="207"/>
      <c r="O447" s="211" t="str">
        <f t="shared" si="65"/>
        <v/>
      </c>
      <c r="P447" s="207"/>
      <c r="Q447" s="211" t="str">
        <f t="shared" si="66"/>
        <v/>
      </c>
      <c r="R447" s="207"/>
      <c r="S447" s="211" t="str">
        <f t="shared" si="67"/>
        <v/>
      </c>
      <c r="T447" s="272" t="str">
        <f t="shared" si="68"/>
        <v/>
      </c>
      <c r="U447" s="212" t="str">
        <f t="shared" si="69"/>
        <v/>
      </c>
    </row>
    <row r="448" spans="2:21" x14ac:dyDescent="0.25">
      <c r="B448" s="241" t="str">
        <f>IF(Contagem!B446=0,"",Contagem!B446)</f>
        <v/>
      </c>
      <c r="C448" s="242" t="str">
        <f>IF(Contagem!T446 &gt; 0,Contagem!T446,"")</f>
        <v/>
      </c>
      <c r="D448" s="207"/>
      <c r="E448" s="211" t="str">
        <f t="shared" si="60"/>
        <v/>
      </c>
      <c r="F448" s="207"/>
      <c r="G448" s="211" t="str">
        <f t="shared" si="61"/>
        <v/>
      </c>
      <c r="H448" s="207"/>
      <c r="I448" s="211" t="str">
        <f t="shared" si="62"/>
        <v/>
      </c>
      <c r="J448" s="207"/>
      <c r="K448" s="211" t="str">
        <f t="shared" si="63"/>
        <v/>
      </c>
      <c r="L448" s="207"/>
      <c r="M448" s="211" t="str">
        <f t="shared" si="64"/>
        <v/>
      </c>
      <c r="N448" s="207"/>
      <c r="O448" s="211" t="str">
        <f t="shared" si="65"/>
        <v/>
      </c>
      <c r="P448" s="207"/>
      <c r="Q448" s="211" t="str">
        <f t="shared" si="66"/>
        <v/>
      </c>
      <c r="R448" s="207"/>
      <c r="S448" s="211" t="str">
        <f t="shared" si="67"/>
        <v/>
      </c>
      <c r="T448" s="272" t="str">
        <f t="shared" si="68"/>
        <v/>
      </c>
      <c r="U448" s="212" t="str">
        <f t="shared" si="69"/>
        <v/>
      </c>
    </row>
    <row r="449" spans="2:21" x14ac:dyDescent="0.25">
      <c r="B449" s="241" t="str">
        <f>IF(Contagem!B447=0,"",Contagem!B447)</f>
        <v/>
      </c>
      <c r="C449" s="242" t="str">
        <f>IF(Contagem!T447 &gt; 0,Contagem!T447,"")</f>
        <v/>
      </c>
      <c r="D449" s="207"/>
      <c r="E449" s="211" t="str">
        <f t="shared" si="60"/>
        <v/>
      </c>
      <c r="F449" s="207"/>
      <c r="G449" s="211" t="str">
        <f t="shared" si="61"/>
        <v/>
      </c>
      <c r="H449" s="207"/>
      <c r="I449" s="211" t="str">
        <f t="shared" si="62"/>
        <v/>
      </c>
      <c r="J449" s="207"/>
      <c r="K449" s="211" t="str">
        <f t="shared" si="63"/>
        <v/>
      </c>
      <c r="L449" s="207"/>
      <c r="M449" s="211" t="str">
        <f t="shared" si="64"/>
        <v/>
      </c>
      <c r="N449" s="207"/>
      <c r="O449" s="211" t="str">
        <f t="shared" si="65"/>
        <v/>
      </c>
      <c r="P449" s="207"/>
      <c r="Q449" s="211" t="str">
        <f t="shared" si="66"/>
        <v/>
      </c>
      <c r="R449" s="207"/>
      <c r="S449" s="211" t="str">
        <f t="shared" si="67"/>
        <v/>
      </c>
      <c r="T449" s="272" t="str">
        <f t="shared" si="68"/>
        <v/>
      </c>
      <c r="U449" s="212" t="str">
        <f t="shared" si="69"/>
        <v/>
      </c>
    </row>
    <row r="450" spans="2:21" x14ac:dyDescent="0.25">
      <c r="B450" s="241" t="str">
        <f>IF(Contagem!B448=0,"",Contagem!B448)</f>
        <v/>
      </c>
      <c r="C450" s="242" t="str">
        <f>IF(Contagem!T448 &gt; 0,Contagem!T448,"")</f>
        <v/>
      </c>
      <c r="D450" s="207"/>
      <c r="E450" s="211" t="str">
        <f t="shared" si="60"/>
        <v/>
      </c>
      <c r="F450" s="207"/>
      <c r="G450" s="211" t="str">
        <f t="shared" si="61"/>
        <v/>
      </c>
      <c r="H450" s="207"/>
      <c r="I450" s="211" t="str">
        <f t="shared" si="62"/>
        <v/>
      </c>
      <c r="J450" s="207"/>
      <c r="K450" s="211" t="str">
        <f t="shared" si="63"/>
        <v/>
      </c>
      <c r="L450" s="207"/>
      <c r="M450" s="211" t="str">
        <f t="shared" si="64"/>
        <v/>
      </c>
      <c r="N450" s="207"/>
      <c r="O450" s="211" t="str">
        <f t="shared" si="65"/>
        <v/>
      </c>
      <c r="P450" s="207"/>
      <c r="Q450" s="211" t="str">
        <f t="shared" si="66"/>
        <v/>
      </c>
      <c r="R450" s="207"/>
      <c r="S450" s="211" t="str">
        <f t="shared" si="67"/>
        <v/>
      </c>
      <c r="T450" s="272" t="str">
        <f t="shared" si="68"/>
        <v/>
      </c>
      <c r="U450" s="212" t="str">
        <f t="shared" si="69"/>
        <v/>
      </c>
    </row>
    <row r="451" spans="2:21" x14ac:dyDescent="0.25">
      <c r="B451" s="241" t="str">
        <f>IF(Contagem!B449=0,"",Contagem!B449)</f>
        <v/>
      </c>
      <c r="C451" s="242" t="str">
        <f>IF(Contagem!T449 &gt; 0,Contagem!T449,"")</f>
        <v/>
      </c>
      <c r="D451" s="207"/>
      <c r="E451" s="211" t="str">
        <f t="shared" si="60"/>
        <v/>
      </c>
      <c r="F451" s="207"/>
      <c r="G451" s="211" t="str">
        <f t="shared" si="61"/>
        <v/>
      </c>
      <c r="H451" s="207"/>
      <c r="I451" s="211" t="str">
        <f t="shared" si="62"/>
        <v/>
      </c>
      <c r="J451" s="207"/>
      <c r="K451" s="211" t="str">
        <f t="shared" si="63"/>
        <v/>
      </c>
      <c r="L451" s="207"/>
      <c r="M451" s="211" t="str">
        <f t="shared" si="64"/>
        <v/>
      </c>
      <c r="N451" s="207"/>
      <c r="O451" s="211" t="str">
        <f t="shared" si="65"/>
        <v/>
      </c>
      <c r="P451" s="207"/>
      <c r="Q451" s="211" t="str">
        <f t="shared" si="66"/>
        <v/>
      </c>
      <c r="R451" s="207"/>
      <c r="S451" s="211" t="str">
        <f t="shared" si="67"/>
        <v/>
      </c>
      <c r="T451" s="272" t="str">
        <f t="shared" si="68"/>
        <v/>
      </c>
      <c r="U451" s="212" t="str">
        <f t="shared" si="69"/>
        <v/>
      </c>
    </row>
    <row r="452" spans="2:21" x14ac:dyDescent="0.25">
      <c r="B452" s="241" t="str">
        <f>IF(Contagem!B450=0,"",Contagem!B450)</f>
        <v/>
      </c>
      <c r="C452" s="242" t="str">
        <f>IF(Contagem!T450 &gt; 0,Contagem!T450,"")</f>
        <v/>
      </c>
      <c r="D452" s="207"/>
      <c r="E452" s="211" t="str">
        <f t="shared" si="60"/>
        <v/>
      </c>
      <c r="F452" s="207"/>
      <c r="G452" s="211" t="str">
        <f t="shared" si="61"/>
        <v/>
      </c>
      <c r="H452" s="207"/>
      <c r="I452" s="211" t="str">
        <f t="shared" si="62"/>
        <v/>
      </c>
      <c r="J452" s="207"/>
      <c r="K452" s="211" t="str">
        <f t="shared" si="63"/>
        <v/>
      </c>
      <c r="L452" s="207"/>
      <c r="M452" s="211" t="str">
        <f t="shared" si="64"/>
        <v/>
      </c>
      <c r="N452" s="207"/>
      <c r="O452" s="211" t="str">
        <f t="shared" si="65"/>
        <v/>
      </c>
      <c r="P452" s="207"/>
      <c r="Q452" s="211" t="str">
        <f t="shared" si="66"/>
        <v/>
      </c>
      <c r="R452" s="207"/>
      <c r="S452" s="211" t="str">
        <f t="shared" si="67"/>
        <v/>
      </c>
      <c r="T452" s="272" t="str">
        <f t="shared" si="68"/>
        <v/>
      </c>
      <c r="U452" s="212" t="str">
        <f t="shared" si="69"/>
        <v/>
      </c>
    </row>
    <row r="453" spans="2:21" x14ac:dyDescent="0.25">
      <c r="B453" s="241" t="str">
        <f>IF(Contagem!B451=0,"",Contagem!B451)</f>
        <v/>
      </c>
      <c r="C453" s="242" t="str">
        <f>IF(Contagem!T451 &gt; 0,Contagem!T451,"")</f>
        <v/>
      </c>
      <c r="D453" s="207"/>
      <c r="E453" s="211" t="str">
        <f t="shared" si="60"/>
        <v/>
      </c>
      <c r="F453" s="207"/>
      <c r="G453" s="211" t="str">
        <f t="shared" si="61"/>
        <v/>
      </c>
      <c r="H453" s="207"/>
      <c r="I453" s="211" t="str">
        <f t="shared" si="62"/>
        <v/>
      </c>
      <c r="J453" s="207"/>
      <c r="K453" s="211" t="str">
        <f t="shared" si="63"/>
        <v/>
      </c>
      <c r="L453" s="207"/>
      <c r="M453" s="211" t="str">
        <f t="shared" si="64"/>
        <v/>
      </c>
      <c r="N453" s="207"/>
      <c r="O453" s="211" t="str">
        <f t="shared" si="65"/>
        <v/>
      </c>
      <c r="P453" s="207"/>
      <c r="Q453" s="211" t="str">
        <f t="shared" si="66"/>
        <v/>
      </c>
      <c r="R453" s="207"/>
      <c r="S453" s="211" t="str">
        <f t="shared" si="67"/>
        <v/>
      </c>
      <c r="T453" s="272" t="str">
        <f t="shared" si="68"/>
        <v/>
      </c>
      <c r="U453" s="212" t="str">
        <f t="shared" si="69"/>
        <v/>
      </c>
    </row>
    <row r="454" spans="2:21" x14ac:dyDescent="0.25">
      <c r="B454" s="241" t="str">
        <f>IF(Contagem!B452=0,"",Contagem!B452)</f>
        <v/>
      </c>
      <c r="C454" s="242" t="str">
        <f>IF(Contagem!T452 &gt; 0,Contagem!T452,"")</f>
        <v/>
      </c>
      <c r="D454" s="207"/>
      <c r="E454" s="211" t="str">
        <f t="shared" si="60"/>
        <v/>
      </c>
      <c r="F454" s="207"/>
      <c r="G454" s="211" t="str">
        <f t="shared" si="61"/>
        <v/>
      </c>
      <c r="H454" s="207"/>
      <c r="I454" s="211" t="str">
        <f t="shared" si="62"/>
        <v/>
      </c>
      <c r="J454" s="207"/>
      <c r="K454" s="211" t="str">
        <f t="shared" si="63"/>
        <v/>
      </c>
      <c r="L454" s="207"/>
      <c r="M454" s="211" t="str">
        <f t="shared" si="64"/>
        <v/>
      </c>
      <c r="N454" s="207"/>
      <c r="O454" s="211" t="str">
        <f t="shared" si="65"/>
        <v/>
      </c>
      <c r="P454" s="207"/>
      <c r="Q454" s="211" t="str">
        <f t="shared" si="66"/>
        <v/>
      </c>
      <c r="R454" s="207"/>
      <c r="S454" s="211" t="str">
        <f t="shared" si="67"/>
        <v/>
      </c>
      <c r="T454" s="272" t="str">
        <f t="shared" si="68"/>
        <v/>
      </c>
      <c r="U454" s="212" t="str">
        <f t="shared" si="69"/>
        <v/>
      </c>
    </row>
    <row r="455" spans="2:21" x14ac:dyDescent="0.25">
      <c r="B455" s="241" t="str">
        <f>IF(Contagem!B453=0,"",Contagem!B453)</f>
        <v/>
      </c>
      <c r="C455" s="242" t="str">
        <f>IF(Contagem!T453 &gt; 0,Contagem!T453,"")</f>
        <v/>
      </c>
      <c r="D455" s="207"/>
      <c r="E455" s="211" t="str">
        <f t="shared" ref="E455:E518" si="70">IFERROR(IF(AND($D$4&lt;&gt; 0,D455="Sim", $C455 &gt; 0),$C455*$D$4,""),0)</f>
        <v/>
      </c>
      <c r="F455" s="207"/>
      <c r="G455" s="211" t="str">
        <f t="shared" ref="G455:G518" si="71">IFERROR(IF(AND($F$4&lt;&gt; 0,F455="Sim", $C455 &gt; 0),$C455*$F$4,""),0)</f>
        <v/>
      </c>
      <c r="H455" s="207"/>
      <c r="I455" s="211" t="str">
        <f t="shared" ref="I455:I518" si="72">IFERROR(IF(AND($H$4&lt;&gt; 0,H455="Sim", $C455 &gt; 0),$C455*$H$4,""),0)</f>
        <v/>
      </c>
      <c r="J455" s="207"/>
      <c r="K455" s="211" t="str">
        <f t="shared" ref="K455:K518" si="73">IFERROR(IF(AND($J$4&lt;&gt; 0,J455="Sim", $C455 &gt; 0),$C455*$J$4,""),0)</f>
        <v/>
      </c>
      <c r="L455" s="207"/>
      <c r="M455" s="211" t="str">
        <f t="shared" ref="M455:M518" si="74">IFERROR(IF(AND($L$4&lt;&gt; 0,L455="Sim", $C455 &gt; 0),$C455*$L$4,""),0)</f>
        <v/>
      </c>
      <c r="N455" s="207"/>
      <c r="O455" s="211" t="str">
        <f t="shared" ref="O455:O518" si="75">IFERROR(IF(AND($N$4&lt;&gt; 0,N455="Sim", $C455 &gt; 0),$C455*$N$4,""),0)</f>
        <v/>
      </c>
      <c r="P455" s="207"/>
      <c r="Q455" s="211" t="str">
        <f t="shared" ref="Q455:Q518" si="76">IFERROR(IF(AND($P$4&lt;&gt; 0,P455="Sim", $C455 &gt; 0),$C455*$P$4,""),0)</f>
        <v/>
      </c>
      <c r="R455" s="207"/>
      <c r="S455" s="211" t="str">
        <f t="shared" ref="S455:S518" si="77">IFERROR(IF(AND($R$4&lt;&gt; 0,R455="Sim", $C455 &gt; 0),$C455*$R$4,""),0)</f>
        <v/>
      </c>
      <c r="T455" s="272" t="str">
        <f t="shared" ref="T455:T518" si="78">IFERROR(U455/C455,"")</f>
        <v/>
      </c>
      <c r="U455" s="212" t="str">
        <f t="shared" ref="U455:U518" si="79">IF(SUM(E455,G455,I455,K455,M455,O455,Q455,S455) &gt; 0,SUM(E455,G455,I455,K455,M455,O455,Q455,S455),"")</f>
        <v/>
      </c>
    </row>
    <row r="456" spans="2:21" x14ac:dyDescent="0.25">
      <c r="B456" s="241" t="str">
        <f>IF(Contagem!B454=0,"",Contagem!B454)</f>
        <v/>
      </c>
      <c r="C456" s="242" t="str">
        <f>IF(Contagem!T454 &gt; 0,Contagem!T454,"")</f>
        <v/>
      </c>
      <c r="D456" s="207"/>
      <c r="E456" s="211" t="str">
        <f t="shared" si="70"/>
        <v/>
      </c>
      <c r="F456" s="207"/>
      <c r="G456" s="211" t="str">
        <f t="shared" si="71"/>
        <v/>
      </c>
      <c r="H456" s="207"/>
      <c r="I456" s="211" t="str">
        <f t="shared" si="72"/>
        <v/>
      </c>
      <c r="J456" s="207"/>
      <c r="K456" s="211" t="str">
        <f t="shared" si="73"/>
        <v/>
      </c>
      <c r="L456" s="207"/>
      <c r="M456" s="211" t="str">
        <f t="shared" si="74"/>
        <v/>
      </c>
      <c r="N456" s="207"/>
      <c r="O456" s="211" t="str">
        <f t="shared" si="75"/>
        <v/>
      </c>
      <c r="P456" s="207"/>
      <c r="Q456" s="211" t="str">
        <f t="shared" si="76"/>
        <v/>
      </c>
      <c r="R456" s="207"/>
      <c r="S456" s="211" t="str">
        <f t="shared" si="77"/>
        <v/>
      </c>
      <c r="T456" s="272" t="str">
        <f t="shared" si="78"/>
        <v/>
      </c>
      <c r="U456" s="212" t="str">
        <f t="shared" si="79"/>
        <v/>
      </c>
    </row>
    <row r="457" spans="2:21" x14ac:dyDescent="0.25">
      <c r="B457" s="241" t="str">
        <f>IF(Contagem!B455=0,"",Contagem!B455)</f>
        <v/>
      </c>
      <c r="C457" s="242" t="str">
        <f>IF(Contagem!T455 &gt; 0,Contagem!T455,"")</f>
        <v/>
      </c>
      <c r="D457" s="207"/>
      <c r="E457" s="211" t="str">
        <f t="shared" si="70"/>
        <v/>
      </c>
      <c r="F457" s="207"/>
      <c r="G457" s="211" t="str">
        <f t="shared" si="71"/>
        <v/>
      </c>
      <c r="H457" s="207"/>
      <c r="I457" s="211" t="str">
        <f t="shared" si="72"/>
        <v/>
      </c>
      <c r="J457" s="207"/>
      <c r="K457" s="211" t="str">
        <f t="shared" si="73"/>
        <v/>
      </c>
      <c r="L457" s="207"/>
      <c r="M457" s="211" t="str">
        <f t="shared" si="74"/>
        <v/>
      </c>
      <c r="N457" s="207"/>
      <c r="O457" s="211" t="str">
        <f t="shared" si="75"/>
        <v/>
      </c>
      <c r="P457" s="207"/>
      <c r="Q457" s="211" t="str">
        <f t="shared" si="76"/>
        <v/>
      </c>
      <c r="R457" s="207"/>
      <c r="S457" s="211" t="str">
        <f t="shared" si="77"/>
        <v/>
      </c>
      <c r="T457" s="272" t="str">
        <f t="shared" si="78"/>
        <v/>
      </c>
      <c r="U457" s="212" t="str">
        <f t="shared" si="79"/>
        <v/>
      </c>
    </row>
    <row r="458" spans="2:21" x14ac:dyDescent="0.25">
      <c r="B458" s="241" t="str">
        <f>IF(Contagem!B456=0,"",Contagem!B456)</f>
        <v/>
      </c>
      <c r="C458" s="242" t="str">
        <f>IF(Contagem!T456 &gt; 0,Contagem!T456,"")</f>
        <v/>
      </c>
      <c r="D458" s="207"/>
      <c r="E458" s="211" t="str">
        <f t="shared" si="70"/>
        <v/>
      </c>
      <c r="F458" s="207"/>
      <c r="G458" s="211" t="str">
        <f t="shared" si="71"/>
        <v/>
      </c>
      <c r="H458" s="207"/>
      <c r="I458" s="211" t="str">
        <f t="shared" si="72"/>
        <v/>
      </c>
      <c r="J458" s="207"/>
      <c r="K458" s="211" t="str">
        <f t="shared" si="73"/>
        <v/>
      </c>
      <c r="L458" s="207"/>
      <c r="M458" s="211" t="str">
        <f t="shared" si="74"/>
        <v/>
      </c>
      <c r="N458" s="207"/>
      <c r="O458" s="211" t="str">
        <f t="shared" si="75"/>
        <v/>
      </c>
      <c r="P458" s="207"/>
      <c r="Q458" s="211" t="str">
        <f t="shared" si="76"/>
        <v/>
      </c>
      <c r="R458" s="207"/>
      <c r="S458" s="211" t="str">
        <f t="shared" si="77"/>
        <v/>
      </c>
      <c r="T458" s="272" t="str">
        <f t="shared" si="78"/>
        <v/>
      </c>
      <c r="U458" s="212" t="str">
        <f t="shared" si="79"/>
        <v/>
      </c>
    </row>
    <row r="459" spans="2:21" x14ac:dyDescent="0.25">
      <c r="B459" s="241" t="str">
        <f>IF(Contagem!B457=0,"",Contagem!B457)</f>
        <v/>
      </c>
      <c r="C459" s="242" t="str">
        <f>IF(Contagem!T457 &gt; 0,Contagem!T457,"")</f>
        <v/>
      </c>
      <c r="D459" s="207"/>
      <c r="E459" s="211" t="str">
        <f t="shared" si="70"/>
        <v/>
      </c>
      <c r="F459" s="207"/>
      <c r="G459" s="211" t="str">
        <f t="shared" si="71"/>
        <v/>
      </c>
      <c r="H459" s="207"/>
      <c r="I459" s="211" t="str">
        <f t="shared" si="72"/>
        <v/>
      </c>
      <c r="J459" s="207"/>
      <c r="K459" s="211" t="str">
        <f t="shared" si="73"/>
        <v/>
      </c>
      <c r="L459" s="207"/>
      <c r="M459" s="211" t="str">
        <f t="shared" si="74"/>
        <v/>
      </c>
      <c r="N459" s="207"/>
      <c r="O459" s="211" t="str">
        <f t="shared" si="75"/>
        <v/>
      </c>
      <c r="P459" s="207"/>
      <c r="Q459" s="211" t="str">
        <f t="shared" si="76"/>
        <v/>
      </c>
      <c r="R459" s="207"/>
      <c r="S459" s="211" t="str">
        <f t="shared" si="77"/>
        <v/>
      </c>
      <c r="T459" s="272" t="str">
        <f t="shared" si="78"/>
        <v/>
      </c>
      <c r="U459" s="212" t="str">
        <f t="shared" si="79"/>
        <v/>
      </c>
    </row>
    <row r="460" spans="2:21" x14ac:dyDescent="0.25">
      <c r="B460" s="241" t="str">
        <f>IF(Contagem!B458=0,"",Contagem!B458)</f>
        <v/>
      </c>
      <c r="C460" s="242" t="str">
        <f>IF(Contagem!T458 &gt; 0,Contagem!T458,"")</f>
        <v/>
      </c>
      <c r="D460" s="207"/>
      <c r="E460" s="211" t="str">
        <f t="shared" si="70"/>
        <v/>
      </c>
      <c r="F460" s="207"/>
      <c r="G460" s="211" t="str">
        <f t="shared" si="71"/>
        <v/>
      </c>
      <c r="H460" s="207"/>
      <c r="I460" s="211" t="str">
        <f t="shared" si="72"/>
        <v/>
      </c>
      <c r="J460" s="207"/>
      <c r="K460" s="211" t="str">
        <f t="shared" si="73"/>
        <v/>
      </c>
      <c r="L460" s="207"/>
      <c r="M460" s="211" t="str">
        <f t="shared" si="74"/>
        <v/>
      </c>
      <c r="N460" s="207"/>
      <c r="O460" s="211" t="str">
        <f t="shared" si="75"/>
        <v/>
      </c>
      <c r="P460" s="207"/>
      <c r="Q460" s="211" t="str">
        <f t="shared" si="76"/>
        <v/>
      </c>
      <c r="R460" s="207"/>
      <c r="S460" s="211" t="str">
        <f t="shared" si="77"/>
        <v/>
      </c>
      <c r="T460" s="272" t="str">
        <f t="shared" si="78"/>
        <v/>
      </c>
      <c r="U460" s="212" t="str">
        <f t="shared" si="79"/>
        <v/>
      </c>
    </row>
    <row r="461" spans="2:21" x14ac:dyDescent="0.25">
      <c r="B461" s="241" t="str">
        <f>IF(Contagem!B459=0,"",Contagem!B459)</f>
        <v/>
      </c>
      <c r="C461" s="242" t="str">
        <f>IF(Contagem!T459 &gt; 0,Contagem!T459,"")</f>
        <v/>
      </c>
      <c r="D461" s="207"/>
      <c r="E461" s="211" t="str">
        <f t="shared" si="70"/>
        <v/>
      </c>
      <c r="F461" s="207"/>
      <c r="G461" s="211" t="str">
        <f t="shared" si="71"/>
        <v/>
      </c>
      <c r="H461" s="207"/>
      <c r="I461" s="211" t="str">
        <f t="shared" si="72"/>
        <v/>
      </c>
      <c r="J461" s="207"/>
      <c r="K461" s="211" t="str">
        <f t="shared" si="73"/>
        <v/>
      </c>
      <c r="L461" s="207"/>
      <c r="M461" s="211" t="str">
        <f t="shared" si="74"/>
        <v/>
      </c>
      <c r="N461" s="207"/>
      <c r="O461" s="211" t="str">
        <f t="shared" si="75"/>
        <v/>
      </c>
      <c r="P461" s="207"/>
      <c r="Q461" s="211" t="str">
        <f t="shared" si="76"/>
        <v/>
      </c>
      <c r="R461" s="207"/>
      <c r="S461" s="211" t="str">
        <f t="shared" si="77"/>
        <v/>
      </c>
      <c r="T461" s="272" t="str">
        <f t="shared" si="78"/>
        <v/>
      </c>
      <c r="U461" s="212" t="str">
        <f t="shared" si="79"/>
        <v/>
      </c>
    </row>
    <row r="462" spans="2:21" x14ac:dyDescent="0.25">
      <c r="B462" s="241" t="str">
        <f>IF(Contagem!B460=0,"",Contagem!B460)</f>
        <v/>
      </c>
      <c r="C462" s="242" t="str">
        <f>IF(Contagem!T460 &gt; 0,Contagem!T460,"")</f>
        <v/>
      </c>
      <c r="D462" s="207"/>
      <c r="E462" s="211" t="str">
        <f t="shared" si="70"/>
        <v/>
      </c>
      <c r="F462" s="207"/>
      <c r="G462" s="211" t="str">
        <f t="shared" si="71"/>
        <v/>
      </c>
      <c r="H462" s="207"/>
      <c r="I462" s="211" t="str">
        <f t="shared" si="72"/>
        <v/>
      </c>
      <c r="J462" s="207"/>
      <c r="K462" s="211" t="str">
        <f t="shared" si="73"/>
        <v/>
      </c>
      <c r="L462" s="207"/>
      <c r="M462" s="211" t="str">
        <f t="shared" si="74"/>
        <v/>
      </c>
      <c r="N462" s="207"/>
      <c r="O462" s="211" t="str">
        <f t="shared" si="75"/>
        <v/>
      </c>
      <c r="P462" s="207"/>
      <c r="Q462" s="211" t="str">
        <f t="shared" si="76"/>
        <v/>
      </c>
      <c r="R462" s="207"/>
      <c r="S462" s="211" t="str">
        <f t="shared" si="77"/>
        <v/>
      </c>
      <c r="T462" s="272" t="str">
        <f t="shared" si="78"/>
        <v/>
      </c>
      <c r="U462" s="212" t="str">
        <f t="shared" si="79"/>
        <v/>
      </c>
    </row>
    <row r="463" spans="2:21" x14ac:dyDescent="0.25">
      <c r="B463" s="241" t="str">
        <f>IF(Contagem!B461=0,"",Contagem!B461)</f>
        <v/>
      </c>
      <c r="C463" s="242" t="str">
        <f>IF(Contagem!T461 &gt; 0,Contagem!T461,"")</f>
        <v/>
      </c>
      <c r="D463" s="207"/>
      <c r="E463" s="211" t="str">
        <f t="shared" si="70"/>
        <v/>
      </c>
      <c r="F463" s="207"/>
      <c r="G463" s="211" t="str">
        <f t="shared" si="71"/>
        <v/>
      </c>
      <c r="H463" s="207"/>
      <c r="I463" s="211" t="str">
        <f t="shared" si="72"/>
        <v/>
      </c>
      <c r="J463" s="207"/>
      <c r="K463" s="211" t="str">
        <f t="shared" si="73"/>
        <v/>
      </c>
      <c r="L463" s="207"/>
      <c r="M463" s="211" t="str">
        <f t="shared" si="74"/>
        <v/>
      </c>
      <c r="N463" s="207"/>
      <c r="O463" s="211" t="str">
        <f t="shared" si="75"/>
        <v/>
      </c>
      <c r="P463" s="207"/>
      <c r="Q463" s="211" t="str">
        <f t="shared" si="76"/>
        <v/>
      </c>
      <c r="R463" s="207"/>
      <c r="S463" s="211" t="str">
        <f t="shared" si="77"/>
        <v/>
      </c>
      <c r="T463" s="272" t="str">
        <f t="shared" si="78"/>
        <v/>
      </c>
      <c r="U463" s="212" t="str">
        <f t="shared" si="79"/>
        <v/>
      </c>
    </row>
    <row r="464" spans="2:21" x14ac:dyDescent="0.25">
      <c r="B464" s="241" t="str">
        <f>IF(Contagem!B462=0,"",Contagem!B462)</f>
        <v/>
      </c>
      <c r="C464" s="242" t="str">
        <f>IF(Contagem!T462 &gt; 0,Contagem!T462,"")</f>
        <v/>
      </c>
      <c r="D464" s="207"/>
      <c r="E464" s="211" t="str">
        <f t="shared" si="70"/>
        <v/>
      </c>
      <c r="F464" s="207"/>
      <c r="G464" s="211" t="str">
        <f t="shared" si="71"/>
        <v/>
      </c>
      <c r="H464" s="207"/>
      <c r="I464" s="211" t="str">
        <f t="shared" si="72"/>
        <v/>
      </c>
      <c r="J464" s="207"/>
      <c r="K464" s="211" t="str">
        <f t="shared" si="73"/>
        <v/>
      </c>
      <c r="L464" s="207"/>
      <c r="M464" s="211" t="str">
        <f t="shared" si="74"/>
        <v/>
      </c>
      <c r="N464" s="207"/>
      <c r="O464" s="211" t="str">
        <f t="shared" si="75"/>
        <v/>
      </c>
      <c r="P464" s="207"/>
      <c r="Q464" s="211" t="str">
        <f t="shared" si="76"/>
        <v/>
      </c>
      <c r="R464" s="207"/>
      <c r="S464" s="211" t="str">
        <f t="shared" si="77"/>
        <v/>
      </c>
      <c r="T464" s="272" t="str">
        <f t="shared" si="78"/>
        <v/>
      </c>
      <c r="U464" s="212" t="str">
        <f t="shared" si="79"/>
        <v/>
      </c>
    </row>
    <row r="465" spans="2:21" x14ac:dyDescent="0.25">
      <c r="B465" s="241" t="str">
        <f>IF(Contagem!B463=0,"",Contagem!B463)</f>
        <v/>
      </c>
      <c r="C465" s="242" t="str">
        <f>IF(Contagem!T463 &gt; 0,Contagem!T463,"")</f>
        <v/>
      </c>
      <c r="D465" s="207"/>
      <c r="E465" s="211" t="str">
        <f t="shared" si="70"/>
        <v/>
      </c>
      <c r="F465" s="207"/>
      <c r="G465" s="211" t="str">
        <f t="shared" si="71"/>
        <v/>
      </c>
      <c r="H465" s="207"/>
      <c r="I465" s="211" t="str">
        <f t="shared" si="72"/>
        <v/>
      </c>
      <c r="J465" s="207"/>
      <c r="K465" s="211" t="str">
        <f t="shared" si="73"/>
        <v/>
      </c>
      <c r="L465" s="207"/>
      <c r="M465" s="211" t="str">
        <f t="shared" si="74"/>
        <v/>
      </c>
      <c r="N465" s="207"/>
      <c r="O465" s="211" t="str">
        <f t="shared" si="75"/>
        <v/>
      </c>
      <c r="P465" s="207"/>
      <c r="Q465" s="211" t="str">
        <f t="shared" si="76"/>
        <v/>
      </c>
      <c r="R465" s="207"/>
      <c r="S465" s="211" t="str">
        <f t="shared" si="77"/>
        <v/>
      </c>
      <c r="T465" s="272" t="str">
        <f t="shared" si="78"/>
        <v/>
      </c>
      <c r="U465" s="212" t="str">
        <f t="shared" si="79"/>
        <v/>
      </c>
    </row>
    <row r="466" spans="2:21" x14ac:dyDescent="0.25">
      <c r="B466" s="241" t="str">
        <f>IF(Contagem!B464=0,"",Contagem!B464)</f>
        <v/>
      </c>
      <c r="C466" s="242" t="str">
        <f>IF(Contagem!T464 &gt; 0,Contagem!T464,"")</f>
        <v/>
      </c>
      <c r="D466" s="207"/>
      <c r="E466" s="211" t="str">
        <f t="shared" si="70"/>
        <v/>
      </c>
      <c r="F466" s="207"/>
      <c r="G466" s="211" t="str">
        <f t="shared" si="71"/>
        <v/>
      </c>
      <c r="H466" s="207"/>
      <c r="I466" s="211" t="str">
        <f t="shared" si="72"/>
        <v/>
      </c>
      <c r="J466" s="207"/>
      <c r="K466" s="211" t="str">
        <f t="shared" si="73"/>
        <v/>
      </c>
      <c r="L466" s="207"/>
      <c r="M466" s="211" t="str">
        <f t="shared" si="74"/>
        <v/>
      </c>
      <c r="N466" s="207"/>
      <c r="O466" s="211" t="str">
        <f t="shared" si="75"/>
        <v/>
      </c>
      <c r="P466" s="207"/>
      <c r="Q466" s="211" t="str">
        <f t="shared" si="76"/>
        <v/>
      </c>
      <c r="R466" s="207"/>
      <c r="S466" s="211" t="str">
        <f t="shared" si="77"/>
        <v/>
      </c>
      <c r="T466" s="272" t="str">
        <f t="shared" si="78"/>
        <v/>
      </c>
      <c r="U466" s="212" t="str">
        <f t="shared" si="79"/>
        <v/>
      </c>
    </row>
    <row r="467" spans="2:21" x14ac:dyDescent="0.25">
      <c r="B467" s="241" t="str">
        <f>IF(Contagem!B465=0,"",Contagem!B465)</f>
        <v/>
      </c>
      <c r="C467" s="242" t="str">
        <f>IF(Contagem!T465 &gt; 0,Contagem!T465,"")</f>
        <v/>
      </c>
      <c r="D467" s="207"/>
      <c r="E467" s="211" t="str">
        <f t="shared" si="70"/>
        <v/>
      </c>
      <c r="F467" s="207"/>
      <c r="G467" s="211" t="str">
        <f t="shared" si="71"/>
        <v/>
      </c>
      <c r="H467" s="207"/>
      <c r="I467" s="211" t="str">
        <f t="shared" si="72"/>
        <v/>
      </c>
      <c r="J467" s="207"/>
      <c r="K467" s="211" t="str">
        <f t="shared" si="73"/>
        <v/>
      </c>
      <c r="L467" s="207"/>
      <c r="M467" s="211" t="str">
        <f t="shared" si="74"/>
        <v/>
      </c>
      <c r="N467" s="207"/>
      <c r="O467" s="211" t="str">
        <f t="shared" si="75"/>
        <v/>
      </c>
      <c r="P467" s="207"/>
      <c r="Q467" s="211" t="str">
        <f t="shared" si="76"/>
        <v/>
      </c>
      <c r="R467" s="207"/>
      <c r="S467" s="211" t="str">
        <f t="shared" si="77"/>
        <v/>
      </c>
      <c r="T467" s="272" t="str">
        <f t="shared" si="78"/>
        <v/>
      </c>
      <c r="U467" s="212" t="str">
        <f t="shared" si="79"/>
        <v/>
      </c>
    </row>
    <row r="468" spans="2:21" x14ac:dyDescent="0.25">
      <c r="B468" s="241" t="str">
        <f>IF(Contagem!B466=0,"",Contagem!B466)</f>
        <v/>
      </c>
      <c r="C468" s="242" t="str">
        <f>IF(Contagem!T466 &gt; 0,Contagem!T466,"")</f>
        <v/>
      </c>
      <c r="D468" s="207"/>
      <c r="E468" s="211" t="str">
        <f t="shared" si="70"/>
        <v/>
      </c>
      <c r="F468" s="207"/>
      <c r="G468" s="211" t="str">
        <f t="shared" si="71"/>
        <v/>
      </c>
      <c r="H468" s="207"/>
      <c r="I468" s="211" t="str">
        <f t="shared" si="72"/>
        <v/>
      </c>
      <c r="J468" s="207"/>
      <c r="K468" s="211" t="str">
        <f t="shared" si="73"/>
        <v/>
      </c>
      <c r="L468" s="207"/>
      <c r="M468" s="211" t="str">
        <f t="shared" si="74"/>
        <v/>
      </c>
      <c r="N468" s="207"/>
      <c r="O468" s="211" t="str">
        <f t="shared" si="75"/>
        <v/>
      </c>
      <c r="P468" s="207"/>
      <c r="Q468" s="211" t="str">
        <f t="shared" si="76"/>
        <v/>
      </c>
      <c r="R468" s="207"/>
      <c r="S468" s="211" t="str">
        <f t="shared" si="77"/>
        <v/>
      </c>
      <c r="T468" s="272" t="str">
        <f t="shared" si="78"/>
        <v/>
      </c>
      <c r="U468" s="212" t="str">
        <f t="shared" si="79"/>
        <v/>
      </c>
    </row>
    <row r="469" spans="2:21" x14ac:dyDescent="0.25">
      <c r="B469" s="241" t="str">
        <f>IF(Contagem!B467=0,"",Contagem!B467)</f>
        <v/>
      </c>
      <c r="C469" s="242" t="str">
        <f>IF(Contagem!T467 &gt; 0,Contagem!T467,"")</f>
        <v/>
      </c>
      <c r="D469" s="207"/>
      <c r="E469" s="211" t="str">
        <f t="shared" si="70"/>
        <v/>
      </c>
      <c r="F469" s="207"/>
      <c r="G469" s="211" t="str">
        <f t="shared" si="71"/>
        <v/>
      </c>
      <c r="H469" s="207"/>
      <c r="I469" s="211" t="str">
        <f t="shared" si="72"/>
        <v/>
      </c>
      <c r="J469" s="207"/>
      <c r="K469" s="211" t="str">
        <f t="shared" si="73"/>
        <v/>
      </c>
      <c r="L469" s="207"/>
      <c r="M469" s="211" t="str">
        <f t="shared" si="74"/>
        <v/>
      </c>
      <c r="N469" s="207"/>
      <c r="O469" s="211" t="str">
        <f t="shared" si="75"/>
        <v/>
      </c>
      <c r="P469" s="207"/>
      <c r="Q469" s="211" t="str">
        <f t="shared" si="76"/>
        <v/>
      </c>
      <c r="R469" s="207"/>
      <c r="S469" s="211" t="str">
        <f t="shared" si="77"/>
        <v/>
      </c>
      <c r="T469" s="272" t="str">
        <f t="shared" si="78"/>
        <v/>
      </c>
      <c r="U469" s="212" t="str">
        <f t="shared" si="79"/>
        <v/>
      </c>
    </row>
    <row r="470" spans="2:21" x14ac:dyDescent="0.25">
      <c r="B470" s="241" t="str">
        <f>IF(Contagem!B468=0,"",Contagem!B468)</f>
        <v/>
      </c>
      <c r="C470" s="242" t="str">
        <f>IF(Contagem!T468 &gt; 0,Contagem!T468,"")</f>
        <v/>
      </c>
      <c r="D470" s="207"/>
      <c r="E470" s="211" t="str">
        <f t="shared" si="70"/>
        <v/>
      </c>
      <c r="F470" s="207"/>
      <c r="G470" s="211" t="str">
        <f t="shared" si="71"/>
        <v/>
      </c>
      <c r="H470" s="207"/>
      <c r="I470" s="211" t="str">
        <f t="shared" si="72"/>
        <v/>
      </c>
      <c r="J470" s="207"/>
      <c r="K470" s="211" t="str">
        <f t="shared" si="73"/>
        <v/>
      </c>
      <c r="L470" s="207"/>
      <c r="M470" s="211" t="str">
        <f t="shared" si="74"/>
        <v/>
      </c>
      <c r="N470" s="207"/>
      <c r="O470" s="211" t="str">
        <f t="shared" si="75"/>
        <v/>
      </c>
      <c r="P470" s="207"/>
      <c r="Q470" s="211" t="str">
        <f t="shared" si="76"/>
        <v/>
      </c>
      <c r="R470" s="207"/>
      <c r="S470" s="211" t="str">
        <f t="shared" si="77"/>
        <v/>
      </c>
      <c r="T470" s="272" t="str">
        <f t="shared" si="78"/>
        <v/>
      </c>
      <c r="U470" s="212" t="str">
        <f t="shared" si="79"/>
        <v/>
      </c>
    </row>
    <row r="471" spans="2:21" x14ac:dyDescent="0.25">
      <c r="B471" s="241" t="str">
        <f>IF(Contagem!B469=0,"",Contagem!B469)</f>
        <v/>
      </c>
      <c r="C471" s="242" t="str">
        <f>IF(Contagem!T469 &gt; 0,Contagem!T469,"")</f>
        <v/>
      </c>
      <c r="D471" s="207"/>
      <c r="E471" s="211" t="str">
        <f t="shared" si="70"/>
        <v/>
      </c>
      <c r="F471" s="207"/>
      <c r="G471" s="211" t="str">
        <f t="shared" si="71"/>
        <v/>
      </c>
      <c r="H471" s="207"/>
      <c r="I471" s="211" t="str">
        <f t="shared" si="72"/>
        <v/>
      </c>
      <c r="J471" s="207"/>
      <c r="K471" s="211" t="str">
        <f t="shared" si="73"/>
        <v/>
      </c>
      <c r="L471" s="207"/>
      <c r="M471" s="211" t="str">
        <f t="shared" si="74"/>
        <v/>
      </c>
      <c r="N471" s="207"/>
      <c r="O471" s="211" t="str">
        <f t="shared" si="75"/>
        <v/>
      </c>
      <c r="P471" s="207"/>
      <c r="Q471" s="211" t="str">
        <f t="shared" si="76"/>
        <v/>
      </c>
      <c r="R471" s="207"/>
      <c r="S471" s="211" t="str">
        <f t="shared" si="77"/>
        <v/>
      </c>
      <c r="T471" s="272" t="str">
        <f t="shared" si="78"/>
        <v/>
      </c>
      <c r="U471" s="212" t="str">
        <f t="shared" si="79"/>
        <v/>
      </c>
    </row>
    <row r="472" spans="2:21" x14ac:dyDescent="0.25">
      <c r="B472" s="241" t="str">
        <f>IF(Contagem!B470=0,"",Contagem!B470)</f>
        <v/>
      </c>
      <c r="C472" s="242" t="str">
        <f>IF(Contagem!T470 &gt; 0,Contagem!T470,"")</f>
        <v/>
      </c>
      <c r="D472" s="207"/>
      <c r="E472" s="211" t="str">
        <f t="shared" si="70"/>
        <v/>
      </c>
      <c r="F472" s="207"/>
      <c r="G472" s="211" t="str">
        <f t="shared" si="71"/>
        <v/>
      </c>
      <c r="H472" s="207"/>
      <c r="I472" s="211" t="str">
        <f t="shared" si="72"/>
        <v/>
      </c>
      <c r="J472" s="207"/>
      <c r="K472" s="211" t="str">
        <f t="shared" si="73"/>
        <v/>
      </c>
      <c r="L472" s="207"/>
      <c r="M472" s="211" t="str">
        <f t="shared" si="74"/>
        <v/>
      </c>
      <c r="N472" s="207"/>
      <c r="O472" s="211" t="str">
        <f t="shared" si="75"/>
        <v/>
      </c>
      <c r="P472" s="207"/>
      <c r="Q472" s="211" t="str">
        <f t="shared" si="76"/>
        <v/>
      </c>
      <c r="R472" s="207"/>
      <c r="S472" s="211" t="str">
        <f t="shared" si="77"/>
        <v/>
      </c>
      <c r="T472" s="272" t="str">
        <f t="shared" si="78"/>
        <v/>
      </c>
      <c r="U472" s="212" t="str">
        <f t="shared" si="79"/>
        <v/>
      </c>
    </row>
    <row r="473" spans="2:21" x14ac:dyDescent="0.25">
      <c r="B473" s="241" t="str">
        <f>IF(Contagem!B471=0,"",Contagem!B471)</f>
        <v/>
      </c>
      <c r="C473" s="242" t="str">
        <f>IF(Contagem!T471 &gt; 0,Contagem!T471,"")</f>
        <v/>
      </c>
      <c r="D473" s="207"/>
      <c r="E473" s="211" t="str">
        <f t="shared" si="70"/>
        <v/>
      </c>
      <c r="F473" s="207"/>
      <c r="G473" s="211" t="str">
        <f t="shared" si="71"/>
        <v/>
      </c>
      <c r="H473" s="207"/>
      <c r="I473" s="211" t="str">
        <f t="shared" si="72"/>
        <v/>
      </c>
      <c r="J473" s="207"/>
      <c r="K473" s="211" t="str">
        <f t="shared" si="73"/>
        <v/>
      </c>
      <c r="L473" s="207"/>
      <c r="M473" s="211" t="str">
        <f t="shared" si="74"/>
        <v/>
      </c>
      <c r="N473" s="207"/>
      <c r="O473" s="211" t="str">
        <f t="shared" si="75"/>
        <v/>
      </c>
      <c r="P473" s="207"/>
      <c r="Q473" s="211" t="str">
        <f t="shared" si="76"/>
        <v/>
      </c>
      <c r="R473" s="207"/>
      <c r="S473" s="211" t="str">
        <f t="shared" si="77"/>
        <v/>
      </c>
      <c r="T473" s="272" t="str">
        <f t="shared" si="78"/>
        <v/>
      </c>
      <c r="U473" s="212" t="str">
        <f t="shared" si="79"/>
        <v/>
      </c>
    </row>
    <row r="474" spans="2:21" x14ac:dyDescent="0.25">
      <c r="B474" s="241" t="str">
        <f>IF(Contagem!B472=0,"",Contagem!B472)</f>
        <v/>
      </c>
      <c r="C474" s="242" t="str">
        <f>IF(Contagem!T472 &gt; 0,Contagem!T472,"")</f>
        <v/>
      </c>
      <c r="D474" s="207"/>
      <c r="E474" s="211" t="str">
        <f t="shared" si="70"/>
        <v/>
      </c>
      <c r="F474" s="207"/>
      <c r="G474" s="211" t="str">
        <f t="shared" si="71"/>
        <v/>
      </c>
      <c r="H474" s="207"/>
      <c r="I474" s="211" t="str">
        <f t="shared" si="72"/>
        <v/>
      </c>
      <c r="J474" s="207"/>
      <c r="K474" s="211" t="str">
        <f t="shared" si="73"/>
        <v/>
      </c>
      <c r="L474" s="207"/>
      <c r="M474" s="211" t="str">
        <f t="shared" si="74"/>
        <v/>
      </c>
      <c r="N474" s="207"/>
      <c r="O474" s="211" t="str">
        <f t="shared" si="75"/>
        <v/>
      </c>
      <c r="P474" s="207"/>
      <c r="Q474" s="211" t="str">
        <f t="shared" si="76"/>
        <v/>
      </c>
      <c r="R474" s="207"/>
      <c r="S474" s="211" t="str">
        <f t="shared" si="77"/>
        <v/>
      </c>
      <c r="T474" s="272" t="str">
        <f t="shared" si="78"/>
        <v/>
      </c>
      <c r="U474" s="212" t="str">
        <f t="shared" si="79"/>
        <v/>
      </c>
    </row>
    <row r="475" spans="2:21" x14ac:dyDescent="0.25">
      <c r="B475" s="241" t="str">
        <f>IF(Contagem!B473=0,"",Contagem!B473)</f>
        <v/>
      </c>
      <c r="C475" s="242" t="str">
        <f>IF(Contagem!T473 &gt; 0,Contagem!T473,"")</f>
        <v/>
      </c>
      <c r="D475" s="207"/>
      <c r="E475" s="211" t="str">
        <f t="shared" si="70"/>
        <v/>
      </c>
      <c r="F475" s="207"/>
      <c r="G475" s="211" t="str">
        <f t="shared" si="71"/>
        <v/>
      </c>
      <c r="H475" s="207"/>
      <c r="I475" s="211" t="str">
        <f t="shared" si="72"/>
        <v/>
      </c>
      <c r="J475" s="207"/>
      <c r="K475" s="211" t="str">
        <f t="shared" si="73"/>
        <v/>
      </c>
      <c r="L475" s="207"/>
      <c r="M475" s="211" t="str">
        <f t="shared" si="74"/>
        <v/>
      </c>
      <c r="N475" s="207"/>
      <c r="O475" s="211" t="str">
        <f t="shared" si="75"/>
        <v/>
      </c>
      <c r="P475" s="207"/>
      <c r="Q475" s="211" t="str">
        <f t="shared" si="76"/>
        <v/>
      </c>
      <c r="R475" s="207"/>
      <c r="S475" s="211" t="str">
        <f t="shared" si="77"/>
        <v/>
      </c>
      <c r="T475" s="272" t="str">
        <f t="shared" si="78"/>
        <v/>
      </c>
      <c r="U475" s="212" t="str">
        <f t="shared" si="79"/>
        <v/>
      </c>
    </row>
    <row r="476" spans="2:21" x14ac:dyDescent="0.25">
      <c r="B476" s="241" t="str">
        <f>IF(Contagem!B474=0,"",Contagem!B474)</f>
        <v/>
      </c>
      <c r="C476" s="242" t="str">
        <f>IF(Contagem!T474 &gt; 0,Contagem!T474,"")</f>
        <v/>
      </c>
      <c r="D476" s="207"/>
      <c r="E476" s="211" t="str">
        <f t="shared" si="70"/>
        <v/>
      </c>
      <c r="F476" s="207"/>
      <c r="G476" s="211" t="str">
        <f t="shared" si="71"/>
        <v/>
      </c>
      <c r="H476" s="207"/>
      <c r="I476" s="211" t="str">
        <f t="shared" si="72"/>
        <v/>
      </c>
      <c r="J476" s="207"/>
      <c r="K476" s="211" t="str">
        <f t="shared" si="73"/>
        <v/>
      </c>
      <c r="L476" s="207"/>
      <c r="M476" s="211" t="str">
        <f t="shared" si="74"/>
        <v/>
      </c>
      <c r="N476" s="207"/>
      <c r="O476" s="211" t="str">
        <f t="shared" si="75"/>
        <v/>
      </c>
      <c r="P476" s="207"/>
      <c r="Q476" s="211" t="str">
        <f t="shared" si="76"/>
        <v/>
      </c>
      <c r="R476" s="207"/>
      <c r="S476" s="211" t="str">
        <f t="shared" si="77"/>
        <v/>
      </c>
      <c r="T476" s="272" t="str">
        <f t="shared" si="78"/>
        <v/>
      </c>
      <c r="U476" s="212" t="str">
        <f t="shared" si="79"/>
        <v/>
      </c>
    </row>
    <row r="477" spans="2:21" x14ac:dyDescent="0.25">
      <c r="B477" s="241" t="str">
        <f>IF(Contagem!B475=0,"",Contagem!B475)</f>
        <v/>
      </c>
      <c r="C477" s="242" t="str">
        <f>IF(Contagem!T475 &gt; 0,Contagem!T475,"")</f>
        <v/>
      </c>
      <c r="D477" s="207"/>
      <c r="E477" s="211" t="str">
        <f t="shared" si="70"/>
        <v/>
      </c>
      <c r="F477" s="207"/>
      <c r="G477" s="211" t="str">
        <f t="shared" si="71"/>
        <v/>
      </c>
      <c r="H477" s="207"/>
      <c r="I477" s="211" t="str">
        <f t="shared" si="72"/>
        <v/>
      </c>
      <c r="J477" s="207"/>
      <c r="K477" s="211" t="str">
        <f t="shared" si="73"/>
        <v/>
      </c>
      <c r="L477" s="207"/>
      <c r="M477" s="211" t="str">
        <f t="shared" si="74"/>
        <v/>
      </c>
      <c r="N477" s="207"/>
      <c r="O477" s="211" t="str">
        <f t="shared" si="75"/>
        <v/>
      </c>
      <c r="P477" s="207"/>
      <c r="Q477" s="211" t="str">
        <f t="shared" si="76"/>
        <v/>
      </c>
      <c r="R477" s="207"/>
      <c r="S477" s="211" t="str">
        <f t="shared" si="77"/>
        <v/>
      </c>
      <c r="T477" s="272" t="str">
        <f t="shared" si="78"/>
        <v/>
      </c>
      <c r="U477" s="212" t="str">
        <f t="shared" si="79"/>
        <v/>
      </c>
    </row>
    <row r="478" spans="2:21" x14ac:dyDescent="0.25">
      <c r="B478" s="241" t="str">
        <f>IF(Contagem!B476=0,"",Contagem!B476)</f>
        <v/>
      </c>
      <c r="C478" s="242" t="str">
        <f>IF(Contagem!T476 &gt; 0,Contagem!T476,"")</f>
        <v/>
      </c>
      <c r="D478" s="207"/>
      <c r="E478" s="211" t="str">
        <f t="shared" si="70"/>
        <v/>
      </c>
      <c r="F478" s="207"/>
      <c r="G478" s="211" t="str">
        <f t="shared" si="71"/>
        <v/>
      </c>
      <c r="H478" s="207"/>
      <c r="I478" s="211" t="str">
        <f t="shared" si="72"/>
        <v/>
      </c>
      <c r="J478" s="207"/>
      <c r="K478" s="211" t="str">
        <f t="shared" si="73"/>
        <v/>
      </c>
      <c r="L478" s="207"/>
      <c r="M478" s="211" t="str">
        <f t="shared" si="74"/>
        <v/>
      </c>
      <c r="N478" s="207"/>
      <c r="O478" s="211" t="str">
        <f t="shared" si="75"/>
        <v/>
      </c>
      <c r="P478" s="207"/>
      <c r="Q478" s="211" t="str">
        <f t="shared" si="76"/>
        <v/>
      </c>
      <c r="R478" s="207"/>
      <c r="S478" s="211" t="str">
        <f t="shared" si="77"/>
        <v/>
      </c>
      <c r="T478" s="272" t="str">
        <f t="shared" si="78"/>
        <v/>
      </c>
      <c r="U478" s="212" t="str">
        <f t="shared" si="79"/>
        <v/>
      </c>
    </row>
    <row r="479" spans="2:21" x14ac:dyDescent="0.25">
      <c r="B479" s="241" t="str">
        <f>IF(Contagem!B477=0,"",Contagem!B477)</f>
        <v/>
      </c>
      <c r="C479" s="242" t="str">
        <f>IF(Contagem!T477 &gt; 0,Contagem!T477,"")</f>
        <v/>
      </c>
      <c r="D479" s="207"/>
      <c r="E479" s="211" t="str">
        <f t="shared" si="70"/>
        <v/>
      </c>
      <c r="F479" s="207"/>
      <c r="G479" s="211" t="str">
        <f t="shared" si="71"/>
        <v/>
      </c>
      <c r="H479" s="207"/>
      <c r="I479" s="211" t="str">
        <f t="shared" si="72"/>
        <v/>
      </c>
      <c r="J479" s="207"/>
      <c r="K479" s="211" t="str">
        <f t="shared" si="73"/>
        <v/>
      </c>
      <c r="L479" s="207"/>
      <c r="M479" s="211" t="str">
        <f t="shared" si="74"/>
        <v/>
      </c>
      <c r="N479" s="207"/>
      <c r="O479" s="211" t="str">
        <f t="shared" si="75"/>
        <v/>
      </c>
      <c r="P479" s="207"/>
      <c r="Q479" s="211" t="str">
        <f t="shared" si="76"/>
        <v/>
      </c>
      <c r="R479" s="207"/>
      <c r="S479" s="211" t="str">
        <f t="shared" si="77"/>
        <v/>
      </c>
      <c r="T479" s="272" t="str">
        <f t="shared" si="78"/>
        <v/>
      </c>
      <c r="U479" s="212" t="str">
        <f t="shared" si="79"/>
        <v/>
      </c>
    </row>
    <row r="480" spans="2:21" x14ac:dyDescent="0.25">
      <c r="B480" s="241" t="str">
        <f>IF(Contagem!B478=0,"",Contagem!B478)</f>
        <v/>
      </c>
      <c r="C480" s="242" t="str">
        <f>IF(Contagem!T478 &gt; 0,Contagem!T478,"")</f>
        <v/>
      </c>
      <c r="D480" s="207"/>
      <c r="E480" s="211" t="str">
        <f t="shared" si="70"/>
        <v/>
      </c>
      <c r="F480" s="207"/>
      <c r="G480" s="211" t="str">
        <f t="shared" si="71"/>
        <v/>
      </c>
      <c r="H480" s="207"/>
      <c r="I480" s="211" t="str">
        <f t="shared" si="72"/>
        <v/>
      </c>
      <c r="J480" s="207"/>
      <c r="K480" s="211" t="str">
        <f t="shared" si="73"/>
        <v/>
      </c>
      <c r="L480" s="207"/>
      <c r="M480" s="211" t="str">
        <f t="shared" si="74"/>
        <v/>
      </c>
      <c r="N480" s="207"/>
      <c r="O480" s="211" t="str">
        <f t="shared" si="75"/>
        <v/>
      </c>
      <c r="P480" s="207"/>
      <c r="Q480" s="211" t="str">
        <f t="shared" si="76"/>
        <v/>
      </c>
      <c r="R480" s="207"/>
      <c r="S480" s="211" t="str">
        <f t="shared" si="77"/>
        <v/>
      </c>
      <c r="T480" s="272" t="str">
        <f t="shared" si="78"/>
        <v/>
      </c>
      <c r="U480" s="212" t="str">
        <f t="shared" si="79"/>
        <v/>
      </c>
    </row>
    <row r="481" spans="2:21" x14ac:dyDescent="0.25">
      <c r="B481" s="241" t="str">
        <f>IF(Contagem!B479=0,"",Contagem!B479)</f>
        <v/>
      </c>
      <c r="C481" s="242" t="str">
        <f>IF(Contagem!T479 &gt; 0,Contagem!T479,"")</f>
        <v/>
      </c>
      <c r="D481" s="207"/>
      <c r="E481" s="211" t="str">
        <f t="shared" si="70"/>
        <v/>
      </c>
      <c r="F481" s="207"/>
      <c r="G481" s="211" t="str">
        <f t="shared" si="71"/>
        <v/>
      </c>
      <c r="H481" s="207"/>
      <c r="I481" s="211" t="str">
        <f t="shared" si="72"/>
        <v/>
      </c>
      <c r="J481" s="207"/>
      <c r="K481" s="211" t="str">
        <f t="shared" si="73"/>
        <v/>
      </c>
      <c r="L481" s="207"/>
      <c r="M481" s="211" t="str">
        <f t="shared" si="74"/>
        <v/>
      </c>
      <c r="N481" s="207"/>
      <c r="O481" s="211" t="str">
        <f t="shared" si="75"/>
        <v/>
      </c>
      <c r="P481" s="207"/>
      <c r="Q481" s="211" t="str">
        <f t="shared" si="76"/>
        <v/>
      </c>
      <c r="R481" s="207"/>
      <c r="S481" s="211" t="str">
        <f t="shared" si="77"/>
        <v/>
      </c>
      <c r="T481" s="272" t="str">
        <f t="shared" si="78"/>
        <v/>
      </c>
      <c r="U481" s="212" t="str">
        <f t="shared" si="79"/>
        <v/>
      </c>
    </row>
    <row r="482" spans="2:21" x14ac:dyDescent="0.25">
      <c r="B482" s="241" t="str">
        <f>IF(Contagem!B480=0,"",Contagem!B480)</f>
        <v/>
      </c>
      <c r="C482" s="242" t="str">
        <f>IF(Contagem!T480 &gt; 0,Contagem!T480,"")</f>
        <v/>
      </c>
      <c r="D482" s="207"/>
      <c r="E482" s="211" t="str">
        <f t="shared" si="70"/>
        <v/>
      </c>
      <c r="F482" s="207"/>
      <c r="G482" s="211" t="str">
        <f t="shared" si="71"/>
        <v/>
      </c>
      <c r="H482" s="207"/>
      <c r="I482" s="211" t="str">
        <f t="shared" si="72"/>
        <v/>
      </c>
      <c r="J482" s="207"/>
      <c r="K482" s="211" t="str">
        <f t="shared" si="73"/>
        <v/>
      </c>
      <c r="L482" s="207"/>
      <c r="M482" s="211" t="str">
        <f t="shared" si="74"/>
        <v/>
      </c>
      <c r="N482" s="207"/>
      <c r="O482" s="211" t="str">
        <f t="shared" si="75"/>
        <v/>
      </c>
      <c r="P482" s="207"/>
      <c r="Q482" s="211" t="str">
        <f t="shared" si="76"/>
        <v/>
      </c>
      <c r="R482" s="207"/>
      <c r="S482" s="211" t="str">
        <f t="shared" si="77"/>
        <v/>
      </c>
      <c r="T482" s="272" t="str">
        <f t="shared" si="78"/>
        <v/>
      </c>
      <c r="U482" s="212" t="str">
        <f t="shared" si="79"/>
        <v/>
      </c>
    </row>
    <row r="483" spans="2:21" x14ac:dyDescent="0.25">
      <c r="B483" s="241" t="str">
        <f>IF(Contagem!B481=0,"",Contagem!B481)</f>
        <v/>
      </c>
      <c r="C483" s="242" t="str">
        <f>IF(Contagem!T481 &gt; 0,Contagem!T481,"")</f>
        <v/>
      </c>
      <c r="D483" s="207"/>
      <c r="E483" s="211" t="str">
        <f t="shared" si="70"/>
        <v/>
      </c>
      <c r="F483" s="207"/>
      <c r="G483" s="211" t="str">
        <f t="shared" si="71"/>
        <v/>
      </c>
      <c r="H483" s="207"/>
      <c r="I483" s="211" t="str">
        <f t="shared" si="72"/>
        <v/>
      </c>
      <c r="J483" s="207"/>
      <c r="K483" s="211" t="str">
        <f t="shared" si="73"/>
        <v/>
      </c>
      <c r="L483" s="207"/>
      <c r="M483" s="211" t="str">
        <f t="shared" si="74"/>
        <v/>
      </c>
      <c r="N483" s="207"/>
      <c r="O483" s="211" t="str">
        <f t="shared" si="75"/>
        <v/>
      </c>
      <c r="P483" s="207"/>
      <c r="Q483" s="211" t="str">
        <f t="shared" si="76"/>
        <v/>
      </c>
      <c r="R483" s="207"/>
      <c r="S483" s="211" t="str">
        <f t="shared" si="77"/>
        <v/>
      </c>
      <c r="T483" s="272" t="str">
        <f t="shared" si="78"/>
        <v/>
      </c>
      <c r="U483" s="212" t="str">
        <f t="shared" si="79"/>
        <v/>
      </c>
    </row>
    <row r="484" spans="2:21" x14ac:dyDescent="0.25">
      <c r="B484" s="241" t="str">
        <f>IF(Contagem!B482=0,"",Contagem!B482)</f>
        <v/>
      </c>
      <c r="C484" s="242" t="str">
        <f>IF(Contagem!T482 &gt; 0,Contagem!T482,"")</f>
        <v/>
      </c>
      <c r="D484" s="207"/>
      <c r="E484" s="211" t="str">
        <f t="shared" si="70"/>
        <v/>
      </c>
      <c r="F484" s="207"/>
      <c r="G484" s="211" t="str">
        <f t="shared" si="71"/>
        <v/>
      </c>
      <c r="H484" s="207"/>
      <c r="I484" s="211" t="str">
        <f t="shared" si="72"/>
        <v/>
      </c>
      <c r="J484" s="207"/>
      <c r="K484" s="211" t="str">
        <f t="shared" si="73"/>
        <v/>
      </c>
      <c r="L484" s="207"/>
      <c r="M484" s="211" t="str">
        <f t="shared" si="74"/>
        <v/>
      </c>
      <c r="N484" s="207"/>
      <c r="O484" s="211" t="str">
        <f t="shared" si="75"/>
        <v/>
      </c>
      <c r="P484" s="207"/>
      <c r="Q484" s="211" t="str">
        <f t="shared" si="76"/>
        <v/>
      </c>
      <c r="R484" s="207"/>
      <c r="S484" s="211" t="str">
        <f t="shared" si="77"/>
        <v/>
      </c>
      <c r="T484" s="272" t="str">
        <f t="shared" si="78"/>
        <v/>
      </c>
      <c r="U484" s="212" t="str">
        <f t="shared" si="79"/>
        <v/>
      </c>
    </row>
    <row r="485" spans="2:21" x14ac:dyDescent="0.25">
      <c r="B485" s="241" t="str">
        <f>IF(Contagem!B483=0,"",Contagem!B483)</f>
        <v/>
      </c>
      <c r="C485" s="242" t="str">
        <f>IF(Contagem!T483 &gt; 0,Contagem!T483,"")</f>
        <v/>
      </c>
      <c r="D485" s="207"/>
      <c r="E485" s="211" t="str">
        <f t="shared" si="70"/>
        <v/>
      </c>
      <c r="F485" s="207"/>
      <c r="G485" s="211" t="str">
        <f t="shared" si="71"/>
        <v/>
      </c>
      <c r="H485" s="207"/>
      <c r="I485" s="211" t="str">
        <f t="shared" si="72"/>
        <v/>
      </c>
      <c r="J485" s="207"/>
      <c r="K485" s="211" t="str">
        <f t="shared" si="73"/>
        <v/>
      </c>
      <c r="L485" s="207"/>
      <c r="M485" s="211" t="str">
        <f t="shared" si="74"/>
        <v/>
      </c>
      <c r="N485" s="207"/>
      <c r="O485" s="211" t="str">
        <f t="shared" si="75"/>
        <v/>
      </c>
      <c r="P485" s="207"/>
      <c r="Q485" s="211" t="str">
        <f t="shared" si="76"/>
        <v/>
      </c>
      <c r="R485" s="207"/>
      <c r="S485" s="211" t="str">
        <f t="shared" si="77"/>
        <v/>
      </c>
      <c r="T485" s="272" t="str">
        <f t="shared" si="78"/>
        <v/>
      </c>
      <c r="U485" s="212" t="str">
        <f t="shared" si="79"/>
        <v/>
      </c>
    </row>
    <row r="486" spans="2:21" x14ac:dyDescent="0.25">
      <c r="B486" s="241" t="str">
        <f>IF(Contagem!B484=0,"",Contagem!B484)</f>
        <v/>
      </c>
      <c r="C486" s="242" t="str">
        <f>IF(Contagem!T484 &gt; 0,Contagem!T484,"")</f>
        <v/>
      </c>
      <c r="D486" s="207"/>
      <c r="E486" s="211" t="str">
        <f t="shared" si="70"/>
        <v/>
      </c>
      <c r="F486" s="207"/>
      <c r="G486" s="211" t="str">
        <f t="shared" si="71"/>
        <v/>
      </c>
      <c r="H486" s="207"/>
      <c r="I486" s="211" t="str">
        <f t="shared" si="72"/>
        <v/>
      </c>
      <c r="J486" s="207"/>
      <c r="K486" s="211" t="str">
        <f t="shared" si="73"/>
        <v/>
      </c>
      <c r="L486" s="207"/>
      <c r="M486" s="211" t="str">
        <f t="shared" si="74"/>
        <v/>
      </c>
      <c r="N486" s="207"/>
      <c r="O486" s="211" t="str">
        <f t="shared" si="75"/>
        <v/>
      </c>
      <c r="P486" s="207"/>
      <c r="Q486" s="211" t="str">
        <f t="shared" si="76"/>
        <v/>
      </c>
      <c r="R486" s="207"/>
      <c r="S486" s="211" t="str">
        <f t="shared" si="77"/>
        <v/>
      </c>
      <c r="T486" s="272" t="str">
        <f t="shared" si="78"/>
        <v/>
      </c>
      <c r="U486" s="212" t="str">
        <f t="shared" si="79"/>
        <v/>
      </c>
    </row>
    <row r="487" spans="2:21" x14ac:dyDescent="0.25">
      <c r="B487" s="241" t="str">
        <f>IF(Contagem!B485=0,"",Contagem!B485)</f>
        <v/>
      </c>
      <c r="C487" s="242" t="str">
        <f>IF(Contagem!T485 &gt; 0,Contagem!T485,"")</f>
        <v/>
      </c>
      <c r="D487" s="207"/>
      <c r="E487" s="211" t="str">
        <f t="shared" si="70"/>
        <v/>
      </c>
      <c r="F487" s="207"/>
      <c r="G487" s="211" t="str">
        <f t="shared" si="71"/>
        <v/>
      </c>
      <c r="H487" s="207"/>
      <c r="I487" s="211" t="str">
        <f t="shared" si="72"/>
        <v/>
      </c>
      <c r="J487" s="207"/>
      <c r="K487" s="211" t="str">
        <f t="shared" si="73"/>
        <v/>
      </c>
      <c r="L487" s="207"/>
      <c r="M487" s="211" t="str">
        <f t="shared" si="74"/>
        <v/>
      </c>
      <c r="N487" s="207"/>
      <c r="O487" s="211" t="str">
        <f t="shared" si="75"/>
        <v/>
      </c>
      <c r="P487" s="207"/>
      <c r="Q487" s="211" t="str">
        <f t="shared" si="76"/>
        <v/>
      </c>
      <c r="R487" s="207"/>
      <c r="S487" s="211" t="str">
        <f t="shared" si="77"/>
        <v/>
      </c>
      <c r="T487" s="272" t="str">
        <f t="shared" si="78"/>
        <v/>
      </c>
      <c r="U487" s="212" t="str">
        <f t="shared" si="79"/>
        <v/>
      </c>
    </row>
    <row r="488" spans="2:21" x14ac:dyDescent="0.25">
      <c r="B488" s="241" t="str">
        <f>IF(Contagem!B486=0,"",Contagem!B486)</f>
        <v/>
      </c>
      <c r="C488" s="242" t="str">
        <f>IF(Contagem!T486 &gt; 0,Contagem!T486,"")</f>
        <v/>
      </c>
      <c r="D488" s="207"/>
      <c r="E488" s="211" t="str">
        <f t="shared" si="70"/>
        <v/>
      </c>
      <c r="F488" s="207"/>
      <c r="G488" s="211" t="str">
        <f t="shared" si="71"/>
        <v/>
      </c>
      <c r="H488" s="207"/>
      <c r="I488" s="211" t="str">
        <f t="shared" si="72"/>
        <v/>
      </c>
      <c r="J488" s="207"/>
      <c r="K488" s="211" t="str">
        <f t="shared" si="73"/>
        <v/>
      </c>
      <c r="L488" s="207"/>
      <c r="M488" s="211" t="str">
        <f t="shared" si="74"/>
        <v/>
      </c>
      <c r="N488" s="207"/>
      <c r="O488" s="211" t="str">
        <f t="shared" si="75"/>
        <v/>
      </c>
      <c r="P488" s="207"/>
      <c r="Q488" s="211" t="str">
        <f t="shared" si="76"/>
        <v/>
      </c>
      <c r="R488" s="207"/>
      <c r="S488" s="211" t="str">
        <f t="shared" si="77"/>
        <v/>
      </c>
      <c r="T488" s="272" t="str">
        <f t="shared" si="78"/>
        <v/>
      </c>
      <c r="U488" s="212" t="str">
        <f t="shared" si="79"/>
        <v/>
      </c>
    </row>
    <row r="489" spans="2:21" x14ac:dyDescent="0.25">
      <c r="B489" s="241" t="str">
        <f>IF(Contagem!B487=0,"",Contagem!B487)</f>
        <v/>
      </c>
      <c r="C489" s="242" t="str">
        <f>IF(Contagem!T487 &gt; 0,Contagem!T487,"")</f>
        <v/>
      </c>
      <c r="D489" s="207"/>
      <c r="E489" s="211" t="str">
        <f t="shared" si="70"/>
        <v/>
      </c>
      <c r="F489" s="207"/>
      <c r="G489" s="211" t="str">
        <f t="shared" si="71"/>
        <v/>
      </c>
      <c r="H489" s="207"/>
      <c r="I489" s="211" t="str">
        <f t="shared" si="72"/>
        <v/>
      </c>
      <c r="J489" s="207"/>
      <c r="K489" s="211" t="str">
        <f t="shared" si="73"/>
        <v/>
      </c>
      <c r="L489" s="207"/>
      <c r="M489" s="211" t="str">
        <f t="shared" si="74"/>
        <v/>
      </c>
      <c r="N489" s="207"/>
      <c r="O489" s="211" t="str">
        <f t="shared" si="75"/>
        <v/>
      </c>
      <c r="P489" s="207"/>
      <c r="Q489" s="211" t="str">
        <f t="shared" si="76"/>
        <v/>
      </c>
      <c r="R489" s="207"/>
      <c r="S489" s="211" t="str">
        <f t="shared" si="77"/>
        <v/>
      </c>
      <c r="T489" s="272" t="str">
        <f t="shared" si="78"/>
        <v/>
      </c>
      <c r="U489" s="212" t="str">
        <f t="shared" si="79"/>
        <v/>
      </c>
    </row>
    <row r="490" spans="2:21" x14ac:dyDescent="0.25">
      <c r="B490" s="241" t="str">
        <f>IF(Contagem!B488=0,"",Contagem!B488)</f>
        <v/>
      </c>
      <c r="C490" s="242" t="str">
        <f>IF(Contagem!T488 &gt; 0,Contagem!T488,"")</f>
        <v/>
      </c>
      <c r="D490" s="207"/>
      <c r="E490" s="211" t="str">
        <f t="shared" si="70"/>
        <v/>
      </c>
      <c r="F490" s="207"/>
      <c r="G490" s="211" t="str">
        <f t="shared" si="71"/>
        <v/>
      </c>
      <c r="H490" s="207"/>
      <c r="I490" s="211" t="str">
        <f t="shared" si="72"/>
        <v/>
      </c>
      <c r="J490" s="207"/>
      <c r="K490" s="211" t="str">
        <f t="shared" si="73"/>
        <v/>
      </c>
      <c r="L490" s="207"/>
      <c r="M490" s="211" t="str">
        <f t="shared" si="74"/>
        <v/>
      </c>
      <c r="N490" s="207"/>
      <c r="O490" s="211" t="str">
        <f t="shared" si="75"/>
        <v/>
      </c>
      <c r="P490" s="207"/>
      <c r="Q490" s="211" t="str">
        <f t="shared" si="76"/>
        <v/>
      </c>
      <c r="R490" s="207"/>
      <c r="S490" s="211" t="str">
        <f t="shared" si="77"/>
        <v/>
      </c>
      <c r="T490" s="272" t="str">
        <f t="shared" si="78"/>
        <v/>
      </c>
      <c r="U490" s="212" t="str">
        <f t="shared" si="79"/>
        <v/>
      </c>
    </row>
    <row r="491" spans="2:21" x14ac:dyDescent="0.25">
      <c r="B491" s="241" t="str">
        <f>IF(Contagem!B489=0,"",Contagem!B489)</f>
        <v/>
      </c>
      <c r="C491" s="242" t="str">
        <f>IF(Contagem!T489 &gt; 0,Contagem!T489,"")</f>
        <v/>
      </c>
      <c r="D491" s="207"/>
      <c r="E491" s="211" t="str">
        <f t="shared" si="70"/>
        <v/>
      </c>
      <c r="F491" s="207"/>
      <c r="G491" s="211" t="str">
        <f t="shared" si="71"/>
        <v/>
      </c>
      <c r="H491" s="207"/>
      <c r="I491" s="211" t="str">
        <f t="shared" si="72"/>
        <v/>
      </c>
      <c r="J491" s="207"/>
      <c r="K491" s="211" t="str">
        <f t="shared" si="73"/>
        <v/>
      </c>
      <c r="L491" s="207"/>
      <c r="M491" s="211" t="str">
        <f t="shared" si="74"/>
        <v/>
      </c>
      <c r="N491" s="207"/>
      <c r="O491" s="211" t="str">
        <f t="shared" si="75"/>
        <v/>
      </c>
      <c r="P491" s="207"/>
      <c r="Q491" s="211" t="str">
        <f t="shared" si="76"/>
        <v/>
      </c>
      <c r="R491" s="207"/>
      <c r="S491" s="211" t="str">
        <f t="shared" si="77"/>
        <v/>
      </c>
      <c r="T491" s="272" t="str">
        <f t="shared" si="78"/>
        <v/>
      </c>
      <c r="U491" s="212" t="str">
        <f t="shared" si="79"/>
        <v/>
      </c>
    </row>
    <row r="492" spans="2:21" x14ac:dyDescent="0.25">
      <c r="B492" s="241" t="str">
        <f>IF(Contagem!B490=0,"",Contagem!B490)</f>
        <v/>
      </c>
      <c r="C492" s="242" t="str">
        <f>IF(Contagem!T490 &gt; 0,Contagem!T490,"")</f>
        <v/>
      </c>
      <c r="D492" s="207"/>
      <c r="E492" s="211" t="str">
        <f t="shared" si="70"/>
        <v/>
      </c>
      <c r="F492" s="207"/>
      <c r="G492" s="211" t="str">
        <f t="shared" si="71"/>
        <v/>
      </c>
      <c r="H492" s="207"/>
      <c r="I492" s="211" t="str">
        <f t="shared" si="72"/>
        <v/>
      </c>
      <c r="J492" s="207"/>
      <c r="K492" s="211" t="str">
        <f t="shared" si="73"/>
        <v/>
      </c>
      <c r="L492" s="207"/>
      <c r="M492" s="211" t="str">
        <f t="shared" si="74"/>
        <v/>
      </c>
      <c r="N492" s="207"/>
      <c r="O492" s="211" t="str">
        <f t="shared" si="75"/>
        <v/>
      </c>
      <c r="P492" s="207"/>
      <c r="Q492" s="211" t="str">
        <f t="shared" si="76"/>
        <v/>
      </c>
      <c r="R492" s="207"/>
      <c r="S492" s="211" t="str">
        <f t="shared" si="77"/>
        <v/>
      </c>
      <c r="T492" s="272" t="str">
        <f t="shared" si="78"/>
        <v/>
      </c>
      <c r="U492" s="212" t="str">
        <f t="shared" si="79"/>
        <v/>
      </c>
    </row>
    <row r="493" spans="2:21" x14ac:dyDescent="0.25">
      <c r="B493" s="241" t="str">
        <f>IF(Contagem!B491=0,"",Contagem!B491)</f>
        <v/>
      </c>
      <c r="C493" s="242" t="str">
        <f>IF(Contagem!T491 &gt; 0,Contagem!T491,"")</f>
        <v/>
      </c>
      <c r="D493" s="207"/>
      <c r="E493" s="211" t="str">
        <f t="shared" si="70"/>
        <v/>
      </c>
      <c r="F493" s="207"/>
      <c r="G493" s="211" t="str">
        <f t="shared" si="71"/>
        <v/>
      </c>
      <c r="H493" s="207"/>
      <c r="I493" s="211" t="str">
        <f t="shared" si="72"/>
        <v/>
      </c>
      <c r="J493" s="207"/>
      <c r="K493" s="211" t="str">
        <f t="shared" si="73"/>
        <v/>
      </c>
      <c r="L493" s="207"/>
      <c r="M493" s="211" t="str">
        <f t="shared" si="74"/>
        <v/>
      </c>
      <c r="N493" s="207"/>
      <c r="O493" s="211" t="str">
        <f t="shared" si="75"/>
        <v/>
      </c>
      <c r="P493" s="207"/>
      <c r="Q493" s="211" t="str">
        <f t="shared" si="76"/>
        <v/>
      </c>
      <c r="R493" s="207"/>
      <c r="S493" s="211" t="str">
        <f t="shared" si="77"/>
        <v/>
      </c>
      <c r="T493" s="272" t="str">
        <f t="shared" si="78"/>
        <v/>
      </c>
      <c r="U493" s="212" t="str">
        <f t="shared" si="79"/>
        <v/>
      </c>
    </row>
    <row r="494" spans="2:21" x14ac:dyDescent="0.25">
      <c r="B494" s="241" t="str">
        <f>IF(Contagem!B492=0,"",Contagem!B492)</f>
        <v/>
      </c>
      <c r="C494" s="242" t="str">
        <f>IF(Contagem!T492 &gt; 0,Contagem!T492,"")</f>
        <v/>
      </c>
      <c r="D494" s="207"/>
      <c r="E494" s="211" t="str">
        <f t="shared" si="70"/>
        <v/>
      </c>
      <c r="F494" s="207"/>
      <c r="G494" s="211" t="str">
        <f t="shared" si="71"/>
        <v/>
      </c>
      <c r="H494" s="207"/>
      <c r="I494" s="211" t="str">
        <f t="shared" si="72"/>
        <v/>
      </c>
      <c r="J494" s="207"/>
      <c r="K494" s="211" t="str">
        <f t="shared" si="73"/>
        <v/>
      </c>
      <c r="L494" s="207"/>
      <c r="M494" s="211" t="str">
        <f t="shared" si="74"/>
        <v/>
      </c>
      <c r="N494" s="207"/>
      <c r="O494" s="211" t="str">
        <f t="shared" si="75"/>
        <v/>
      </c>
      <c r="P494" s="207"/>
      <c r="Q494" s="211" t="str">
        <f t="shared" si="76"/>
        <v/>
      </c>
      <c r="R494" s="207"/>
      <c r="S494" s="211" t="str">
        <f t="shared" si="77"/>
        <v/>
      </c>
      <c r="T494" s="272" t="str">
        <f t="shared" si="78"/>
        <v/>
      </c>
      <c r="U494" s="212" t="str">
        <f t="shared" si="79"/>
        <v/>
      </c>
    </row>
    <row r="495" spans="2:21" x14ac:dyDescent="0.25">
      <c r="B495" s="241" t="str">
        <f>IF(Contagem!B493=0,"",Contagem!B493)</f>
        <v/>
      </c>
      <c r="C495" s="242" t="str">
        <f>IF(Contagem!T493 &gt; 0,Contagem!T493,"")</f>
        <v/>
      </c>
      <c r="D495" s="207"/>
      <c r="E495" s="211" t="str">
        <f t="shared" si="70"/>
        <v/>
      </c>
      <c r="F495" s="207"/>
      <c r="G495" s="211" t="str">
        <f t="shared" si="71"/>
        <v/>
      </c>
      <c r="H495" s="207"/>
      <c r="I495" s="211" t="str">
        <f t="shared" si="72"/>
        <v/>
      </c>
      <c r="J495" s="207"/>
      <c r="K495" s="211" t="str">
        <f t="shared" si="73"/>
        <v/>
      </c>
      <c r="L495" s="207"/>
      <c r="M495" s="211" t="str">
        <f t="shared" si="74"/>
        <v/>
      </c>
      <c r="N495" s="207"/>
      <c r="O495" s="211" t="str">
        <f t="shared" si="75"/>
        <v/>
      </c>
      <c r="P495" s="207"/>
      <c r="Q495" s="211" t="str">
        <f t="shared" si="76"/>
        <v/>
      </c>
      <c r="R495" s="207"/>
      <c r="S495" s="211" t="str">
        <f t="shared" si="77"/>
        <v/>
      </c>
      <c r="T495" s="272" t="str">
        <f t="shared" si="78"/>
        <v/>
      </c>
      <c r="U495" s="212" t="str">
        <f t="shared" si="79"/>
        <v/>
      </c>
    </row>
    <row r="496" spans="2:21" x14ac:dyDescent="0.25">
      <c r="B496" s="241" t="str">
        <f>IF(Contagem!B494=0,"",Contagem!B494)</f>
        <v/>
      </c>
      <c r="C496" s="242" t="str">
        <f>IF(Contagem!T494 &gt; 0,Contagem!T494,"")</f>
        <v/>
      </c>
      <c r="D496" s="207"/>
      <c r="E496" s="211" t="str">
        <f t="shared" si="70"/>
        <v/>
      </c>
      <c r="F496" s="207"/>
      <c r="G496" s="211" t="str">
        <f t="shared" si="71"/>
        <v/>
      </c>
      <c r="H496" s="207"/>
      <c r="I496" s="211" t="str">
        <f t="shared" si="72"/>
        <v/>
      </c>
      <c r="J496" s="207"/>
      <c r="K496" s="211" t="str">
        <f t="shared" si="73"/>
        <v/>
      </c>
      <c r="L496" s="207"/>
      <c r="M496" s="211" t="str">
        <f t="shared" si="74"/>
        <v/>
      </c>
      <c r="N496" s="207"/>
      <c r="O496" s="211" t="str">
        <f t="shared" si="75"/>
        <v/>
      </c>
      <c r="P496" s="207"/>
      <c r="Q496" s="211" t="str">
        <f t="shared" si="76"/>
        <v/>
      </c>
      <c r="R496" s="207"/>
      <c r="S496" s="211" t="str">
        <f t="shared" si="77"/>
        <v/>
      </c>
      <c r="T496" s="272" t="str">
        <f t="shared" si="78"/>
        <v/>
      </c>
      <c r="U496" s="212" t="str">
        <f t="shared" si="79"/>
        <v/>
      </c>
    </row>
    <row r="497" spans="2:21" x14ac:dyDescent="0.25">
      <c r="B497" s="241" t="str">
        <f>IF(Contagem!B495=0,"",Contagem!B495)</f>
        <v/>
      </c>
      <c r="C497" s="242" t="str">
        <f>IF(Contagem!T495 &gt; 0,Contagem!T495,"")</f>
        <v/>
      </c>
      <c r="D497" s="207"/>
      <c r="E497" s="211" t="str">
        <f t="shared" si="70"/>
        <v/>
      </c>
      <c r="F497" s="207"/>
      <c r="G497" s="211" t="str">
        <f t="shared" si="71"/>
        <v/>
      </c>
      <c r="H497" s="207"/>
      <c r="I497" s="211" t="str">
        <f t="shared" si="72"/>
        <v/>
      </c>
      <c r="J497" s="207"/>
      <c r="K497" s="211" t="str">
        <f t="shared" si="73"/>
        <v/>
      </c>
      <c r="L497" s="207"/>
      <c r="M497" s="211" t="str">
        <f t="shared" si="74"/>
        <v/>
      </c>
      <c r="N497" s="207"/>
      <c r="O497" s="211" t="str">
        <f t="shared" si="75"/>
        <v/>
      </c>
      <c r="P497" s="207"/>
      <c r="Q497" s="211" t="str">
        <f t="shared" si="76"/>
        <v/>
      </c>
      <c r="R497" s="207"/>
      <c r="S497" s="211" t="str">
        <f t="shared" si="77"/>
        <v/>
      </c>
      <c r="T497" s="272" t="str">
        <f t="shared" si="78"/>
        <v/>
      </c>
      <c r="U497" s="212" t="str">
        <f t="shared" si="79"/>
        <v/>
      </c>
    </row>
    <row r="498" spans="2:21" x14ac:dyDescent="0.25">
      <c r="B498" s="241" t="str">
        <f>IF(Contagem!B496=0,"",Contagem!B496)</f>
        <v/>
      </c>
      <c r="C498" s="242" t="str">
        <f>IF(Contagem!T496 &gt; 0,Contagem!T496,"")</f>
        <v/>
      </c>
      <c r="D498" s="207"/>
      <c r="E498" s="211" t="str">
        <f t="shared" si="70"/>
        <v/>
      </c>
      <c r="F498" s="207"/>
      <c r="G498" s="211" t="str">
        <f t="shared" si="71"/>
        <v/>
      </c>
      <c r="H498" s="207"/>
      <c r="I498" s="211" t="str">
        <f t="shared" si="72"/>
        <v/>
      </c>
      <c r="J498" s="207"/>
      <c r="K498" s="211" t="str">
        <f t="shared" si="73"/>
        <v/>
      </c>
      <c r="L498" s="207"/>
      <c r="M498" s="211" t="str">
        <f t="shared" si="74"/>
        <v/>
      </c>
      <c r="N498" s="207"/>
      <c r="O498" s="211" t="str">
        <f t="shared" si="75"/>
        <v/>
      </c>
      <c r="P498" s="207"/>
      <c r="Q498" s="211" t="str">
        <f t="shared" si="76"/>
        <v/>
      </c>
      <c r="R498" s="207"/>
      <c r="S498" s="211" t="str">
        <f t="shared" si="77"/>
        <v/>
      </c>
      <c r="T498" s="272" t="str">
        <f t="shared" si="78"/>
        <v/>
      </c>
      <c r="U498" s="212" t="str">
        <f t="shared" si="79"/>
        <v/>
      </c>
    </row>
    <row r="499" spans="2:21" x14ac:dyDescent="0.25">
      <c r="B499" s="241" t="str">
        <f>IF(Contagem!B497=0,"",Contagem!B497)</f>
        <v/>
      </c>
      <c r="C499" s="242" t="str">
        <f>IF(Contagem!T497 &gt; 0,Contagem!T497,"")</f>
        <v/>
      </c>
      <c r="D499" s="207"/>
      <c r="E499" s="211" t="str">
        <f t="shared" si="70"/>
        <v/>
      </c>
      <c r="F499" s="207"/>
      <c r="G499" s="211" t="str">
        <f t="shared" si="71"/>
        <v/>
      </c>
      <c r="H499" s="207"/>
      <c r="I499" s="211" t="str">
        <f t="shared" si="72"/>
        <v/>
      </c>
      <c r="J499" s="207"/>
      <c r="K499" s="211" t="str">
        <f t="shared" si="73"/>
        <v/>
      </c>
      <c r="L499" s="207"/>
      <c r="M499" s="211" t="str">
        <f t="shared" si="74"/>
        <v/>
      </c>
      <c r="N499" s="207"/>
      <c r="O499" s="211" t="str">
        <f t="shared" si="75"/>
        <v/>
      </c>
      <c r="P499" s="207"/>
      <c r="Q499" s="211" t="str">
        <f t="shared" si="76"/>
        <v/>
      </c>
      <c r="R499" s="207"/>
      <c r="S499" s="211" t="str">
        <f t="shared" si="77"/>
        <v/>
      </c>
      <c r="T499" s="272" t="str">
        <f t="shared" si="78"/>
        <v/>
      </c>
      <c r="U499" s="212" t="str">
        <f t="shared" si="79"/>
        <v/>
      </c>
    </row>
    <row r="500" spans="2:21" x14ac:dyDescent="0.25">
      <c r="B500" s="241" t="str">
        <f>IF(Contagem!B498=0,"",Contagem!B498)</f>
        <v/>
      </c>
      <c r="C500" s="242" t="str">
        <f>IF(Contagem!T498 &gt; 0,Contagem!T498,"")</f>
        <v/>
      </c>
      <c r="D500" s="207"/>
      <c r="E500" s="211" t="str">
        <f t="shared" si="70"/>
        <v/>
      </c>
      <c r="F500" s="207"/>
      <c r="G500" s="211" t="str">
        <f t="shared" si="71"/>
        <v/>
      </c>
      <c r="H500" s="207"/>
      <c r="I500" s="211" t="str">
        <f t="shared" si="72"/>
        <v/>
      </c>
      <c r="J500" s="207"/>
      <c r="K500" s="211" t="str">
        <f t="shared" si="73"/>
        <v/>
      </c>
      <c r="L500" s="207"/>
      <c r="M500" s="211" t="str">
        <f t="shared" si="74"/>
        <v/>
      </c>
      <c r="N500" s="207"/>
      <c r="O500" s="211" t="str">
        <f t="shared" si="75"/>
        <v/>
      </c>
      <c r="P500" s="207"/>
      <c r="Q500" s="211" t="str">
        <f t="shared" si="76"/>
        <v/>
      </c>
      <c r="R500" s="207"/>
      <c r="S500" s="211" t="str">
        <f t="shared" si="77"/>
        <v/>
      </c>
      <c r="T500" s="272" t="str">
        <f t="shared" si="78"/>
        <v/>
      </c>
      <c r="U500" s="212" t="str">
        <f t="shared" si="79"/>
        <v/>
      </c>
    </row>
    <row r="501" spans="2:21" x14ac:dyDescent="0.25">
      <c r="B501" s="241" t="str">
        <f>IF(Contagem!B499=0,"",Contagem!B499)</f>
        <v/>
      </c>
      <c r="C501" s="242" t="str">
        <f>IF(Contagem!T499 &gt; 0,Contagem!T499,"")</f>
        <v/>
      </c>
      <c r="D501" s="207"/>
      <c r="E501" s="211" t="str">
        <f t="shared" si="70"/>
        <v/>
      </c>
      <c r="F501" s="207"/>
      <c r="G501" s="211" t="str">
        <f t="shared" si="71"/>
        <v/>
      </c>
      <c r="H501" s="207"/>
      <c r="I501" s="211" t="str">
        <f t="shared" si="72"/>
        <v/>
      </c>
      <c r="J501" s="207"/>
      <c r="K501" s="211" t="str">
        <f t="shared" si="73"/>
        <v/>
      </c>
      <c r="L501" s="207"/>
      <c r="M501" s="211" t="str">
        <f t="shared" si="74"/>
        <v/>
      </c>
      <c r="N501" s="207"/>
      <c r="O501" s="211" t="str">
        <f t="shared" si="75"/>
        <v/>
      </c>
      <c r="P501" s="207"/>
      <c r="Q501" s="211" t="str">
        <f t="shared" si="76"/>
        <v/>
      </c>
      <c r="R501" s="207"/>
      <c r="S501" s="211" t="str">
        <f t="shared" si="77"/>
        <v/>
      </c>
      <c r="T501" s="272" t="str">
        <f t="shared" si="78"/>
        <v/>
      </c>
      <c r="U501" s="212" t="str">
        <f t="shared" si="79"/>
        <v/>
      </c>
    </row>
    <row r="502" spans="2:21" x14ac:dyDescent="0.25">
      <c r="B502" s="241" t="str">
        <f>IF(Contagem!B500=0,"",Contagem!B500)</f>
        <v/>
      </c>
      <c r="C502" s="242" t="str">
        <f>IF(Contagem!T500 &gt; 0,Contagem!T500,"")</f>
        <v/>
      </c>
      <c r="D502" s="207"/>
      <c r="E502" s="211" t="str">
        <f t="shared" si="70"/>
        <v/>
      </c>
      <c r="F502" s="207"/>
      <c r="G502" s="211" t="str">
        <f t="shared" si="71"/>
        <v/>
      </c>
      <c r="H502" s="207"/>
      <c r="I502" s="211" t="str">
        <f t="shared" si="72"/>
        <v/>
      </c>
      <c r="J502" s="207"/>
      <c r="K502" s="211" t="str">
        <f t="shared" si="73"/>
        <v/>
      </c>
      <c r="L502" s="207"/>
      <c r="M502" s="211" t="str">
        <f t="shared" si="74"/>
        <v/>
      </c>
      <c r="N502" s="207"/>
      <c r="O502" s="211" t="str">
        <f t="shared" si="75"/>
        <v/>
      </c>
      <c r="P502" s="207"/>
      <c r="Q502" s="211" t="str">
        <f t="shared" si="76"/>
        <v/>
      </c>
      <c r="R502" s="207"/>
      <c r="S502" s="211" t="str">
        <f t="shared" si="77"/>
        <v/>
      </c>
      <c r="T502" s="272" t="str">
        <f t="shared" si="78"/>
        <v/>
      </c>
      <c r="U502" s="212" t="str">
        <f t="shared" si="79"/>
        <v/>
      </c>
    </row>
    <row r="503" spans="2:21" x14ac:dyDescent="0.25">
      <c r="B503" s="241" t="str">
        <f>IF(Contagem!B501=0,"",Contagem!B501)</f>
        <v/>
      </c>
      <c r="C503" s="242" t="str">
        <f>IF(Contagem!T501 &gt; 0,Contagem!T501,"")</f>
        <v/>
      </c>
      <c r="D503" s="207"/>
      <c r="E503" s="211" t="str">
        <f t="shared" si="70"/>
        <v/>
      </c>
      <c r="F503" s="207"/>
      <c r="G503" s="211" t="str">
        <f t="shared" si="71"/>
        <v/>
      </c>
      <c r="H503" s="207"/>
      <c r="I503" s="211" t="str">
        <f t="shared" si="72"/>
        <v/>
      </c>
      <c r="J503" s="207"/>
      <c r="K503" s="211" t="str">
        <f t="shared" si="73"/>
        <v/>
      </c>
      <c r="L503" s="207"/>
      <c r="M503" s="211" t="str">
        <f t="shared" si="74"/>
        <v/>
      </c>
      <c r="N503" s="207"/>
      <c r="O503" s="211" t="str">
        <f t="shared" si="75"/>
        <v/>
      </c>
      <c r="P503" s="207"/>
      <c r="Q503" s="211" t="str">
        <f t="shared" si="76"/>
        <v/>
      </c>
      <c r="R503" s="207"/>
      <c r="S503" s="211" t="str">
        <f t="shared" si="77"/>
        <v/>
      </c>
      <c r="T503" s="272" t="str">
        <f t="shared" si="78"/>
        <v/>
      </c>
      <c r="U503" s="212" t="str">
        <f t="shared" si="79"/>
        <v/>
      </c>
    </row>
    <row r="504" spans="2:21" x14ac:dyDescent="0.25">
      <c r="B504" s="241" t="str">
        <f>IF(Contagem!B502=0,"",Contagem!B502)</f>
        <v/>
      </c>
      <c r="C504" s="242" t="str">
        <f>IF(Contagem!T502 &gt; 0,Contagem!T502,"")</f>
        <v/>
      </c>
      <c r="D504" s="207"/>
      <c r="E504" s="211" t="str">
        <f t="shared" si="70"/>
        <v/>
      </c>
      <c r="F504" s="207"/>
      <c r="G504" s="211" t="str">
        <f t="shared" si="71"/>
        <v/>
      </c>
      <c r="H504" s="207"/>
      <c r="I504" s="211" t="str">
        <f t="shared" si="72"/>
        <v/>
      </c>
      <c r="J504" s="207"/>
      <c r="K504" s="211" t="str">
        <f t="shared" si="73"/>
        <v/>
      </c>
      <c r="L504" s="207"/>
      <c r="M504" s="211" t="str">
        <f t="shared" si="74"/>
        <v/>
      </c>
      <c r="N504" s="207"/>
      <c r="O504" s="211" t="str">
        <f t="shared" si="75"/>
        <v/>
      </c>
      <c r="P504" s="207"/>
      <c r="Q504" s="211" t="str">
        <f t="shared" si="76"/>
        <v/>
      </c>
      <c r="R504" s="207"/>
      <c r="S504" s="211" t="str">
        <f t="shared" si="77"/>
        <v/>
      </c>
      <c r="T504" s="272" t="str">
        <f t="shared" si="78"/>
        <v/>
      </c>
      <c r="U504" s="212" t="str">
        <f t="shared" si="79"/>
        <v/>
      </c>
    </row>
    <row r="505" spans="2:21" x14ac:dyDescent="0.25">
      <c r="B505" s="241" t="str">
        <f>IF(Contagem!B503=0,"",Contagem!B503)</f>
        <v/>
      </c>
      <c r="C505" s="242" t="str">
        <f>IF(Contagem!T503 &gt; 0,Contagem!T503,"")</f>
        <v/>
      </c>
      <c r="D505" s="207"/>
      <c r="E505" s="211" t="str">
        <f t="shared" si="70"/>
        <v/>
      </c>
      <c r="F505" s="207"/>
      <c r="G505" s="211" t="str">
        <f t="shared" si="71"/>
        <v/>
      </c>
      <c r="H505" s="207"/>
      <c r="I505" s="211" t="str">
        <f t="shared" si="72"/>
        <v/>
      </c>
      <c r="J505" s="207"/>
      <c r="K505" s="211" t="str">
        <f t="shared" si="73"/>
        <v/>
      </c>
      <c r="L505" s="207"/>
      <c r="M505" s="211" t="str">
        <f t="shared" si="74"/>
        <v/>
      </c>
      <c r="N505" s="207"/>
      <c r="O505" s="211" t="str">
        <f t="shared" si="75"/>
        <v/>
      </c>
      <c r="P505" s="207"/>
      <c r="Q505" s="211" t="str">
        <f t="shared" si="76"/>
        <v/>
      </c>
      <c r="R505" s="207"/>
      <c r="S505" s="211" t="str">
        <f t="shared" si="77"/>
        <v/>
      </c>
      <c r="T505" s="272" t="str">
        <f t="shared" si="78"/>
        <v/>
      </c>
      <c r="U505" s="212" t="str">
        <f t="shared" si="79"/>
        <v/>
      </c>
    </row>
    <row r="506" spans="2:21" x14ac:dyDescent="0.25">
      <c r="B506" s="241" t="str">
        <f>IF(Contagem!B504=0,"",Contagem!B504)</f>
        <v/>
      </c>
      <c r="C506" s="242" t="str">
        <f>IF(Contagem!T504 &gt; 0,Contagem!T504,"")</f>
        <v/>
      </c>
      <c r="D506" s="207"/>
      <c r="E506" s="211" t="str">
        <f t="shared" si="70"/>
        <v/>
      </c>
      <c r="F506" s="207"/>
      <c r="G506" s="211" t="str">
        <f t="shared" si="71"/>
        <v/>
      </c>
      <c r="H506" s="207"/>
      <c r="I506" s="211" t="str">
        <f t="shared" si="72"/>
        <v/>
      </c>
      <c r="J506" s="207"/>
      <c r="K506" s="211" t="str">
        <f t="shared" si="73"/>
        <v/>
      </c>
      <c r="L506" s="207"/>
      <c r="M506" s="211" t="str">
        <f t="shared" si="74"/>
        <v/>
      </c>
      <c r="N506" s="207"/>
      <c r="O506" s="211" t="str">
        <f t="shared" si="75"/>
        <v/>
      </c>
      <c r="P506" s="207"/>
      <c r="Q506" s="211" t="str">
        <f t="shared" si="76"/>
        <v/>
      </c>
      <c r="R506" s="207"/>
      <c r="S506" s="211" t="str">
        <f t="shared" si="77"/>
        <v/>
      </c>
      <c r="T506" s="272" t="str">
        <f t="shared" si="78"/>
        <v/>
      </c>
      <c r="U506" s="212" t="str">
        <f t="shared" si="79"/>
        <v/>
      </c>
    </row>
    <row r="507" spans="2:21" x14ac:dyDescent="0.25">
      <c r="B507" s="241" t="str">
        <f>IF(Contagem!B505=0,"",Contagem!B505)</f>
        <v/>
      </c>
      <c r="C507" s="242" t="str">
        <f>IF(Contagem!T505 &gt; 0,Contagem!T505,"")</f>
        <v/>
      </c>
      <c r="D507" s="207"/>
      <c r="E507" s="211" t="str">
        <f t="shared" si="70"/>
        <v/>
      </c>
      <c r="F507" s="207"/>
      <c r="G507" s="211" t="str">
        <f t="shared" si="71"/>
        <v/>
      </c>
      <c r="H507" s="207"/>
      <c r="I507" s="211" t="str">
        <f t="shared" si="72"/>
        <v/>
      </c>
      <c r="J507" s="207"/>
      <c r="K507" s="211" t="str">
        <f t="shared" si="73"/>
        <v/>
      </c>
      <c r="L507" s="207"/>
      <c r="M507" s="211" t="str">
        <f t="shared" si="74"/>
        <v/>
      </c>
      <c r="N507" s="207"/>
      <c r="O507" s="211" t="str">
        <f t="shared" si="75"/>
        <v/>
      </c>
      <c r="P507" s="207"/>
      <c r="Q507" s="211" t="str">
        <f t="shared" si="76"/>
        <v/>
      </c>
      <c r="R507" s="207"/>
      <c r="S507" s="211" t="str">
        <f t="shared" si="77"/>
        <v/>
      </c>
      <c r="T507" s="272" t="str">
        <f t="shared" si="78"/>
        <v/>
      </c>
      <c r="U507" s="212" t="str">
        <f t="shared" si="79"/>
        <v/>
      </c>
    </row>
    <row r="508" spans="2:21" x14ac:dyDescent="0.25">
      <c r="B508" s="241" t="str">
        <f>IF(Contagem!B506=0,"",Contagem!B506)</f>
        <v/>
      </c>
      <c r="C508" s="242" t="str">
        <f>IF(Contagem!T506 &gt; 0,Contagem!T506,"")</f>
        <v/>
      </c>
      <c r="D508" s="207"/>
      <c r="E508" s="211" t="str">
        <f t="shared" si="70"/>
        <v/>
      </c>
      <c r="F508" s="207"/>
      <c r="G508" s="211" t="str">
        <f t="shared" si="71"/>
        <v/>
      </c>
      <c r="H508" s="207"/>
      <c r="I508" s="211" t="str">
        <f t="shared" si="72"/>
        <v/>
      </c>
      <c r="J508" s="207"/>
      <c r="K508" s="211" t="str">
        <f t="shared" si="73"/>
        <v/>
      </c>
      <c r="L508" s="207"/>
      <c r="M508" s="211" t="str">
        <f t="shared" si="74"/>
        <v/>
      </c>
      <c r="N508" s="207"/>
      <c r="O508" s="211" t="str">
        <f t="shared" si="75"/>
        <v/>
      </c>
      <c r="P508" s="207"/>
      <c r="Q508" s="211" t="str">
        <f t="shared" si="76"/>
        <v/>
      </c>
      <c r="R508" s="207"/>
      <c r="S508" s="211" t="str">
        <f t="shared" si="77"/>
        <v/>
      </c>
      <c r="T508" s="272" t="str">
        <f t="shared" si="78"/>
        <v/>
      </c>
      <c r="U508" s="212" t="str">
        <f t="shared" si="79"/>
        <v/>
      </c>
    </row>
    <row r="509" spans="2:21" x14ac:dyDescent="0.25">
      <c r="B509" s="241" t="str">
        <f>IF(Contagem!B507=0,"",Contagem!B507)</f>
        <v/>
      </c>
      <c r="C509" s="242" t="str">
        <f>IF(Contagem!T507 &gt; 0,Contagem!T507,"")</f>
        <v/>
      </c>
      <c r="D509" s="207"/>
      <c r="E509" s="211" t="str">
        <f t="shared" si="70"/>
        <v/>
      </c>
      <c r="F509" s="207"/>
      <c r="G509" s="211" t="str">
        <f t="shared" si="71"/>
        <v/>
      </c>
      <c r="H509" s="207"/>
      <c r="I509" s="211" t="str">
        <f t="shared" si="72"/>
        <v/>
      </c>
      <c r="J509" s="207"/>
      <c r="K509" s="211" t="str">
        <f t="shared" si="73"/>
        <v/>
      </c>
      <c r="L509" s="207"/>
      <c r="M509" s="211" t="str">
        <f t="shared" si="74"/>
        <v/>
      </c>
      <c r="N509" s="207"/>
      <c r="O509" s="211" t="str">
        <f t="shared" si="75"/>
        <v/>
      </c>
      <c r="P509" s="207"/>
      <c r="Q509" s="211" t="str">
        <f t="shared" si="76"/>
        <v/>
      </c>
      <c r="R509" s="207"/>
      <c r="S509" s="211" t="str">
        <f t="shared" si="77"/>
        <v/>
      </c>
      <c r="T509" s="272" t="str">
        <f t="shared" si="78"/>
        <v/>
      </c>
      <c r="U509" s="212" t="str">
        <f t="shared" si="79"/>
        <v/>
      </c>
    </row>
    <row r="510" spans="2:21" x14ac:dyDescent="0.25">
      <c r="B510" s="241" t="str">
        <f>IF(Contagem!B508=0,"",Contagem!B508)</f>
        <v/>
      </c>
      <c r="C510" s="242" t="str">
        <f>IF(Contagem!T508 &gt; 0,Contagem!T508,"")</f>
        <v/>
      </c>
      <c r="D510" s="207"/>
      <c r="E510" s="211" t="str">
        <f t="shared" si="70"/>
        <v/>
      </c>
      <c r="F510" s="207"/>
      <c r="G510" s="211" t="str">
        <f t="shared" si="71"/>
        <v/>
      </c>
      <c r="H510" s="207"/>
      <c r="I510" s="211" t="str">
        <f t="shared" si="72"/>
        <v/>
      </c>
      <c r="J510" s="207"/>
      <c r="K510" s="211" t="str">
        <f t="shared" si="73"/>
        <v/>
      </c>
      <c r="L510" s="207"/>
      <c r="M510" s="211" t="str">
        <f t="shared" si="74"/>
        <v/>
      </c>
      <c r="N510" s="207"/>
      <c r="O510" s="211" t="str">
        <f t="shared" si="75"/>
        <v/>
      </c>
      <c r="P510" s="207"/>
      <c r="Q510" s="211" t="str">
        <f t="shared" si="76"/>
        <v/>
      </c>
      <c r="R510" s="207"/>
      <c r="S510" s="211" t="str">
        <f t="shared" si="77"/>
        <v/>
      </c>
      <c r="T510" s="272" t="str">
        <f t="shared" si="78"/>
        <v/>
      </c>
      <c r="U510" s="212" t="str">
        <f t="shared" si="79"/>
        <v/>
      </c>
    </row>
    <row r="511" spans="2:21" x14ac:dyDescent="0.25">
      <c r="B511" s="241" t="str">
        <f>IF(Contagem!B509=0,"",Contagem!B509)</f>
        <v/>
      </c>
      <c r="C511" s="242" t="str">
        <f>IF(Contagem!T509 &gt; 0,Contagem!T509,"")</f>
        <v/>
      </c>
      <c r="D511" s="207"/>
      <c r="E511" s="211" t="str">
        <f t="shared" si="70"/>
        <v/>
      </c>
      <c r="F511" s="207"/>
      <c r="G511" s="211" t="str">
        <f t="shared" si="71"/>
        <v/>
      </c>
      <c r="H511" s="207"/>
      <c r="I511" s="211" t="str">
        <f t="shared" si="72"/>
        <v/>
      </c>
      <c r="J511" s="207"/>
      <c r="K511" s="211" t="str">
        <f t="shared" si="73"/>
        <v/>
      </c>
      <c r="L511" s="207"/>
      <c r="M511" s="211" t="str">
        <f t="shared" si="74"/>
        <v/>
      </c>
      <c r="N511" s="207"/>
      <c r="O511" s="211" t="str">
        <f t="shared" si="75"/>
        <v/>
      </c>
      <c r="P511" s="207"/>
      <c r="Q511" s="211" t="str">
        <f t="shared" si="76"/>
        <v/>
      </c>
      <c r="R511" s="207"/>
      <c r="S511" s="211" t="str">
        <f t="shared" si="77"/>
        <v/>
      </c>
      <c r="T511" s="272" t="str">
        <f t="shared" si="78"/>
        <v/>
      </c>
      <c r="U511" s="212" t="str">
        <f t="shared" si="79"/>
        <v/>
      </c>
    </row>
    <row r="512" spans="2:21" x14ac:dyDescent="0.25">
      <c r="B512" s="241" t="str">
        <f>IF(Contagem!B510=0,"",Contagem!B510)</f>
        <v/>
      </c>
      <c r="C512" s="242" t="str">
        <f>IF(Contagem!T510 &gt; 0,Contagem!T510,"")</f>
        <v/>
      </c>
      <c r="D512" s="207"/>
      <c r="E512" s="211" t="str">
        <f t="shared" si="70"/>
        <v/>
      </c>
      <c r="F512" s="207"/>
      <c r="G512" s="211" t="str">
        <f t="shared" si="71"/>
        <v/>
      </c>
      <c r="H512" s="207"/>
      <c r="I512" s="211" t="str">
        <f t="shared" si="72"/>
        <v/>
      </c>
      <c r="J512" s="207"/>
      <c r="K512" s="211" t="str">
        <f t="shared" si="73"/>
        <v/>
      </c>
      <c r="L512" s="207"/>
      <c r="M512" s="211" t="str">
        <f t="shared" si="74"/>
        <v/>
      </c>
      <c r="N512" s="207"/>
      <c r="O512" s="211" t="str">
        <f t="shared" si="75"/>
        <v/>
      </c>
      <c r="P512" s="207"/>
      <c r="Q512" s="211" t="str">
        <f t="shared" si="76"/>
        <v/>
      </c>
      <c r="R512" s="207"/>
      <c r="S512" s="211" t="str">
        <f t="shared" si="77"/>
        <v/>
      </c>
      <c r="T512" s="272" t="str">
        <f t="shared" si="78"/>
        <v/>
      </c>
      <c r="U512" s="212" t="str">
        <f t="shared" si="79"/>
        <v/>
      </c>
    </row>
    <row r="513" spans="2:21" x14ac:dyDescent="0.25">
      <c r="B513" s="241" t="str">
        <f>IF(Contagem!B511=0,"",Contagem!B511)</f>
        <v/>
      </c>
      <c r="C513" s="242" t="str">
        <f>IF(Contagem!T511 &gt; 0,Contagem!T511,"")</f>
        <v/>
      </c>
      <c r="D513" s="207"/>
      <c r="E513" s="211" t="str">
        <f t="shared" si="70"/>
        <v/>
      </c>
      <c r="F513" s="207"/>
      <c r="G513" s="211" t="str">
        <f t="shared" si="71"/>
        <v/>
      </c>
      <c r="H513" s="207"/>
      <c r="I513" s="211" t="str">
        <f t="shared" si="72"/>
        <v/>
      </c>
      <c r="J513" s="207"/>
      <c r="K513" s="211" t="str">
        <f t="shared" si="73"/>
        <v/>
      </c>
      <c r="L513" s="207"/>
      <c r="M513" s="211" t="str">
        <f t="shared" si="74"/>
        <v/>
      </c>
      <c r="N513" s="207"/>
      <c r="O513" s="211" t="str">
        <f t="shared" si="75"/>
        <v/>
      </c>
      <c r="P513" s="207"/>
      <c r="Q513" s="211" t="str">
        <f t="shared" si="76"/>
        <v/>
      </c>
      <c r="R513" s="207"/>
      <c r="S513" s="211" t="str">
        <f t="shared" si="77"/>
        <v/>
      </c>
      <c r="T513" s="272" t="str">
        <f t="shared" si="78"/>
        <v/>
      </c>
      <c r="U513" s="212" t="str">
        <f t="shared" si="79"/>
        <v/>
      </c>
    </row>
    <row r="514" spans="2:21" x14ac:dyDescent="0.25">
      <c r="B514" s="241" t="str">
        <f>IF(Contagem!B512=0,"",Contagem!B512)</f>
        <v/>
      </c>
      <c r="C514" s="242" t="str">
        <f>IF(Contagem!T512 &gt; 0,Contagem!T512,"")</f>
        <v/>
      </c>
      <c r="D514" s="207"/>
      <c r="E514" s="211" t="str">
        <f t="shared" si="70"/>
        <v/>
      </c>
      <c r="F514" s="207"/>
      <c r="G514" s="211" t="str">
        <f t="shared" si="71"/>
        <v/>
      </c>
      <c r="H514" s="207"/>
      <c r="I514" s="211" t="str">
        <f t="shared" si="72"/>
        <v/>
      </c>
      <c r="J514" s="207"/>
      <c r="K514" s="211" t="str">
        <f t="shared" si="73"/>
        <v/>
      </c>
      <c r="L514" s="207"/>
      <c r="M514" s="211" t="str">
        <f t="shared" si="74"/>
        <v/>
      </c>
      <c r="N514" s="207"/>
      <c r="O514" s="211" t="str">
        <f t="shared" si="75"/>
        <v/>
      </c>
      <c r="P514" s="207"/>
      <c r="Q514" s="211" t="str">
        <f t="shared" si="76"/>
        <v/>
      </c>
      <c r="R514" s="207"/>
      <c r="S514" s="211" t="str">
        <f t="shared" si="77"/>
        <v/>
      </c>
      <c r="T514" s="272" t="str">
        <f t="shared" si="78"/>
        <v/>
      </c>
      <c r="U514" s="212" t="str">
        <f t="shared" si="79"/>
        <v/>
      </c>
    </row>
    <row r="515" spans="2:21" x14ac:dyDescent="0.25">
      <c r="B515" s="241" t="str">
        <f>IF(Contagem!B513=0,"",Contagem!B513)</f>
        <v/>
      </c>
      <c r="C515" s="242" t="str">
        <f>IF(Contagem!T513 &gt; 0,Contagem!T513,"")</f>
        <v/>
      </c>
      <c r="D515" s="207"/>
      <c r="E515" s="211" t="str">
        <f t="shared" si="70"/>
        <v/>
      </c>
      <c r="F515" s="207"/>
      <c r="G515" s="211" t="str">
        <f t="shared" si="71"/>
        <v/>
      </c>
      <c r="H515" s="207"/>
      <c r="I515" s="211" t="str">
        <f t="shared" si="72"/>
        <v/>
      </c>
      <c r="J515" s="207"/>
      <c r="K515" s="211" t="str">
        <f t="shared" si="73"/>
        <v/>
      </c>
      <c r="L515" s="207"/>
      <c r="M515" s="211" t="str">
        <f t="shared" si="74"/>
        <v/>
      </c>
      <c r="N515" s="207"/>
      <c r="O515" s="211" t="str">
        <f t="shared" si="75"/>
        <v/>
      </c>
      <c r="P515" s="207"/>
      <c r="Q515" s="211" t="str">
        <f t="shared" si="76"/>
        <v/>
      </c>
      <c r="R515" s="207"/>
      <c r="S515" s="211" t="str">
        <f t="shared" si="77"/>
        <v/>
      </c>
      <c r="T515" s="272" t="str">
        <f t="shared" si="78"/>
        <v/>
      </c>
      <c r="U515" s="212" t="str">
        <f t="shared" si="79"/>
        <v/>
      </c>
    </row>
    <row r="516" spans="2:21" x14ac:dyDescent="0.25">
      <c r="B516" s="241" t="str">
        <f>IF(Contagem!B514=0,"",Contagem!B514)</f>
        <v/>
      </c>
      <c r="C516" s="242" t="str">
        <f>IF(Contagem!T514 &gt; 0,Contagem!T514,"")</f>
        <v/>
      </c>
      <c r="D516" s="207"/>
      <c r="E516" s="211" t="str">
        <f t="shared" si="70"/>
        <v/>
      </c>
      <c r="F516" s="207"/>
      <c r="G516" s="211" t="str">
        <f t="shared" si="71"/>
        <v/>
      </c>
      <c r="H516" s="207"/>
      <c r="I516" s="211" t="str">
        <f t="shared" si="72"/>
        <v/>
      </c>
      <c r="J516" s="207"/>
      <c r="K516" s="211" t="str">
        <f t="shared" si="73"/>
        <v/>
      </c>
      <c r="L516" s="207"/>
      <c r="M516" s="211" t="str">
        <f t="shared" si="74"/>
        <v/>
      </c>
      <c r="N516" s="207"/>
      <c r="O516" s="211" t="str">
        <f t="shared" si="75"/>
        <v/>
      </c>
      <c r="P516" s="207"/>
      <c r="Q516" s="211" t="str">
        <f t="shared" si="76"/>
        <v/>
      </c>
      <c r="R516" s="207"/>
      <c r="S516" s="211" t="str">
        <f t="shared" si="77"/>
        <v/>
      </c>
      <c r="T516" s="272" t="str">
        <f t="shared" si="78"/>
        <v/>
      </c>
      <c r="U516" s="212" t="str">
        <f t="shared" si="79"/>
        <v/>
      </c>
    </row>
    <row r="517" spans="2:21" x14ac:dyDescent="0.25">
      <c r="B517" s="241" t="str">
        <f>IF(Contagem!B515=0,"",Contagem!B515)</f>
        <v/>
      </c>
      <c r="C517" s="242" t="str">
        <f>IF(Contagem!T515 &gt; 0,Contagem!T515,"")</f>
        <v/>
      </c>
      <c r="D517" s="207"/>
      <c r="E517" s="211" t="str">
        <f t="shared" si="70"/>
        <v/>
      </c>
      <c r="F517" s="207"/>
      <c r="G517" s="211" t="str">
        <f t="shared" si="71"/>
        <v/>
      </c>
      <c r="H517" s="207"/>
      <c r="I517" s="211" t="str">
        <f t="shared" si="72"/>
        <v/>
      </c>
      <c r="J517" s="207"/>
      <c r="K517" s="211" t="str">
        <f t="shared" si="73"/>
        <v/>
      </c>
      <c r="L517" s="207"/>
      <c r="M517" s="211" t="str">
        <f t="shared" si="74"/>
        <v/>
      </c>
      <c r="N517" s="207"/>
      <c r="O517" s="211" t="str">
        <f t="shared" si="75"/>
        <v/>
      </c>
      <c r="P517" s="207"/>
      <c r="Q517" s="211" t="str">
        <f t="shared" si="76"/>
        <v/>
      </c>
      <c r="R517" s="207"/>
      <c r="S517" s="211" t="str">
        <f t="shared" si="77"/>
        <v/>
      </c>
      <c r="T517" s="272" t="str">
        <f t="shared" si="78"/>
        <v/>
      </c>
      <c r="U517" s="212" t="str">
        <f t="shared" si="79"/>
        <v/>
      </c>
    </row>
    <row r="518" spans="2:21" x14ac:dyDescent="0.25">
      <c r="B518" s="241" t="str">
        <f>IF(Contagem!B516=0,"",Contagem!B516)</f>
        <v/>
      </c>
      <c r="C518" s="242" t="str">
        <f>IF(Contagem!T516 &gt; 0,Contagem!T516,"")</f>
        <v/>
      </c>
      <c r="D518" s="207"/>
      <c r="E518" s="211" t="str">
        <f t="shared" si="70"/>
        <v/>
      </c>
      <c r="F518" s="207"/>
      <c r="G518" s="211" t="str">
        <f t="shared" si="71"/>
        <v/>
      </c>
      <c r="H518" s="207"/>
      <c r="I518" s="211" t="str">
        <f t="shared" si="72"/>
        <v/>
      </c>
      <c r="J518" s="207"/>
      <c r="K518" s="211" t="str">
        <f t="shared" si="73"/>
        <v/>
      </c>
      <c r="L518" s="207"/>
      <c r="M518" s="211" t="str">
        <f t="shared" si="74"/>
        <v/>
      </c>
      <c r="N518" s="207"/>
      <c r="O518" s="211" t="str">
        <f t="shared" si="75"/>
        <v/>
      </c>
      <c r="P518" s="207"/>
      <c r="Q518" s="211" t="str">
        <f t="shared" si="76"/>
        <v/>
      </c>
      <c r="R518" s="207"/>
      <c r="S518" s="211" t="str">
        <f t="shared" si="77"/>
        <v/>
      </c>
      <c r="T518" s="272" t="str">
        <f t="shared" si="78"/>
        <v/>
      </c>
      <c r="U518" s="212" t="str">
        <f t="shared" si="79"/>
        <v/>
      </c>
    </row>
    <row r="519" spans="2:21" x14ac:dyDescent="0.25">
      <c r="B519" s="241" t="str">
        <f>IF(Contagem!B517=0,"",Contagem!B517)</f>
        <v/>
      </c>
      <c r="C519" s="242" t="str">
        <f>IF(Contagem!T517 &gt; 0,Contagem!T517,"")</f>
        <v/>
      </c>
      <c r="D519" s="207"/>
      <c r="E519" s="211" t="str">
        <f t="shared" ref="E519:E582" si="80">IFERROR(IF(AND($D$4&lt;&gt; 0,D519="Sim", $C519 &gt; 0),$C519*$D$4,""),0)</f>
        <v/>
      </c>
      <c r="F519" s="207"/>
      <c r="G519" s="211" t="str">
        <f t="shared" ref="G519:G582" si="81">IFERROR(IF(AND($F$4&lt;&gt; 0,F519="Sim", $C519 &gt; 0),$C519*$F$4,""),0)</f>
        <v/>
      </c>
      <c r="H519" s="207"/>
      <c r="I519" s="211" t="str">
        <f t="shared" ref="I519:I582" si="82">IFERROR(IF(AND($H$4&lt;&gt; 0,H519="Sim", $C519 &gt; 0),$C519*$H$4,""),0)</f>
        <v/>
      </c>
      <c r="J519" s="207"/>
      <c r="K519" s="211" t="str">
        <f t="shared" ref="K519:K582" si="83">IFERROR(IF(AND($J$4&lt;&gt; 0,J519="Sim", $C519 &gt; 0),$C519*$J$4,""),0)</f>
        <v/>
      </c>
      <c r="L519" s="207"/>
      <c r="M519" s="211" t="str">
        <f t="shared" ref="M519:M582" si="84">IFERROR(IF(AND($L$4&lt;&gt; 0,L519="Sim", $C519 &gt; 0),$C519*$L$4,""),0)</f>
        <v/>
      </c>
      <c r="N519" s="207"/>
      <c r="O519" s="211" t="str">
        <f t="shared" ref="O519:O582" si="85">IFERROR(IF(AND($N$4&lt;&gt; 0,N519="Sim", $C519 &gt; 0),$C519*$N$4,""),0)</f>
        <v/>
      </c>
      <c r="P519" s="207"/>
      <c r="Q519" s="211" t="str">
        <f t="shared" ref="Q519:Q582" si="86">IFERROR(IF(AND($P$4&lt;&gt; 0,P519="Sim", $C519 &gt; 0),$C519*$P$4,""),0)</f>
        <v/>
      </c>
      <c r="R519" s="207"/>
      <c r="S519" s="211" t="str">
        <f t="shared" ref="S519:S582" si="87">IFERROR(IF(AND($R$4&lt;&gt; 0,R519="Sim", $C519 &gt; 0),$C519*$R$4,""),0)</f>
        <v/>
      </c>
      <c r="T519" s="272" t="str">
        <f t="shared" ref="T519:T582" si="88">IFERROR(U519/C519,"")</f>
        <v/>
      </c>
      <c r="U519" s="212" t="str">
        <f t="shared" ref="U519:U582" si="89">IF(SUM(E519,G519,I519,K519,M519,O519,Q519,S519) &gt; 0,SUM(E519,G519,I519,K519,M519,O519,Q519,S519),"")</f>
        <v/>
      </c>
    </row>
    <row r="520" spans="2:21" x14ac:dyDescent="0.25">
      <c r="B520" s="241" t="str">
        <f>IF(Contagem!B518=0,"",Contagem!B518)</f>
        <v/>
      </c>
      <c r="C520" s="242" t="str">
        <f>IF(Contagem!T518 &gt; 0,Contagem!T518,"")</f>
        <v/>
      </c>
      <c r="D520" s="207"/>
      <c r="E520" s="211" t="str">
        <f t="shared" si="80"/>
        <v/>
      </c>
      <c r="F520" s="207"/>
      <c r="G520" s="211" t="str">
        <f t="shared" si="81"/>
        <v/>
      </c>
      <c r="H520" s="207"/>
      <c r="I520" s="211" t="str">
        <f t="shared" si="82"/>
        <v/>
      </c>
      <c r="J520" s="207"/>
      <c r="K520" s="211" t="str">
        <f t="shared" si="83"/>
        <v/>
      </c>
      <c r="L520" s="207"/>
      <c r="M520" s="211" t="str">
        <f t="shared" si="84"/>
        <v/>
      </c>
      <c r="N520" s="207"/>
      <c r="O520" s="211" t="str">
        <f t="shared" si="85"/>
        <v/>
      </c>
      <c r="P520" s="207"/>
      <c r="Q520" s="211" t="str">
        <f t="shared" si="86"/>
        <v/>
      </c>
      <c r="R520" s="207"/>
      <c r="S520" s="211" t="str">
        <f t="shared" si="87"/>
        <v/>
      </c>
      <c r="T520" s="272" t="str">
        <f t="shared" si="88"/>
        <v/>
      </c>
      <c r="U520" s="212" t="str">
        <f t="shared" si="89"/>
        <v/>
      </c>
    </row>
    <row r="521" spans="2:21" x14ac:dyDescent="0.25">
      <c r="B521" s="241" t="str">
        <f>IF(Contagem!B519=0,"",Contagem!B519)</f>
        <v/>
      </c>
      <c r="C521" s="242" t="str">
        <f>IF(Contagem!T519 &gt; 0,Contagem!T519,"")</f>
        <v/>
      </c>
      <c r="D521" s="207"/>
      <c r="E521" s="211" t="str">
        <f t="shared" si="80"/>
        <v/>
      </c>
      <c r="F521" s="207"/>
      <c r="G521" s="211" t="str">
        <f t="shared" si="81"/>
        <v/>
      </c>
      <c r="H521" s="207"/>
      <c r="I521" s="211" t="str">
        <f t="shared" si="82"/>
        <v/>
      </c>
      <c r="J521" s="207"/>
      <c r="K521" s="211" t="str">
        <f t="shared" si="83"/>
        <v/>
      </c>
      <c r="L521" s="207"/>
      <c r="M521" s="211" t="str">
        <f t="shared" si="84"/>
        <v/>
      </c>
      <c r="N521" s="207"/>
      <c r="O521" s="211" t="str">
        <f t="shared" si="85"/>
        <v/>
      </c>
      <c r="P521" s="207"/>
      <c r="Q521" s="211" t="str">
        <f t="shared" si="86"/>
        <v/>
      </c>
      <c r="R521" s="207"/>
      <c r="S521" s="211" t="str">
        <f t="shared" si="87"/>
        <v/>
      </c>
      <c r="T521" s="272" t="str">
        <f t="shared" si="88"/>
        <v/>
      </c>
      <c r="U521" s="212" t="str">
        <f t="shared" si="89"/>
        <v/>
      </c>
    </row>
    <row r="522" spans="2:21" x14ac:dyDescent="0.25">
      <c r="B522" s="241" t="str">
        <f>IF(Contagem!B520=0,"",Contagem!B520)</f>
        <v/>
      </c>
      <c r="C522" s="242" t="str">
        <f>IF(Contagem!T520 &gt; 0,Contagem!T520,"")</f>
        <v/>
      </c>
      <c r="D522" s="207"/>
      <c r="E522" s="211" t="str">
        <f t="shared" si="80"/>
        <v/>
      </c>
      <c r="F522" s="207"/>
      <c r="G522" s="211" t="str">
        <f t="shared" si="81"/>
        <v/>
      </c>
      <c r="H522" s="207"/>
      <c r="I522" s="211" t="str">
        <f t="shared" si="82"/>
        <v/>
      </c>
      <c r="J522" s="207"/>
      <c r="K522" s="211" t="str">
        <f t="shared" si="83"/>
        <v/>
      </c>
      <c r="L522" s="207"/>
      <c r="M522" s="211" t="str">
        <f t="shared" si="84"/>
        <v/>
      </c>
      <c r="N522" s="207"/>
      <c r="O522" s="211" t="str">
        <f t="shared" si="85"/>
        <v/>
      </c>
      <c r="P522" s="207"/>
      <c r="Q522" s="211" t="str">
        <f t="shared" si="86"/>
        <v/>
      </c>
      <c r="R522" s="207"/>
      <c r="S522" s="211" t="str">
        <f t="shared" si="87"/>
        <v/>
      </c>
      <c r="T522" s="272" t="str">
        <f t="shared" si="88"/>
        <v/>
      </c>
      <c r="U522" s="212" t="str">
        <f t="shared" si="89"/>
        <v/>
      </c>
    </row>
    <row r="523" spans="2:21" x14ac:dyDescent="0.25">
      <c r="B523" s="241" t="str">
        <f>IF(Contagem!B521=0,"",Contagem!B521)</f>
        <v/>
      </c>
      <c r="C523" s="242" t="str">
        <f>IF(Contagem!T521 &gt; 0,Contagem!T521,"")</f>
        <v/>
      </c>
      <c r="D523" s="207"/>
      <c r="E523" s="211" t="str">
        <f t="shared" si="80"/>
        <v/>
      </c>
      <c r="F523" s="207"/>
      <c r="G523" s="211" t="str">
        <f t="shared" si="81"/>
        <v/>
      </c>
      <c r="H523" s="207"/>
      <c r="I523" s="211" t="str">
        <f t="shared" si="82"/>
        <v/>
      </c>
      <c r="J523" s="207"/>
      <c r="K523" s="211" t="str">
        <f t="shared" si="83"/>
        <v/>
      </c>
      <c r="L523" s="207"/>
      <c r="M523" s="211" t="str">
        <f t="shared" si="84"/>
        <v/>
      </c>
      <c r="N523" s="207"/>
      <c r="O523" s="211" t="str">
        <f t="shared" si="85"/>
        <v/>
      </c>
      <c r="P523" s="207"/>
      <c r="Q523" s="211" t="str">
        <f t="shared" si="86"/>
        <v/>
      </c>
      <c r="R523" s="207"/>
      <c r="S523" s="211" t="str">
        <f t="shared" si="87"/>
        <v/>
      </c>
      <c r="T523" s="272" t="str">
        <f t="shared" si="88"/>
        <v/>
      </c>
      <c r="U523" s="212" t="str">
        <f t="shared" si="89"/>
        <v/>
      </c>
    </row>
    <row r="524" spans="2:21" x14ac:dyDescent="0.25">
      <c r="B524" s="241" t="str">
        <f>IF(Contagem!B522=0,"",Contagem!B522)</f>
        <v/>
      </c>
      <c r="C524" s="242" t="str">
        <f>IF(Contagem!T522 &gt; 0,Contagem!T522,"")</f>
        <v/>
      </c>
      <c r="D524" s="207"/>
      <c r="E524" s="211" t="str">
        <f t="shared" si="80"/>
        <v/>
      </c>
      <c r="F524" s="207"/>
      <c r="G524" s="211" t="str">
        <f t="shared" si="81"/>
        <v/>
      </c>
      <c r="H524" s="207"/>
      <c r="I524" s="211" t="str">
        <f t="shared" si="82"/>
        <v/>
      </c>
      <c r="J524" s="207"/>
      <c r="K524" s="211" t="str">
        <f t="shared" si="83"/>
        <v/>
      </c>
      <c r="L524" s="207"/>
      <c r="M524" s="211" t="str">
        <f t="shared" si="84"/>
        <v/>
      </c>
      <c r="N524" s="207"/>
      <c r="O524" s="211" t="str">
        <f t="shared" si="85"/>
        <v/>
      </c>
      <c r="P524" s="207"/>
      <c r="Q524" s="211" t="str">
        <f t="shared" si="86"/>
        <v/>
      </c>
      <c r="R524" s="207"/>
      <c r="S524" s="211" t="str">
        <f t="shared" si="87"/>
        <v/>
      </c>
      <c r="T524" s="272" t="str">
        <f t="shared" si="88"/>
        <v/>
      </c>
      <c r="U524" s="212" t="str">
        <f t="shared" si="89"/>
        <v/>
      </c>
    </row>
    <row r="525" spans="2:21" x14ac:dyDescent="0.25">
      <c r="B525" s="241" t="str">
        <f>IF(Contagem!B523=0,"",Contagem!B523)</f>
        <v/>
      </c>
      <c r="C525" s="242" t="str">
        <f>IF(Contagem!T523 &gt; 0,Contagem!T523,"")</f>
        <v/>
      </c>
      <c r="D525" s="207"/>
      <c r="E525" s="211" t="str">
        <f t="shared" si="80"/>
        <v/>
      </c>
      <c r="F525" s="207"/>
      <c r="G525" s="211" t="str">
        <f t="shared" si="81"/>
        <v/>
      </c>
      <c r="H525" s="207"/>
      <c r="I525" s="211" t="str">
        <f t="shared" si="82"/>
        <v/>
      </c>
      <c r="J525" s="207"/>
      <c r="K525" s="211" t="str">
        <f t="shared" si="83"/>
        <v/>
      </c>
      <c r="L525" s="207"/>
      <c r="M525" s="211" t="str">
        <f t="shared" si="84"/>
        <v/>
      </c>
      <c r="N525" s="207"/>
      <c r="O525" s="211" t="str">
        <f t="shared" si="85"/>
        <v/>
      </c>
      <c r="P525" s="207"/>
      <c r="Q525" s="211" t="str">
        <f t="shared" si="86"/>
        <v/>
      </c>
      <c r="R525" s="207"/>
      <c r="S525" s="211" t="str">
        <f t="shared" si="87"/>
        <v/>
      </c>
      <c r="T525" s="272" t="str">
        <f t="shared" si="88"/>
        <v/>
      </c>
      <c r="U525" s="212" t="str">
        <f t="shared" si="89"/>
        <v/>
      </c>
    </row>
    <row r="526" spans="2:21" x14ac:dyDescent="0.25">
      <c r="B526" s="241" t="str">
        <f>IF(Contagem!B524=0,"",Contagem!B524)</f>
        <v/>
      </c>
      <c r="C526" s="242" t="str">
        <f>IF(Contagem!T524 &gt; 0,Contagem!T524,"")</f>
        <v/>
      </c>
      <c r="D526" s="207"/>
      <c r="E526" s="211" t="str">
        <f t="shared" si="80"/>
        <v/>
      </c>
      <c r="F526" s="207"/>
      <c r="G526" s="211" t="str">
        <f t="shared" si="81"/>
        <v/>
      </c>
      <c r="H526" s="207"/>
      <c r="I526" s="211" t="str">
        <f t="shared" si="82"/>
        <v/>
      </c>
      <c r="J526" s="207"/>
      <c r="K526" s="211" t="str">
        <f t="shared" si="83"/>
        <v/>
      </c>
      <c r="L526" s="207"/>
      <c r="M526" s="211" t="str">
        <f t="shared" si="84"/>
        <v/>
      </c>
      <c r="N526" s="207"/>
      <c r="O526" s="211" t="str">
        <f t="shared" si="85"/>
        <v/>
      </c>
      <c r="P526" s="207"/>
      <c r="Q526" s="211" t="str">
        <f t="shared" si="86"/>
        <v/>
      </c>
      <c r="R526" s="207"/>
      <c r="S526" s="211" t="str">
        <f t="shared" si="87"/>
        <v/>
      </c>
      <c r="T526" s="272" t="str">
        <f t="shared" si="88"/>
        <v/>
      </c>
      <c r="U526" s="212" t="str">
        <f t="shared" si="89"/>
        <v/>
      </c>
    </row>
    <row r="527" spans="2:21" x14ac:dyDescent="0.25">
      <c r="B527" s="241" t="str">
        <f>IF(Contagem!B525=0,"",Contagem!B525)</f>
        <v/>
      </c>
      <c r="C527" s="242" t="str">
        <f>IF(Contagem!T525 &gt; 0,Contagem!T525,"")</f>
        <v/>
      </c>
      <c r="D527" s="207"/>
      <c r="E527" s="211" t="str">
        <f t="shared" si="80"/>
        <v/>
      </c>
      <c r="F527" s="207"/>
      <c r="G527" s="211" t="str">
        <f t="shared" si="81"/>
        <v/>
      </c>
      <c r="H527" s="207"/>
      <c r="I527" s="211" t="str">
        <f t="shared" si="82"/>
        <v/>
      </c>
      <c r="J527" s="207"/>
      <c r="K527" s="211" t="str">
        <f t="shared" si="83"/>
        <v/>
      </c>
      <c r="L527" s="207"/>
      <c r="M527" s="211" t="str">
        <f t="shared" si="84"/>
        <v/>
      </c>
      <c r="N527" s="207"/>
      <c r="O527" s="211" t="str">
        <f t="shared" si="85"/>
        <v/>
      </c>
      <c r="P527" s="207"/>
      <c r="Q527" s="211" t="str">
        <f t="shared" si="86"/>
        <v/>
      </c>
      <c r="R527" s="207"/>
      <c r="S527" s="211" t="str">
        <f t="shared" si="87"/>
        <v/>
      </c>
      <c r="T527" s="272" t="str">
        <f t="shared" si="88"/>
        <v/>
      </c>
      <c r="U527" s="212" t="str">
        <f t="shared" si="89"/>
        <v/>
      </c>
    </row>
    <row r="528" spans="2:21" x14ac:dyDescent="0.25">
      <c r="B528" s="241" t="str">
        <f>IF(Contagem!B526=0,"",Contagem!B526)</f>
        <v/>
      </c>
      <c r="C528" s="242" t="str">
        <f>IF(Contagem!T526 &gt; 0,Contagem!T526,"")</f>
        <v/>
      </c>
      <c r="D528" s="207"/>
      <c r="E528" s="211" t="str">
        <f t="shared" si="80"/>
        <v/>
      </c>
      <c r="F528" s="207"/>
      <c r="G528" s="211" t="str">
        <f t="shared" si="81"/>
        <v/>
      </c>
      <c r="H528" s="207"/>
      <c r="I528" s="211" t="str">
        <f t="shared" si="82"/>
        <v/>
      </c>
      <c r="J528" s="207"/>
      <c r="K528" s="211" t="str">
        <f t="shared" si="83"/>
        <v/>
      </c>
      <c r="L528" s="207"/>
      <c r="M528" s="211" t="str">
        <f t="shared" si="84"/>
        <v/>
      </c>
      <c r="N528" s="207"/>
      <c r="O528" s="211" t="str">
        <f t="shared" si="85"/>
        <v/>
      </c>
      <c r="P528" s="207"/>
      <c r="Q528" s="211" t="str">
        <f t="shared" si="86"/>
        <v/>
      </c>
      <c r="R528" s="207"/>
      <c r="S528" s="211" t="str">
        <f t="shared" si="87"/>
        <v/>
      </c>
      <c r="T528" s="272" t="str">
        <f t="shared" si="88"/>
        <v/>
      </c>
      <c r="U528" s="212" t="str">
        <f t="shared" si="89"/>
        <v/>
      </c>
    </row>
    <row r="529" spans="2:21" x14ac:dyDescent="0.25">
      <c r="B529" s="241" t="str">
        <f>IF(Contagem!B527=0,"",Contagem!B527)</f>
        <v/>
      </c>
      <c r="C529" s="242" t="str">
        <f>IF(Contagem!T527 &gt; 0,Contagem!T527,"")</f>
        <v/>
      </c>
      <c r="D529" s="207"/>
      <c r="E529" s="211" t="str">
        <f t="shared" si="80"/>
        <v/>
      </c>
      <c r="F529" s="207"/>
      <c r="G529" s="211" t="str">
        <f t="shared" si="81"/>
        <v/>
      </c>
      <c r="H529" s="207"/>
      <c r="I529" s="211" t="str">
        <f t="shared" si="82"/>
        <v/>
      </c>
      <c r="J529" s="207"/>
      <c r="K529" s="211" t="str">
        <f t="shared" si="83"/>
        <v/>
      </c>
      <c r="L529" s="207"/>
      <c r="M529" s="211" t="str">
        <f t="shared" si="84"/>
        <v/>
      </c>
      <c r="N529" s="207"/>
      <c r="O529" s="211" t="str">
        <f t="shared" si="85"/>
        <v/>
      </c>
      <c r="P529" s="207"/>
      <c r="Q529" s="211" t="str">
        <f t="shared" si="86"/>
        <v/>
      </c>
      <c r="R529" s="207"/>
      <c r="S529" s="211" t="str">
        <f t="shared" si="87"/>
        <v/>
      </c>
      <c r="T529" s="272" t="str">
        <f t="shared" si="88"/>
        <v/>
      </c>
      <c r="U529" s="212" t="str">
        <f t="shared" si="89"/>
        <v/>
      </c>
    </row>
    <row r="530" spans="2:21" x14ac:dyDescent="0.25">
      <c r="B530" s="241" t="str">
        <f>IF(Contagem!B528=0,"",Contagem!B528)</f>
        <v/>
      </c>
      <c r="C530" s="242" t="str">
        <f>IF(Contagem!T528 &gt; 0,Contagem!T528,"")</f>
        <v/>
      </c>
      <c r="D530" s="207"/>
      <c r="E530" s="211" t="str">
        <f t="shared" si="80"/>
        <v/>
      </c>
      <c r="F530" s="207"/>
      <c r="G530" s="211" t="str">
        <f t="shared" si="81"/>
        <v/>
      </c>
      <c r="H530" s="207"/>
      <c r="I530" s="211" t="str">
        <f t="shared" si="82"/>
        <v/>
      </c>
      <c r="J530" s="207"/>
      <c r="K530" s="211" t="str">
        <f t="shared" si="83"/>
        <v/>
      </c>
      <c r="L530" s="207"/>
      <c r="M530" s="211" t="str">
        <f t="shared" si="84"/>
        <v/>
      </c>
      <c r="N530" s="207"/>
      <c r="O530" s="211" t="str">
        <f t="shared" si="85"/>
        <v/>
      </c>
      <c r="P530" s="207"/>
      <c r="Q530" s="211" t="str">
        <f t="shared" si="86"/>
        <v/>
      </c>
      <c r="R530" s="207"/>
      <c r="S530" s="211" t="str">
        <f t="shared" si="87"/>
        <v/>
      </c>
      <c r="T530" s="272" t="str">
        <f t="shared" si="88"/>
        <v/>
      </c>
      <c r="U530" s="212" t="str">
        <f t="shared" si="89"/>
        <v/>
      </c>
    </row>
    <row r="531" spans="2:21" x14ac:dyDescent="0.25">
      <c r="B531" s="241" t="str">
        <f>IF(Contagem!B529=0,"",Contagem!B529)</f>
        <v/>
      </c>
      <c r="C531" s="242" t="str">
        <f>IF(Contagem!T529 &gt; 0,Contagem!T529,"")</f>
        <v/>
      </c>
      <c r="D531" s="207"/>
      <c r="E531" s="211" t="str">
        <f t="shared" si="80"/>
        <v/>
      </c>
      <c r="F531" s="207"/>
      <c r="G531" s="211" t="str">
        <f t="shared" si="81"/>
        <v/>
      </c>
      <c r="H531" s="207"/>
      <c r="I531" s="211" t="str">
        <f t="shared" si="82"/>
        <v/>
      </c>
      <c r="J531" s="207"/>
      <c r="K531" s="211" t="str">
        <f t="shared" si="83"/>
        <v/>
      </c>
      <c r="L531" s="207"/>
      <c r="M531" s="211" t="str">
        <f t="shared" si="84"/>
        <v/>
      </c>
      <c r="N531" s="207"/>
      <c r="O531" s="211" t="str">
        <f t="shared" si="85"/>
        <v/>
      </c>
      <c r="P531" s="207"/>
      <c r="Q531" s="211" t="str">
        <f t="shared" si="86"/>
        <v/>
      </c>
      <c r="R531" s="207"/>
      <c r="S531" s="211" t="str">
        <f t="shared" si="87"/>
        <v/>
      </c>
      <c r="T531" s="272" t="str">
        <f t="shared" si="88"/>
        <v/>
      </c>
      <c r="U531" s="212" t="str">
        <f t="shared" si="89"/>
        <v/>
      </c>
    </row>
    <row r="532" spans="2:21" x14ac:dyDescent="0.25">
      <c r="B532" s="241" t="str">
        <f>IF(Contagem!B530=0,"",Contagem!B530)</f>
        <v/>
      </c>
      <c r="C532" s="242" t="str">
        <f>IF(Contagem!T530 &gt; 0,Contagem!T530,"")</f>
        <v/>
      </c>
      <c r="D532" s="207"/>
      <c r="E532" s="211" t="str">
        <f t="shared" si="80"/>
        <v/>
      </c>
      <c r="F532" s="207"/>
      <c r="G532" s="211" t="str">
        <f t="shared" si="81"/>
        <v/>
      </c>
      <c r="H532" s="207"/>
      <c r="I532" s="211" t="str">
        <f t="shared" si="82"/>
        <v/>
      </c>
      <c r="J532" s="207"/>
      <c r="K532" s="211" t="str">
        <f t="shared" si="83"/>
        <v/>
      </c>
      <c r="L532" s="207"/>
      <c r="M532" s="211" t="str">
        <f t="shared" si="84"/>
        <v/>
      </c>
      <c r="N532" s="207"/>
      <c r="O532" s="211" t="str">
        <f t="shared" si="85"/>
        <v/>
      </c>
      <c r="P532" s="207"/>
      <c r="Q532" s="211" t="str">
        <f t="shared" si="86"/>
        <v/>
      </c>
      <c r="R532" s="207"/>
      <c r="S532" s="211" t="str">
        <f t="shared" si="87"/>
        <v/>
      </c>
      <c r="T532" s="272" t="str">
        <f t="shared" si="88"/>
        <v/>
      </c>
      <c r="U532" s="212" t="str">
        <f t="shared" si="89"/>
        <v/>
      </c>
    </row>
    <row r="533" spans="2:21" x14ac:dyDescent="0.25">
      <c r="B533" s="241" t="str">
        <f>IF(Contagem!B531=0,"",Contagem!B531)</f>
        <v/>
      </c>
      <c r="C533" s="242" t="str">
        <f>IF(Contagem!T531 &gt; 0,Contagem!T531,"")</f>
        <v/>
      </c>
      <c r="D533" s="207"/>
      <c r="E533" s="211" t="str">
        <f t="shared" si="80"/>
        <v/>
      </c>
      <c r="F533" s="207"/>
      <c r="G533" s="211" t="str">
        <f t="shared" si="81"/>
        <v/>
      </c>
      <c r="H533" s="207"/>
      <c r="I533" s="211" t="str">
        <f t="shared" si="82"/>
        <v/>
      </c>
      <c r="J533" s="207"/>
      <c r="K533" s="211" t="str">
        <f t="shared" si="83"/>
        <v/>
      </c>
      <c r="L533" s="207"/>
      <c r="M533" s="211" t="str">
        <f t="shared" si="84"/>
        <v/>
      </c>
      <c r="N533" s="207"/>
      <c r="O533" s="211" t="str">
        <f t="shared" si="85"/>
        <v/>
      </c>
      <c r="P533" s="207"/>
      <c r="Q533" s="211" t="str">
        <f t="shared" si="86"/>
        <v/>
      </c>
      <c r="R533" s="207"/>
      <c r="S533" s="211" t="str">
        <f t="shared" si="87"/>
        <v/>
      </c>
      <c r="T533" s="272" t="str">
        <f t="shared" si="88"/>
        <v/>
      </c>
      <c r="U533" s="212" t="str">
        <f t="shared" si="89"/>
        <v/>
      </c>
    </row>
    <row r="534" spans="2:21" x14ac:dyDescent="0.25">
      <c r="B534" s="241" t="str">
        <f>IF(Contagem!B532=0,"",Contagem!B532)</f>
        <v/>
      </c>
      <c r="C534" s="242" t="str">
        <f>IF(Contagem!T532 &gt; 0,Contagem!T532,"")</f>
        <v/>
      </c>
      <c r="D534" s="207"/>
      <c r="E534" s="211" t="str">
        <f t="shared" si="80"/>
        <v/>
      </c>
      <c r="F534" s="207"/>
      <c r="G534" s="211" t="str">
        <f t="shared" si="81"/>
        <v/>
      </c>
      <c r="H534" s="207"/>
      <c r="I534" s="211" t="str">
        <f t="shared" si="82"/>
        <v/>
      </c>
      <c r="J534" s="207"/>
      <c r="K534" s="211" t="str">
        <f t="shared" si="83"/>
        <v/>
      </c>
      <c r="L534" s="207"/>
      <c r="M534" s="211" t="str">
        <f t="shared" si="84"/>
        <v/>
      </c>
      <c r="N534" s="207"/>
      <c r="O534" s="211" t="str">
        <f t="shared" si="85"/>
        <v/>
      </c>
      <c r="P534" s="207"/>
      <c r="Q534" s="211" t="str">
        <f t="shared" si="86"/>
        <v/>
      </c>
      <c r="R534" s="207"/>
      <c r="S534" s="211" t="str">
        <f t="shared" si="87"/>
        <v/>
      </c>
      <c r="T534" s="272" t="str">
        <f t="shared" si="88"/>
        <v/>
      </c>
      <c r="U534" s="212" t="str">
        <f t="shared" si="89"/>
        <v/>
      </c>
    </row>
    <row r="535" spans="2:21" x14ac:dyDescent="0.25">
      <c r="B535" s="241" t="str">
        <f>IF(Contagem!B533=0,"",Contagem!B533)</f>
        <v/>
      </c>
      <c r="C535" s="242" t="str">
        <f>IF(Contagem!T533 &gt; 0,Contagem!T533,"")</f>
        <v/>
      </c>
      <c r="D535" s="207"/>
      <c r="E535" s="211" t="str">
        <f t="shared" si="80"/>
        <v/>
      </c>
      <c r="F535" s="207"/>
      <c r="G535" s="211" t="str">
        <f t="shared" si="81"/>
        <v/>
      </c>
      <c r="H535" s="207"/>
      <c r="I535" s="211" t="str">
        <f t="shared" si="82"/>
        <v/>
      </c>
      <c r="J535" s="207"/>
      <c r="K535" s="211" t="str">
        <f t="shared" si="83"/>
        <v/>
      </c>
      <c r="L535" s="207"/>
      <c r="M535" s="211" t="str">
        <f t="shared" si="84"/>
        <v/>
      </c>
      <c r="N535" s="207"/>
      <c r="O535" s="211" t="str">
        <f t="shared" si="85"/>
        <v/>
      </c>
      <c r="P535" s="207"/>
      <c r="Q535" s="211" t="str">
        <f t="shared" si="86"/>
        <v/>
      </c>
      <c r="R535" s="207"/>
      <c r="S535" s="211" t="str">
        <f t="shared" si="87"/>
        <v/>
      </c>
      <c r="T535" s="272" t="str">
        <f t="shared" si="88"/>
        <v/>
      </c>
      <c r="U535" s="212" t="str">
        <f t="shared" si="89"/>
        <v/>
      </c>
    </row>
    <row r="536" spans="2:21" x14ac:dyDescent="0.25">
      <c r="B536" s="241" t="str">
        <f>IF(Contagem!B534=0,"",Contagem!B534)</f>
        <v/>
      </c>
      <c r="C536" s="242" t="str">
        <f>IF(Contagem!T534 &gt; 0,Contagem!T534,"")</f>
        <v/>
      </c>
      <c r="D536" s="207"/>
      <c r="E536" s="211" t="str">
        <f t="shared" si="80"/>
        <v/>
      </c>
      <c r="F536" s="207"/>
      <c r="G536" s="211" t="str">
        <f t="shared" si="81"/>
        <v/>
      </c>
      <c r="H536" s="207"/>
      <c r="I536" s="211" t="str">
        <f t="shared" si="82"/>
        <v/>
      </c>
      <c r="J536" s="207"/>
      <c r="K536" s="211" t="str">
        <f t="shared" si="83"/>
        <v/>
      </c>
      <c r="L536" s="207"/>
      <c r="M536" s="211" t="str">
        <f t="shared" si="84"/>
        <v/>
      </c>
      <c r="N536" s="207"/>
      <c r="O536" s="211" t="str">
        <f t="shared" si="85"/>
        <v/>
      </c>
      <c r="P536" s="207"/>
      <c r="Q536" s="211" t="str">
        <f t="shared" si="86"/>
        <v/>
      </c>
      <c r="R536" s="207"/>
      <c r="S536" s="211" t="str">
        <f t="shared" si="87"/>
        <v/>
      </c>
      <c r="T536" s="272" t="str">
        <f t="shared" si="88"/>
        <v/>
      </c>
      <c r="U536" s="212" t="str">
        <f t="shared" si="89"/>
        <v/>
      </c>
    </row>
    <row r="537" spans="2:21" x14ac:dyDescent="0.25">
      <c r="B537" s="241" t="str">
        <f>IF(Contagem!B535=0,"",Contagem!B535)</f>
        <v/>
      </c>
      <c r="C537" s="242" t="str">
        <f>IF(Contagem!T535 &gt; 0,Contagem!T535,"")</f>
        <v/>
      </c>
      <c r="D537" s="207"/>
      <c r="E537" s="211" t="str">
        <f t="shared" si="80"/>
        <v/>
      </c>
      <c r="F537" s="207"/>
      <c r="G537" s="211" t="str">
        <f t="shared" si="81"/>
        <v/>
      </c>
      <c r="H537" s="207"/>
      <c r="I537" s="211" t="str">
        <f t="shared" si="82"/>
        <v/>
      </c>
      <c r="J537" s="207"/>
      <c r="K537" s="211" t="str">
        <f t="shared" si="83"/>
        <v/>
      </c>
      <c r="L537" s="207"/>
      <c r="M537" s="211" t="str">
        <f t="shared" si="84"/>
        <v/>
      </c>
      <c r="N537" s="207"/>
      <c r="O537" s="211" t="str">
        <f t="shared" si="85"/>
        <v/>
      </c>
      <c r="P537" s="207"/>
      <c r="Q537" s="211" t="str">
        <f t="shared" si="86"/>
        <v/>
      </c>
      <c r="R537" s="207"/>
      <c r="S537" s="211" t="str">
        <f t="shared" si="87"/>
        <v/>
      </c>
      <c r="T537" s="272" t="str">
        <f t="shared" si="88"/>
        <v/>
      </c>
      <c r="U537" s="212" t="str">
        <f t="shared" si="89"/>
        <v/>
      </c>
    </row>
    <row r="538" spans="2:21" x14ac:dyDescent="0.25">
      <c r="B538" s="241" t="str">
        <f>IF(Contagem!B536=0,"",Contagem!B536)</f>
        <v/>
      </c>
      <c r="C538" s="242" t="str">
        <f>IF(Contagem!T536 &gt; 0,Contagem!T536,"")</f>
        <v/>
      </c>
      <c r="D538" s="207"/>
      <c r="E538" s="211" t="str">
        <f t="shared" si="80"/>
        <v/>
      </c>
      <c r="F538" s="207"/>
      <c r="G538" s="211" t="str">
        <f t="shared" si="81"/>
        <v/>
      </c>
      <c r="H538" s="207"/>
      <c r="I538" s="211" t="str">
        <f t="shared" si="82"/>
        <v/>
      </c>
      <c r="J538" s="207"/>
      <c r="K538" s="211" t="str">
        <f t="shared" si="83"/>
        <v/>
      </c>
      <c r="L538" s="207"/>
      <c r="M538" s="211" t="str">
        <f t="shared" si="84"/>
        <v/>
      </c>
      <c r="N538" s="207"/>
      <c r="O538" s="211" t="str">
        <f t="shared" si="85"/>
        <v/>
      </c>
      <c r="P538" s="207"/>
      <c r="Q538" s="211" t="str">
        <f t="shared" si="86"/>
        <v/>
      </c>
      <c r="R538" s="207"/>
      <c r="S538" s="211" t="str">
        <f t="shared" si="87"/>
        <v/>
      </c>
      <c r="T538" s="272" t="str">
        <f t="shared" si="88"/>
        <v/>
      </c>
      <c r="U538" s="212" t="str">
        <f t="shared" si="89"/>
        <v/>
      </c>
    </row>
    <row r="539" spans="2:21" x14ac:dyDescent="0.25">
      <c r="B539" s="241" t="str">
        <f>IF(Contagem!B537=0,"",Contagem!B537)</f>
        <v/>
      </c>
      <c r="C539" s="242" t="str">
        <f>IF(Contagem!T537 &gt; 0,Contagem!T537,"")</f>
        <v/>
      </c>
      <c r="D539" s="207"/>
      <c r="E539" s="211" t="str">
        <f t="shared" si="80"/>
        <v/>
      </c>
      <c r="F539" s="207"/>
      <c r="G539" s="211" t="str">
        <f t="shared" si="81"/>
        <v/>
      </c>
      <c r="H539" s="207"/>
      <c r="I539" s="211" t="str">
        <f t="shared" si="82"/>
        <v/>
      </c>
      <c r="J539" s="207"/>
      <c r="K539" s="211" t="str">
        <f t="shared" si="83"/>
        <v/>
      </c>
      <c r="L539" s="207"/>
      <c r="M539" s="211" t="str">
        <f t="shared" si="84"/>
        <v/>
      </c>
      <c r="N539" s="207"/>
      <c r="O539" s="211" t="str">
        <f t="shared" si="85"/>
        <v/>
      </c>
      <c r="P539" s="207"/>
      <c r="Q539" s="211" t="str">
        <f t="shared" si="86"/>
        <v/>
      </c>
      <c r="R539" s="207"/>
      <c r="S539" s="211" t="str">
        <f t="shared" si="87"/>
        <v/>
      </c>
      <c r="T539" s="272" t="str">
        <f t="shared" si="88"/>
        <v/>
      </c>
      <c r="U539" s="212" t="str">
        <f t="shared" si="89"/>
        <v/>
      </c>
    </row>
    <row r="540" spans="2:21" x14ac:dyDescent="0.25">
      <c r="B540" s="241" t="str">
        <f>IF(Contagem!B538=0,"",Contagem!B538)</f>
        <v/>
      </c>
      <c r="C540" s="242" t="str">
        <f>IF(Contagem!T538 &gt; 0,Contagem!T538,"")</f>
        <v/>
      </c>
      <c r="D540" s="207"/>
      <c r="E540" s="211" t="str">
        <f t="shared" si="80"/>
        <v/>
      </c>
      <c r="F540" s="207"/>
      <c r="G540" s="211" t="str">
        <f t="shared" si="81"/>
        <v/>
      </c>
      <c r="H540" s="207"/>
      <c r="I540" s="211" t="str">
        <f t="shared" si="82"/>
        <v/>
      </c>
      <c r="J540" s="207"/>
      <c r="K540" s="211" t="str">
        <f t="shared" si="83"/>
        <v/>
      </c>
      <c r="L540" s="207"/>
      <c r="M540" s="211" t="str">
        <f t="shared" si="84"/>
        <v/>
      </c>
      <c r="N540" s="207"/>
      <c r="O540" s="211" t="str">
        <f t="shared" si="85"/>
        <v/>
      </c>
      <c r="P540" s="207"/>
      <c r="Q540" s="211" t="str">
        <f t="shared" si="86"/>
        <v/>
      </c>
      <c r="R540" s="207"/>
      <c r="S540" s="211" t="str">
        <f t="shared" si="87"/>
        <v/>
      </c>
      <c r="T540" s="272" t="str">
        <f t="shared" si="88"/>
        <v/>
      </c>
      <c r="U540" s="212" t="str">
        <f t="shared" si="89"/>
        <v/>
      </c>
    </row>
    <row r="541" spans="2:21" x14ac:dyDescent="0.25">
      <c r="B541" s="241" t="str">
        <f>IF(Contagem!B539=0,"",Contagem!B539)</f>
        <v/>
      </c>
      <c r="C541" s="242" t="str">
        <f>IF(Contagem!T539 &gt; 0,Contagem!T539,"")</f>
        <v/>
      </c>
      <c r="D541" s="207"/>
      <c r="E541" s="211" t="str">
        <f t="shared" si="80"/>
        <v/>
      </c>
      <c r="F541" s="207"/>
      <c r="G541" s="211" t="str">
        <f t="shared" si="81"/>
        <v/>
      </c>
      <c r="H541" s="207"/>
      <c r="I541" s="211" t="str">
        <f t="shared" si="82"/>
        <v/>
      </c>
      <c r="J541" s="207"/>
      <c r="K541" s="211" t="str">
        <f t="shared" si="83"/>
        <v/>
      </c>
      <c r="L541" s="207"/>
      <c r="M541" s="211" t="str">
        <f t="shared" si="84"/>
        <v/>
      </c>
      <c r="N541" s="207"/>
      <c r="O541" s="211" t="str">
        <f t="shared" si="85"/>
        <v/>
      </c>
      <c r="P541" s="207"/>
      <c r="Q541" s="211" t="str">
        <f t="shared" si="86"/>
        <v/>
      </c>
      <c r="R541" s="207"/>
      <c r="S541" s="211" t="str">
        <f t="shared" si="87"/>
        <v/>
      </c>
      <c r="T541" s="272" t="str">
        <f t="shared" si="88"/>
        <v/>
      </c>
      <c r="U541" s="212" t="str">
        <f t="shared" si="89"/>
        <v/>
      </c>
    </row>
    <row r="542" spans="2:21" x14ac:dyDescent="0.25">
      <c r="B542" s="241" t="str">
        <f>IF(Contagem!B540=0,"",Contagem!B540)</f>
        <v/>
      </c>
      <c r="C542" s="242" t="str">
        <f>IF(Contagem!T540 &gt; 0,Contagem!T540,"")</f>
        <v/>
      </c>
      <c r="D542" s="207"/>
      <c r="E542" s="211" t="str">
        <f t="shared" si="80"/>
        <v/>
      </c>
      <c r="F542" s="207"/>
      <c r="G542" s="211" t="str">
        <f t="shared" si="81"/>
        <v/>
      </c>
      <c r="H542" s="207"/>
      <c r="I542" s="211" t="str">
        <f t="shared" si="82"/>
        <v/>
      </c>
      <c r="J542" s="207"/>
      <c r="K542" s="211" t="str">
        <f t="shared" si="83"/>
        <v/>
      </c>
      <c r="L542" s="207"/>
      <c r="M542" s="211" t="str">
        <f t="shared" si="84"/>
        <v/>
      </c>
      <c r="N542" s="207"/>
      <c r="O542" s="211" t="str">
        <f t="shared" si="85"/>
        <v/>
      </c>
      <c r="P542" s="207"/>
      <c r="Q542" s="211" t="str">
        <f t="shared" si="86"/>
        <v/>
      </c>
      <c r="R542" s="207"/>
      <c r="S542" s="211" t="str">
        <f t="shared" si="87"/>
        <v/>
      </c>
      <c r="T542" s="272" t="str">
        <f t="shared" si="88"/>
        <v/>
      </c>
      <c r="U542" s="212" t="str">
        <f t="shared" si="89"/>
        <v/>
      </c>
    </row>
    <row r="543" spans="2:21" x14ac:dyDescent="0.25">
      <c r="B543" s="241" t="str">
        <f>IF(Contagem!B541=0,"",Contagem!B541)</f>
        <v/>
      </c>
      <c r="C543" s="242" t="str">
        <f>IF(Contagem!T541 &gt; 0,Contagem!T541,"")</f>
        <v/>
      </c>
      <c r="D543" s="207"/>
      <c r="E543" s="211" t="str">
        <f t="shared" si="80"/>
        <v/>
      </c>
      <c r="F543" s="207"/>
      <c r="G543" s="211" t="str">
        <f t="shared" si="81"/>
        <v/>
      </c>
      <c r="H543" s="207"/>
      <c r="I543" s="211" t="str">
        <f t="shared" si="82"/>
        <v/>
      </c>
      <c r="J543" s="207"/>
      <c r="K543" s="211" t="str">
        <f t="shared" si="83"/>
        <v/>
      </c>
      <c r="L543" s="207"/>
      <c r="M543" s="211" t="str">
        <f t="shared" si="84"/>
        <v/>
      </c>
      <c r="N543" s="207"/>
      <c r="O543" s="211" t="str">
        <f t="shared" si="85"/>
        <v/>
      </c>
      <c r="P543" s="207"/>
      <c r="Q543" s="211" t="str">
        <f t="shared" si="86"/>
        <v/>
      </c>
      <c r="R543" s="207"/>
      <c r="S543" s="211" t="str">
        <f t="shared" si="87"/>
        <v/>
      </c>
      <c r="T543" s="272" t="str">
        <f t="shared" si="88"/>
        <v/>
      </c>
      <c r="U543" s="212" t="str">
        <f t="shared" si="89"/>
        <v/>
      </c>
    </row>
    <row r="544" spans="2:21" x14ac:dyDescent="0.25">
      <c r="B544" s="241" t="str">
        <f>IF(Contagem!B542=0,"",Contagem!B542)</f>
        <v/>
      </c>
      <c r="C544" s="242" t="str">
        <f>IF(Contagem!T542 &gt; 0,Contagem!T542,"")</f>
        <v/>
      </c>
      <c r="D544" s="207"/>
      <c r="E544" s="211" t="str">
        <f t="shared" si="80"/>
        <v/>
      </c>
      <c r="F544" s="207"/>
      <c r="G544" s="211" t="str">
        <f t="shared" si="81"/>
        <v/>
      </c>
      <c r="H544" s="207"/>
      <c r="I544" s="211" t="str">
        <f t="shared" si="82"/>
        <v/>
      </c>
      <c r="J544" s="207"/>
      <c r="K544" s="211" t="str">
        <f t="shared" si="83"/>
        <v/>
      </c>
      <c r="L544" s="207"/>
      <c r="M544" s="211" t="str">
        <f t="shared" si="84"/>
        <v/>
      </c>
      <c r="N544" s="207"/>
      <c r="O544" s="211" t="str">
        <f t="shared" si="85"/>
        <v/>
      </c>
      <c r="P544" s="207"/>
      <c r="Q544" s="211" t="str">
        <f t="shared" si="86"/>
        <v/>
      </c>
      <c r="R544" s="207"/>
      <c r="S544" s="211" t="str">
        <f t="shared" si="87"/>
        <v/>
      </c>
      <c r="T544" s="272" t="str">
        <f t="shared" si="88"/>
        <v/>
      </c>
      <c r="U544" s="212" t="str">
        <f t="shared" si="89"/>
        <v/>
      </c>
    </row>
    <row r="545" spans="2:21" x14ac:dyDescent="0.25">
      <c r="B545" s="241" t="str">
        <f>IF(Contagem!B543=0,"",Contagem!B543)</f>
        <v/>
      </c>
      <c r="C545" s="242" t="str">
        <f>IF(Contagem!T543 &gt; 0,Contagem!T543,"")</f>
        <v/>
      </c>
      <c r="D545" s="207"/>
      <c r="E545" s="211" t="str">
        <f t="shared" si="80"/>
        <v/>
      </c>
      <c r="F545" s="207"/>
      <c r="G545" s="211" t="str">
        <f t="shared" si="81"/>
        <v/>
      </c>
      <c r="H545" s="207"/>
      <c r="I545" s="211" t="str">
        <f t="shared" si="82"/>
        <v/>
      </c>
      <c r="J545" s="207"/>
      <c r="K545" s="211" t="str">
        <f t="shared" si="83"/>
        <v/>
      </c>
      <c r="L545" s="207"/>
      <c r="M545" s="211" t="str">
        <f t="shared" si="84"/>
        <v/>
      </c>
      <c r="N545" s="207"/>
      <c r="O545" s="211" t="str">
        <f t="shared" si="85"/>
        <v/>
      </c>
      <c r="P545" s="207"/>
      <c r="Q545" s="211" t="str">
        <f t="shared" si="86"/>
        <v/>
      </c>
      <c r="R545" s="207"/>
      <c r="S545" s="211" t="str">
        <f t="shared" si="87"/>
        <v/>
      </c>
      <c r="T545" s="272" t="str">
        <f t="shared" si="88"/>
        <v/>
      </c>
      <c r="U545" s="212" t="str">
        <f t="shared" si="89"/>
        <v/>
      </c>
    </row>
    <row r="546" spans="2:21" x14ac:dyDescent="0.25">
      <c r="B546" s="241" t="str">
        <f>IF(Contagem!B544=0,"",Contagem!B544)</f>
        <v/>
      </c>
      <c r="C546" s="242" t="str">
        <f>IF(Contagem!T544 &gt; 0,Contagem!T544,"")</f>
        <v/>
      </c>
      <c r="D546" s="207"/>
      <c r="E546" s="211" t="str">
        <f t="shared" si="80"/>
        <v/>
      </c>
      <c r="F546" s="207"/>
      <c r="G546" s="211" t="str">
        <f t="shared" si="81"/>
        <v/>
      </c>
      <c r="H546" s="207"/>
      <c r="I546" s="211" t="str">
        <f t="shared" si="82"/>
        <v/>
      </c>
      <c r="J546" s="207"/>
      <c r="K546" s="211" t="str">
        <f t="shared" si="83"/>
        <v/>
      </c>
      <c r="L546" s="207"/>
      <c r="M546" s="211" t="str">
        <f t="shared" si="84"/>
        <v/>
      </c>
      <c r="N546" s="207"/>
      <c r="O546" s="211" t="str">
        <f t="shared" si="85"/>
        <v/>
      </c>
      <c r="P546" s="207"/>
      <c r="Q546" s="211" t="str">
        <f t="shared" si="86"/>
        <v/>
      </c>
      <c r="R546" s="207"/>
      <c r="S546" s="211" t="str">
        <f t="shared" si="87"/>
        <v/>
      </c>
      <c r="T546" s="272" t="str">
        <f t="shared" si="88"/>
        <v/>
      </c>
      <c r="U546" s="212" t="str">
        <f t="shared" si="89"/>
        <v/>
      </c>
    </row>
    <row r="547" spans="2:21" x14ac:dyDescent="0.25">
      <c r="B547" s="241" t="str">
        <f>IF(Contagem!B545=0,"",Contagem!B545)</f>
        <v/>
      </c>
      <c r="C547" s="242" t="str">
        <f>IF(Contagem!T545 &gt; 0,Contagem!T545,"")</f>
        <v/>
      </c>
      <c r="D547" s="207"/>
      <c r="E547" s="211" t="str">
        <f t="shared" si="80"/>
        <v/>
      </c>
      <c r="F547" s="207"/>
      <c r="G547" s="211" t="str">
        <f t="shared" si="81"/>
        <v/>
      </c>
      <c r="H547" s="207"/>
      <c r="I547" s="211" t="str">
        <f t="shared" si="82"/>
        <v/>
      </c>
      <c r="J547" s="207"/>
      <c r="K547" s="211" t="str">
        <f t="shared" si="83"/>
        <v/>
      </c>
      <c r="L547" s="207"/>
      <c r="M547" s="211" t="str">
        <f t="shared" si="84"/>
        <v/>
      </c>
      <c r="N547" s="207"/>
      <c r="O547" s="211" t="str">
        <f t="shared" si="85"/>
        <v/>
      </c>
      <c r="P547" s="207"/>
      <c r="Q547" s="211" t="str">
        <f t="shared" si="86"/>
        <v/>
      </c>
      <c r="R547" s="207"/>
      <c r="S547" s="211" t="str">
        <f t="shared" si="87"/>
        <v/>
      </c>
      <c r="T547" s="272" t="str">
        <f t="shared" si="88"/>
        <v/>
      </c>
      <c r="U547" s="212" t="str">
        <f t="shared" si="89"/>
        <v/>
      </c>
    </row>
    <row r="548" spans="2:21" x14ac:dyDescent="0.25">
      <c r="B548" s="241" t="str">
        <f>IF(Contagem!B546=0,"",Contagem!B546)</f>
        <v/>
      </c>
      <c r="C548" s="242" t="str">
        <f>IF(Contagem!T546 &gt; 0,Contagem!T546,"")</f>
        <v/>
      </c>
      <c r="D548" s="207"/>
      <c r="E548" s="211" t="str">
        <f t="shared" si="80"/>
        <v/>
      </c>
      <c r="F548" s="207"/>
      <c r="G548" s="211" t="str">
        <f t="shared" si="81"/>
        <v/>
      </c>
      <c r="H548" s="207"/>
      <c r="I548" s="211" t="str">
        <f t="shared" si="82"/>
        <v/>
      </c>
      <c r="J548" s="207"/>
      <c r="K548" s="211" t="str">
        <f t="shared" si="83"/>
        <v/>
      </c>
      <c r="L548" s="207"/>
      <c r="M548" s="211" t="str">
        <f t="shared" si="84"/>
        <v/>
      </c>
      <c r="N548" s="207"/>
      <c r="O548" s="211" t="str">
        <f t="shared" si="85"/>
        <v/>
      </c>
      <c r="P548" s="207"/>
      <c r="Q548" s="211" t="str">
        <f t="shared" si="86"/>
        <v/>
      </c>
      <c r="R548" s="207"/>
      <c r="S548" s="211" t="str">
        <f t="shared" si="87"/>
        <v/>
      </c>
      <c r="T548" s="272" t="str">
        <f t="shared" si="88"/>
        <v/>
      </c>
      <c r="U548" s="212" t="str">
        <f t="shared" si="89"/>
        <v/>
      </c>
    </row>
    <row r="549" spans="2:21" x14ac:dyDescent="0.25">
      <c r="B549" s="241" t="str">
        <f>IF(Contagem!B547=0,"",Contagem!B547)</f>
        <v/>
      </c>
      <c r="C549" s="242" t="str">
        <f>IF(Contagem!T547 &gt; 0,Contagem!T547,"")</f>
        <v/>
      </c>
      <c r="D549" s="207"/>
      <c r="E549" s="211" t="str">
        <f t="shared" si="80"/>
        <v/>
      </c>
      <c r="F549" s="207"/>
      <c r="G549" s="211" t="str">
        <f t="shared" si="81"/>
        <v/>
      </c>
      <c r="H549" s="207"/>
      <c r="I549" s="211" t="str">
        <f t="shared" si="82"/>
        <v/>
      </c>
      <c r="J549" s="207"/>
      <c r="K549" s="211" t="str">
        <f t="shared" si="83"/>
        <v/>
      </c>
      <c r="L549" s="207"/>
      <c r="M549" s="211" t="str">
        <f t="shared" si="84"/>
        <v/>
      </c>
      <c r="N549" s="207"/>
      <c r="O549" s="211" t="str">
        <f t="shared" si="85"/>
        <v/>
      </c>
      <c r="P549" s="207"/>
      <c r="Q549" s="211" t="str">
        <f t="shared" si="86"/>
        <v/>
      </c>
      <c r="R549" s="207"/>
      <c r="S549" s="211" t="str">
        <f t="shared" si="87"/>
        <v/>
      </c>
      <c r="T549" s="272" t="str">
        <f t="shared" si="88"/>
        <v/>
      </c>
      <c r="U549" s="212" t="str">
        <f t="shared" si="89"/>
        <v/>
      </c>
    </row>
    <row r="550" spans="2:21" x14ac:dyDescent="0.25">
      <c r="B550" s="241" t="str">
        <f>IF(Contagem!B548=0,"",Contagem!B548)</f>
        <v/>
      </c>
      <c r="C550" s="242" t="str">
        <f>IF(Contagem!T548 &gt; 0,Contagem!T548,"")</f>
        <v/>
      </c>
      <c r="D550" s="207"/>
      <c r="E550" s="211" t="str">
        <f t="shared" si="80"/>
        <v/>
      </c>
      <c r="F550" s="207"/>
      <c r="G550" s="211" t="str">
        <f t="shared" si="81"/>
        <v/>
      </c>
      <c r="H550" s="207"/>
      <c r="I550" s="211" t="str">
        <f t="shared" si="82"/>
        <v/>
      </c>
      <c r="J550" s="207"/>
      <c r="K550" s="211" t="str">
        <f t="shared" si="83"/>
        <v/>
      </c>
      <c r="L550" s="207"/>
      <c r="M550" s="211" t="str">
        <f t="shared" si="84"/>
        <v/>
      </c>
      <c r="N550" s="207"/>
      <c r="O550" s="211" t="str">
        <f t="shared" si="85"/>
        <v/>
      </c>
      <c r="P550" s="207"/>
      <c r="Q550" s="211" t="str">
        <f t="shared" si="86"/>
        <v/>
      </c>
      <c r="R550" s="207"/>
      <c r="S550" s="211" t="str">
        <f t="shared" si="87"/>
        <v/>
      </c>
      <c r="T550" s="272" t="str">
        <f t="shared" si="88"/>
        <v/>
      </c>
      <c r="U550" s="212" t="str">
        <f t="shared" si="89"/>
        <v/>
      </c>
    </row>
    <row r="551" spans="2:21" x14ac:dyDescent="0.25">
      <c r="B551" s="241" t="str">
        <f>IF(Contagem!B549=0,"",Contagem!B549)</f>
        <v/>
      </c>
      <c r="C551" s="242" t="str">
        <f>IF(Contagem!T549 &gt; 0,Contagem!T549,"")</f>
        <v/>
      </c>
      <c r="D551" s="207"/>
      <c r="E551" s="211" t="str">
        <f t="shared" si="80"/>
        <v/>
      </c>
      <c r="F551" s="207"/>
      <c r="G551" s="211" t="str">
        <f t="shared" si="81"/>
        <v/>
      </c>
      <c r="H551" s="207"/>
      <c r="I551" s="211" t="str">
        <f t="shared" si="82"/>
        <v/>
      </c>
      <c r="J551" s="207"/>
      <c r="K551" s="211" t="str">
        <f t="shared" si="83"/>
        <v/>
      </c>
      <c r="L551" s="207"/>
      <c r="M551" s="211" t="str">
        <f t="shared" si="84"/>
        <v/>
      </c>
      <c r="N551" s="207"/>
      <c r="O551" s="211" t="str">
        <f t="shared" si="85"/>
        <v/>
      </c>
      <c r="P551" s="207"/>
      <c r="Q551" s="211" t="str">
        <f t="shared" si="86"/>
        <v/>
      </c>
      <c r="R551" s="207"/>
      <c r="S551" s="211" t="str">
        <f t="shared" si="87"/>
        <v/>
      </c>
      <c r="T551" s="272" t="str">
        <f t="shared" si="88"/>
        <v/>
      </c>
      <c r="U551" s="212" t="str">
        <f t="shared" si="89"/>
        <v/>
      </c>
    </row>
    <row r="552" spans="2:21" x14ac:dyDescent="0.25">
      <c r="B552" s="241" t="str">
        <f>IF(Contagem!B550=0,"",Contagem!B550)</f>
        <v/>
      </c>
      <c r="C552" s="242" t="str">
        <f>IF(Contagem!T550 &gt; 0,Contagem!T550,"")</f>
        <v/>
      </c>
      <c r="D552" s="207"/>
      <c r="E552" s="211" t="str">
        <f t="shared" si="80"/>
        <v/>
      </c>
      <c r="F552" s="207"/>
      <c r="G552" s="211" t="str">
        <f t="shared" si="81"/>
        <v/>
      </c>
      <c r="H552" s="207"/>
      <c r="I552" s="211" t="str">
        <f t="shared" si="82"/>
        <v/>
      </c>
      <c r="J552" s="207"/>
      <c r="K552" s="211" t="str">
        <f t="shared" si="83"/>
        <v/>
      </c>
      <c r="L552" s="207"/>
      <c r="M552" s="211" t="str">
        <f t="shared" si="84"/>
        <v/>
      </c>
      <c r="N552" s="207"/>
      <c r="O552" s="211" t="str">
        <f t="shared" si="85"/>
        <v/>
      </c>
      <c r="P552" s="207"/>
      <c r="Q552" s="211" t="str">
        <f t="shared" si="86"/>
        <v/>
      </c>
      <c r="R552" s="207"/>
      <c r="S552" s="211" t="str">
        <f t="shared" si="87"/>
        <v/>
      </c>
      <c r="T552" s="272" t="str">
        <f t="shared" si="88"/>
        <v/>
      </c>
      <c r="U552" s="212" t="str">
        <f t="shared" si="89"/>
        <v/>
      </c>
    </row>
    <row r="553" spans="2:21" x14ac:dyDescent="0.25">
      <c r="B553" s="241" t="str">
        <f>IF(Contagem!B551=0,"",Contagem!B551)</f>
        <v/>
      </c>
      <c r="C553" s="242" t="str">
        <f>IF(Contagem!T551 &gt; 0,Contagem!T551,"")</f>
        <v/>
      </c>
      <c r="D553" s="207"/>
      <c r="E553" s="211" t="str">
        <f t="shared" si="80"/>
        <v/>
      </c>
      <c r="F553" s="207"/>
      <c r="G553" s="211" t="str">
        <f t="shared" si="81"/>
        <v/>
      </c>
      <c r="H553" s="207"/>
      <c r="I553" s="211" t="str">
        <f t="shared" si="82"/>
        <v/>
      </c>
      <c r="J553" s="207"/>
      <c r="K553" s="211" t="str">
        <f t="shared" si="83"/>
        <v/>
      </c>
      <c r="L553" s="207"/>
      <c r="M553" s="211" t="str">
        <f t="shared" si="84"/>
        <v/>
      </c>
      <c r="N553" s="207"/>
      <c r="O553" s="211" t="str">
        <f t="shared" si="85"/>
        <v/>
      </c>
      <c r="P553" s="207"/>
      <c r="Q553" s="211" t="str">
        <f t="shared" si="86"/>
        <v/>
      </c>
      <c r="R553" s="207"/>
      <c r="S553" s="211" t="str">
        <f t="shared" si="87"/>
        <v/>
      </c>
      <c r="T553" s="272" t="str">
        <f t="shared" si="88"/>
        <v/>
      </c>
      <c r="U553" s="212" t="str">
        <f t="shared" si="89"/>
        <v/>
      </c>
    </row>
    <row r="554" spans="2:21" x14ac:dyDescent="0.25">
      <c r="B554" s="241" t="str">
        <f>IF(Contagem!B552=0,"",Contagem!B552)</f>
        <v/>
      </c>
      <c r="C554" s="242" t="str">
        <f>IF(Contagem!T552 &gt; 0,Contagem!T552,"")</f>
        <v/>
      </c>
      <c r="D554" s="207"/>
      <c r="E554" s="211" t="str">
        <f t="shared" si="80"/>
        <v/>
      </c>
      <c r="F554" s="207"/>
      <c r="G554" s="211" t="str">
        <f t="shared" si="81"/>
        <v/>
      </c>
      <c r="H554" s="207"/>
      <c r="I554" s="211" t="str">
        <f t="shared" si="82"/>
        <v/>
      </c>
      <c r="J554" s="207"/>
      <c r="K554" s="211" t="str">
        <f t="shared" si="83"/>
        <v/>
      </c>
      <c r="L554" s="207"/>
      <c r="M554" s="211" t="str">
        <f t="shared" si="84"/>
        <v/>
      </c>
      <c r="N554" s="207"/>
      <c r="O554" s="211" t="str">
        <f t="shared" si="85"/>
        <v/>
      </c>
      <c r="P554" s="207"/>
      <c r="Q554" s="211" t="str">
        <f t="shared" si="86"/>
        <v/>
      </c>
      <c r="R554" s="207"/>
      <c r="S554" s="211" t="str">
        <f t="shared" si="87"/>
        <v/>
      </c>
      <c r="T554" s="272" t="str">
        <f t="shared" si="88"/>
        <v/>
      </c>
      <c r="U554" s="212" t="str">
        <f t="shared" si="89"/>
        <v/>
      </c>
    </row>
    <row r="555" spans="2:21" x14ac:dyDescent="0.25">
      <c r="B555" s="241" t="str">
        <f>IF(Contagem!B553=0,"",Contagem!B553)</f>
        <v/>
      </c>
      <c r="C555" s="242" t="str">
        <f>IF(Contagem!T553 &gt; 0,Contagem!T553,"")</f>
        <v/>
      </c>
      <c r="D555" s="207"/>
      <c r="E555" s="211" t="str">
        <f t="shared" si="80"/>
        <v/>
      </c>
      <c r="F555" s="207"/>
      <c r="G555" s="211" t="str">
        <f t="shared" si="81"/>
        <v/>
      </c>
      <c r="H555" s="207"/>
      <c r="I555" s="211" t="str">
        <f t="shared" si="82"/>
        <v/>
      </c>
      <c r="J555" s="207"/>
      <c r="K555" s="211" t="str">
        <f t="shared" si="83"/>
        <v/>
      </c>
      <c r="L555" s="207"/>
      <c r="M555" s="211" t="str">
        <f t="shared" si="84"/>
        <v/>
      </c>
      <c r="N555" s="207"/>
      <c r="O555" s="211" t="str">
        <f t="shared" si="85"/>
        <v/>
      </c>
      <c r="P555" s="207"/>
      <c r="Q555" s="211" t="str">
        <f t="shared" si="86"/>
        <v/>
      </c>
      <c r="R555" s="207"/>
      <c r="S555" s="211" t="str">
        <f t="shared" si="87"/>
        <v/>
      </c>
      <c r="T555" s="272" t="str">
        <f t="shared" si="88"/>
        <v/>
      </c>
      <c r="U555" s="212" t="str">
        <f t="shared" si="89"/>
        <v/>
      </c>
    </row>
    <row r="556" spans="2:21" x14ac:dyDescent="0.25">
      <c r="B556" s="241" t="str">
        <f>IF(Contagem!B554=0,"",Contagem!B554)</f>
        <v/>
      </c>
      <c r="C556" s="242" t="str">
        <f>IF(Contagem!T554 &gt; 0,Contagem!T554,"")</f>
        <v/>
      </c>
      <c r="D556" s="207"/>
      <c r="E556" s="211" t="str">
        <f t="shared" si="80"/>
        <v/>
      </c>
      <c r="F556" s="207"/>
      <c r="G556" s="211" t="str">
        <f t="shared" si="81"/>
        <v/>
      </c>
      <c r="H556" s="207"/>
      <c r="I556" s="211" t="str">
        <f t="shared" si="82"/>
        <v/>
      </c>
      <c r="J556" s="207"/>
      <c r="K556" s="211" t="str">
        <f t="shared" si="83"/>
        <v/>
      </c>
      <c r="L556" s="207"/>
      <c r="M556" s="211" t="str">
        <f t="shared" si="84"/>
        <v/>
      </c>
      <c r="N556" s="207"/>
      <c r="O556" s="211" t="str">
        <f t="shared" si="85"/>
        <v/>
      </c>
      <c r="P556" s="207"/>
      <c r="Q556" s="211" t="str">
        <f t="shared" si="86"/>
        <v/>
      </c>
      <c r="R556" s="207"/>
      <c r="S556" s="211" t="str">
        <f t="shared" si="87"/>
        <v/>
      </c>
      <c r="T556" s="272" t="str">
        <f t="shared" si="88"/>
        <v/>
      </c>
      <c r="U556" s="212" t="str">
        <f t="shared" si="89"/>
        <v/>
      </c>
    </row>
    <row r="557" spans="2:21" x14ac:dyDescent="0.25">
      <c r="B557" s="241" t="str">
        <f>IF(Contagem!B555=0,"",Contagem!B555)</f>
        <v/>
      </c>
      <c r="C557" s="242" t="str">
        <f>IF(Contagem!T555 &gt; 0,Contagem!T555,"")</f>
        <v/>
      </c>
      <c r="D557" s="207"/>
      <c r="E557" s="211" t="str">
        <f t="shared" si="80"/>
        <v/>
      </c>
      <c r="F557" s="207"/>
      <c r="G557" s="211" t="str">
        <f t="shared" si="81"/>
        <v/>
      </c>
      <c r="H557" s="207"/>
      <c r="I557" s="211" t="str">
        <f t="shared" si="82"/>
        <v/>
      </c>
      <c r="J557" s="207"/>
      <c r="K557" s="211" t="str">
        <f t="shared" si="83"/>
        <v/>
      </c>
      <c r="L557" s="207"/>
      <c r="M557" s="211" t="str">
        <f t="shared" si="84"/>
        <v/>
      </c>
      <c r="N557" s="207"/>
      <c r="O557" s="211" t="str">
        <f t="shared" si="85"/>
        <v/>
      </c>
      <c r="P557" s="207"/>
      <c r="Q557" s="211" t="str">
        <f t="shared" si="86"/>
        <v/>
      </c>
      <c r="R557" s="207"/>
      <c r="S557" s="211" t="str">
        <f t="shared" si="87"/>
        <v/>
      </c>
      <c r="T557" s="272" t="str">
        <f t="shared" si="88"/>
        <v/>
      </c>
      <c r="U557" s="212" t="str">
        <f t="shared" si="89"/>
        <v/>
      </c>
    </row>
    <row r="558" spans="2:21" x14ac:dyDescent="0.25">
      <c r="B558" s="241" t="str">
        <f>IF(Contagem!B556=0,"",Contagem!B556)</f>
        <v/>
      </c>
      <c r="C558" s="242" t="str">
        <f>IF(Contagem!T556 &gt; 0,Contagem!T556,"")</f>
        <v/>
      </c>
      <c r="D558" s="207"/>
      <c r="E558" s="211" t="str">
        <f t="shared" si="80"/>
        <v/>
      </c>
      <c r="F558" s="207"/>
      <c r="G558" s="211" t="str">
        <f t="shared" si="81"/>
        <v/>
      </c>
      <c r="H558" s="207"/>
      <c r="I558" s="211" t="str">
        <f t="shared" si="82"/>
        <v/>
      </c>
      <c r="J558" s="207"/>
      <c r="K558" s="211" t="str">
        <f t="shared" si="83"/>
        <v/>
      </c>
      <c r="L558" s="207"/>
      <c r="M558" s="211" t="str">
        <f t="shared" si="84"/>
        <v/>
      </c>
      <c r="N558" s="207"/>
      <c r="O558" s="211" t="str">
        <f t="shared" si="85"/>
        <v/>
      </c>
      <c r="P558" s="207"/>
      <c r="Q558" s="211" t="str">
        <f t="shared" si="86"/>
        <v/>
      </c>
      <c r="R558" s="207"/>
      <c r="S558" s="211" t="str">
        <f t="shared" si="87"/>
        <v/>
      </c>
      <c r="T558" s="272" t="str">
        <f t="shared" si="88"/>
        <v/>
      </c>
      <c r="U558" s="212" t="str">
        <f t="shared" si="89"/>
        <v/>
      </c>
    </row>
    <row r="559" spans="2:21" x14ac:dyDescent="0.25">
      <c r="B559" s="241" t="str">
        <f>IF(Contagem!B557=0,"",Contagem!B557)</f>
        <v/>
      </c>
      <c r="C559" s="242" t="str">
        <f>IF(Contagem!T557 &gt; 0,Contagem!T557,"")</f>
        <v/>
      </c>
      <c r="D559" s="207"/>
      <c r="E559" s="211" t="str">
        <f t="shared" si="80"/>
        <v/>
      </c>
      <c r="F559" s="207"/>
      <c r="G559" s="211" t="str">
        <f t="shared" si="81"/>
        <v/>
      </c>
      <c r="H559" s="207"/>
      <c r="I559" s="211" t="str">
        <f t="shared" si="82"/>
        <v/>
      </c>
      <c r="J559" s="207"/>
      <c r="K559" s="211" t="str">
        <f t="shared" si="83"/>
        <v/>
      </c>
      <c r="L559" s="207"/>
      <c r="M559" s="211" t="str">
        <f t="shared" si="84"/>
        <v/>
      </c>
      <c r="N559" s="207"/>
      <c r="O559" s="211" t="str">
        <f t="shared" si="85"/>
        <v/>
      </c>
      <c r="P559" s="207"/>
      <c r="Q559" s="211" t="str">
        <f t="shared" si="86"/>
        <v/>
      </c>
      <c r="R559" s="207"/>
      <c r="S559" s="211" t="str">
        <f t="shared" si="87"/>
        <v/>
      </c>
      <c r="T559" s="272" t="str">
        <f t="shared" si="88"/>
        <v/>
      </c>
      <c r="U559" s="212" t="str">
        <f t="shared" si="89"/>
        <v/>
      </c>
    </row>
    <row r="560" spans="2:21" x14ac:dyDescent="0.25">
      <c r="B560" s="241" t="str">
        <f>IF(Contagem!B558=0,"",Contagem!B558)</f>
        <v/>
      </c>
      <c r="C560" s="242" t="str">
        <f>IF(Contagem!T558 &gt; 0,Contagem!T558,"")</f>
        <v/>
      </c>
      <c r="D560" s="207"/>
      <c r="E560" s="211" t="str">
        <f t="shared" si="80"/>
        <v/>
      </c>
      <c r="F560" s="207"/>
      <c r="G560" s="211" t="str">
        <f t="shared" si="81"/>
        <v/>
      </c>
      <c r="H560" s="207"/>
      <c r="I560" s="211" t="str">
        <f t="shared" si="82"/>
        <v/>
      </c>
      <c r="J560" s="207"/>
      <c r="K560" s="211" t="str">
        <f t="shared" si="83"/>
        <v/>
      </c>
      <c r="L560" s="207"/>
      <c r="M560" s="211" t="str">
        <f t="shared" si="84"/>
        <v/>
      </c>
      <c r="N560" s="207"/>
      <c r="O560" s="211" t="str">
        <f t="shared" si="85"/>
        <v/>
      </c>
      <c r="P560" s="207"/>
      <c r="Q560" s="211" t="str">
        <f t="shared" si="86"/>
        <v/>
      </c>
      <c r="R560" s="207"/>
      <c r="S560" s="211" t="str">
        <f t="shared" si="87"/>
        <v/>
      </c>
      <c r="T560" s="272" t="str">
        <f t="shared" si="88"/>
        <v/>
      </c>
      <c r="U560" s="212" t="str">
        <f t="shared" si="89"/>
        <v/>
      </c>
    </row>
    <row r="561" spans="2:21" x14ac:dyDescent="0.25">
      <c r="B561" s="241" t="str">
        <f>IF(Contagem!B559=0,"",Contagem!B559)</f>
        <v/>
      </c>
      <c r="C561" s="242" t="str">
        <f>IF(Contagem!T559 &gt; 0,Contagem!T559,"")</f>
        <v/>
      </c>
      <c r="D561" s="207"/>
      <c r="E561" s="211" t="str">
        <f t="shared" si="80"/>
        <v/>
      </c>
      <c r="F561" s="207"/>
      <c r="G561" s="211" t="str">
        <f t="shared" si="81"/>
        <v/>
      </c>
      <c r="H561" s="207"/>
      <c r="I561" s="211" t="str">
        <f t="shared" si="82"/>
        <v/>
      </c>
      <c r="J561" s="207"/>
      <c r="K561" s="211" t="str">
        <f t="shared" si="83"/>
        <v/>
      </c>
      <c r="L561" s="207"/>
      <c r="M561" s="211" t="str">
        <f t="shared" si="84"/>
        <v/>
      </c>
      <c r="N561" s="207"/>
      <c r="O561" s="211" t="str">
        <f t="shared" si="85"/>
        <v/>
      </c>
      <c r="P561" s="207"/>
      <c r="Q561" s="211" t="str">
        <f t="shared" si="86"/>
        <v/>
      </c>
      <c r="R561" s="207"/>
      <c r="S561" s="211" t="str">
        <f t="shared" si="87"/>
        <v/>
      </c>
      <c r="T561" s="272" t="str">
        <f t="shared" si="88"/>
        <v/>
      </c>
      <c r="U561" s="212" t="str">
        <f t="shared" si="89"/>
        <v/>
      </c>
    </row>
    <row r="562" spans="2:21" x14ac:dyDescent="0.25">
      <c r="B562" s="241" t="str">
        <f>IF(Contagem!B560=0,"",Contagem!B560)</f>
        <v/>
      </c>
      <c r="C562" s="242" t="str">
        <f>IF(Contagem!T560 &gt; 0,Contagem!T560,"")</f>
        <v/>
      </c>
      <c r="D562" s="207"/>
      <c r="E562" s="211" t="str">
        <f t="shared" si="80"/>
        <v/>
      </c>
      <c r="F562" s="207"/>
      <c r="G562" s="211" t="str">
        <f t="shared" si="81"/>
        <v/>
      </c>
      <c r="H562" s="207"/>
      <c r="I562" s="211" t="str">
        <f t="shared" si="82"/>
        <v/>
      </c>
      <c r="J562" s="207"/>
      <c r="K562" s="211" t="str">
        <f t="shared" si="83"/>
        <v/>
      </c>
      <c r="L562" s="207"/>
      <c r="M562" s="211" t="str">
        <f t="shared" si="84"/>
        <v/>
      </c>
      <c r="N562" s="207"/>
      <c r="O562" s="211" t="str">
        <f t="shared" si="85"/>
        <v/>
      </c>
      <c r="P562" s="207"/>
      <c r="Q562" s="211" t="str">
        <f t="shared" si="86"/>
        <v/>
      </c>
      <c r="R562" s="207"/>
      <c r="S562" s="211" t="str">
        <f t="shared" si="87"/>
        <v/>
      </c>
      <c r="T562" s="272" t="str">
        <f t="shared" si="88"/>
        <v/>
      </c>
      <c r="U562" s="212" t="str">
        <f t="shared" si="89"/>
        <v/>
      </c>
    </row>
    <row r="563" spans="2:21" x14ac:dyDescent="0.25">
      <c r="B563" s="241" t="str">
        <f>IF(Contagem!B561=0,"",Contagem!B561)</f>
        <v/>
      </c>
      <c r="C563" s="242" t="str">
        <f>IF(Contagem!T561 &gt; 0,Contagem!T561,"")</f>
        <v/>
      </c>
      <c r="D563" s="207"/>
      <c r="E563" s="211" t="str">
        <f t="shared" si="80"/>
        <v/>
      </c>
      <c r="F563" s="207"/>
      <c r="G563" s="211" t="str">
        <f t="shared" si="81"/>
        <v/>
      </c>
      <c r="H563" s="207"/>
      <c r="I563" s="211" t="str">
        <f t="shared" si="82"/>
        <v/>
      </c>
      <c r="J563" s="207"/>
      <c r="K563" s="211" t="str">
        <f t="shared" si="83"/>
        <v/>
      </c>
      <c r="L563" s="207"/>
      <c r="M563" s="211" t="str">
        <f t="shared" si="84"/>
        <v/>
      </c>
      <c r="N563" s="207"/>
      <c r="O563" s="211" t="str">
        <f t="shared" si="85"/>
        <v/>
      </c>
      <c r="P563" s="207"/>
      <c r="Q563" s="211" t="str">
        <f t="shared" si="86"/>
        <v/>
      </c>
      <c r="R563" s="207"/>
      <c r="S563" s="211" t="str">
        <f t="shared" si="87"/>
        <v/>
      </c>
      <c r="T563" s="272" t="str">
        <f t="shared" si="88"/>
        <v/>
      </c>
      <c r="U563" s="212" t="str">
        <f t="shared" si="89"/>
        <v/>
      </c>
    </row>
    <row r="564" spans="2:21" x14ac:dyDescent="0.25">
      <c r="B564" s="241" t="str">
        <f>IF(Contagem!B562=0,"",Contagem!B562)</f>
        <v/>
      </c>
      <c r="C564" s="242" t="str">
        <f>IF(Contagem!T562 &gt; 0,Contagem!T562,"")</f>
        <v/>
      </c>
      <c r="D564" s="207"/>
      <c r="E564" s="211" t="str">
        <f t="shared" si="80"/>
        <v/>
      </c>
      <c r="F564" s="207"/>
      <c r="G564" s="211" t="str">
        <f t="shared" si="81"/>
        <v/>
      </c>
      <c r="H564" s="207"/>
      <c r="I564" s="211" t="str">
        <f t="shared" si="82"/>
        <v/>
      </c>
      <c r="J564" s="207"/>
      <c r="K564" s="211" t="str">
        <f t="shared" si="83"/>
        <v/>
      </c>
      <c r="L564" s="207"/>
      <c r="M564" s="211" t="str">
        <f t="shared" si="84"/>
        <v/>
      </c>
      <c r="N564" s="207"/>
      <c r="O564" s="211" t="str">
        <f t="shared" si="85"/>
        <v/>
      </c>
      <c r="P564" s="207"/>
      <c r="Q564" s="211" t="str">
        <f t="shared" si="86"/>
        <v/>
      </c>
      <c r="R564" s="207"/>
      <c r="S564" s="211" t="str">
        <f t="shared" si="87"/>
        <v/>
      </c>
      <c r="T564" s="272" t="str">
        <f t="shared" si="88"/>
        <v/>
      </c>
      <c r="U564" s="212" t="str">
        <f t="shared" si="89"/>
        <v/>
      </c>
    </row>
    <row r="565" spans="2:21" x14ac:dyDescent="0.25">
      <c r="B565" s="241" t="str">
        <f>IF(Contagem!B563=0,"",Contagem!B563)</f>
        <v/>
      </c>
      <c r="C565" s="242" t="str">
        <f>IF(Contagem!T563 &gt; 0,Contagem!T563,"")</f>
        <v/>
      </c>
      <c r="D565" s="207"/>
      <c r="E565" s="211" t="str">
        <f t="shared" si="80"/>
        <v/>
      </c>
      <c r="F565" s="207"/>
      <c r="G565" s="211" t="str">
        <f t="shared" si="81"/>
        <v/>
      </c>
      <c r="H565" s="207"/>
      <c r="I565" s="211" t="str">
        <f t="shared" si="82"/>
        <v/>
      </c>
      <c r="J565" s="207"/>
      <c r="K565" s="211" t="str">
        <f t="shared" si="83"/>
        <v/>
      </c>
      <c r="L565" s="207"/>
      <c r="M565" s="211" t="str">
        <f t="shared" si="84"/>
        <v/>
      </c>
      <c r="N565" s="207"/>
      <c r="O565" s="211" t="str">
        <f t="shared" si="85"/>
        <v/>
      </c>
      <c r="P565" s="207"/>
      <c r="Q565" s="211" t="str">
        <f t="shared" si="86"/>
        <v/>
      </c>
      <c r="R565" s="207"/>
      <c r="S565" s="211" t="str">
        <f t="shared" si="87"/>
        <v/>
      </c>
      <c r="T565" s="272" t="str">
        <f t="shared" si="88"/>
        <v/>
      </c>
      <c r="U565" s="212" t="str">
        <f t="shared" si="89"/>
        <v/>
      </c>
    </row>
    <row r="566" spans="2:21" x14ac:dyDescent="0.25">
      <c r="B566" s="241" t="str">
        <f>IF(Contagem!B564=0,"",Contagem!B564)</f>
        <v/>
      </c>
      <c r="C566" s="242" t="str">
        <f>IF(Contagem!T564 &gt; 0,Contagem!T564,"")</f>
        <v/>
      </c>
      <c r="D566" s="207"/>
      <c r="E566" s="211" t="str">
        <f t="shared" si="80"/>
        <v/>
      </c>
      <c r="F566" s="207"/>
      <c r="G566" s="211" t="str">
        <f t="shared" si="81"/>
        <v/>
      </c>
      <c r="H566" s="207"/>
      <c r="I566" s="211" t="str">
        <f t="shared" si="82"/>
        <v/>
      </c>
      <c r="J566" s="207"/>
      <c r="K566" s="211" t="str">
        <f t="shared" si="83"/>
        <v/>
      </c>
      <c r="L566" s="207"/>
      <c r="M566" s="211" t="str">
        <f t="shared" si="84"/>
        <v/>
      </c>
      <c r="N566" s="207"/>
      <c r="O566" s="211" t="str">
        <f t="shared" si="85"/>
        <v/>
      </c>
      <c r="P566" s="207"/>
      <c r="Q566" s="211" t="str">
        <f t="shared" si="86"/>
        <v/>
      </c>
      <c r="R566" s="207"/>
      <c r="S566" s="211" t="str">
        <f t="shared" si="87"/>
        <v/>
      </c>
      <c r="T566" s="272" t="str">
        <f t="shared" si="88"/>
        <v/>
      </c>
      <c r="U566" s="212" t="str">
        <f t="shared" si="89"/>
        <v/>
      </c>
    </row>
    <row r="567" spans="2:21" x14ac:dyDescent="0.25">
      <c r="B567" s="241" t="str">
        <f>IF(Contagem!B565=0,"",Contagem!B565)</f>
        <v/>
      </c>
      <c r="C567" s="242" t="str">
        <f>IF(Contagem!T565 &gt; 0,Contagem!T565,"")</f>
        <v/>
      </c>
      <c r="D567" s="207"/>
      <c r="E567" s="211" t="str">
        <f t="shared" si="80"/>
        <v/>
      </c>
      <c r="F567" s="207"/>
      <c r="G567" s="211" t="str">
        <f t="shared" si="81"/>
        <v/>
      </c>
      <c r="H567" s="207"/>
      <c r="I567" s="211" t="str">
        <f t="shared" si="82"/>
        <v/>
      </c>
      <c r="J567" s="207"/>
      <c r="K567" s="211" t="str">
        <f t="shared" si="83"/>
        <v/>
      </c>
      <c r="L567" s="207"/>
      <c r="M567" s="211" t="str">
        <f t="shared" si="84"/>
        <v/>
      </c>
      <c r="N567" s="207"/>
      <c r="O567" s="211" t="str">
        <f t="shared" si="85"/>
        <v/>
      </c>
      <c r="P567" s="207"/>
      <c r="Q567" s="211" t="str">
        <f t="shared" si="86"/>
        <v/>
      </c>
      <c r="R567" s="207"/>
      <c r="S567" s="211" t="str">
        <f t="shared" si="87"/>
        <v/>
      </c>
      <c r="T567" s="272" t="str">
        <f t="shared" si="88"/>
        <v/>
      </c>
      <c r="U567" s="212" t="str">
        <f t="shared" si="89"/>
        <v/>
      </c>
    </row>
    <row r="568" spans="2:21" x14ac:dyDescent="0.25">
      <c r="B568" s="241" t="str">
        <f>IF(Contagem!B566=0,"",Contagem!B566)</f>
        <v/>
      </c>
      <c r="C568" s="242" t="str">
        <f>IF(Contagem!T566 &gt; 0,Contagem!T566,"")</f>
        <v/>
      </c>
      <c r="D568" s="207"/>
      <c r="E568" s="211" t="str">
        <f t="shared" si="80"/>
        <v/>
      </c>
      <c r="F568" s="207"/>
      <c r="G568" s="211" t="str">
        <f t="shared" si="81"/>
        <v/>
      </c>
      <c r="H568" s="207"/>
      <c r="I568" s="211" t="str">
        <f t="shared" si="82"/>
        <v/>
      </c>
      <c r="J568" s="207"/>
      <c r="K568" s="211" t="str">
        <f t="shared" si="83"/>
        <v/>
      </c>
      <c r="L568" s="207"/>
      <c r="M568" s="211" t="str">
        <f t="shared" si="84"/>
        <v/>
      </c>
      <c r="N568" s="207"/>
      <c r="O568" s="211" t="str">
        <f t="shared" si="85"/>
        <v/>
      </c>
      <c r="P568" s="207"/>
      <c r="Q568" s="211" t="str">
        <f t="shared" si="86"/>
        <v/>
      </c>
      <c r="R568" s="207"/>
      <c r="S568" s="211" t="str">
        <f t="shared" si="87"/>
        <v/>
      </c>
      <c r="T568" s="272" t="str">
        <f t="shared" si="88"/>
        <v/>
      </c>
      <c r="U568" s="212" t="str">
        <f t="shared" si="89"/>
        <v/>
      </c>
    </row>
    <row r="569" spans="2:21" x14ac:dyDescent="0.25">
      <c r="B569" s="241" t="str">
        <f>IF(Contagem!B567=0,"",Contagem!B567)</f>
        <v/>
      </c>
      <c r="C569" s="242" t="str">
        <f>IF(Contagem!T567 &gt; 0,Contagem!T567,"")</f>
        <v/>
      </c>
      <c r="D569" s="207"/>
      <c r="E569" s="211" t="str">
        <f t="shared" si="80"/>
        <v/>
      </c>
      <c r="F569" s="207"/>
      <c r="G569" s="211" t="str">
        <f t="shared" si="81"/>
        <v/>
      </c>
      <c r="H569" s="207"/>
      <c r="I569" s="211" t="str">
        <f t="shared" si="82"/>
        <v/>
      </c>
      <c r="J569" s="207"/>
      <c r="K569" s="211" t="str">
        <f t="shared" si="83"/>
        <v/>
      </c>
      <c r="L569" s="207"/>
      <c r="M569" s="211" t="str">
        <f t="shared" si="84"/>
        <v/>
      </c>
      <c r="N569" s="207"/>
      <c r="O569" s="211" t="str">
        <f t="shared" si="85"/>
        <v/>
      </c>
      <c r="P569" s="207"/>
      <c r="Q569" s="211" t="str">
        <f t="shared" si="86"/>
        <v/>
      </c>
      <c r="R569" s="207"/>
      <c r="S569" s="211" t="str">
        <f t="shared" si="87"/>
        <v/>
      </c>
      <c r="T569" s="272" t="str">
        <f t="shared" si="88"/>
        <v/>
      </c>
      <c r="U569" s="212" t="str">
        <f t="shared" si="89"/>
        <v/>
      </c>
    </row>
    <row r="570" spans="2:21" x14ac:dyDescent="0.25">
      <c r="B570" s="241" t="str">
        <f>IF(Contagem!B568=0,"",Contagem!B568)</f>
        <v/>
      </c>
      <c r="C570" s="242" t="str">
        <f>IF(Contagem!T568 &gt; 0,Contagem!T568,"")</f>
        <v/>
      </c>
      <c r="D570" s="207"/>
      <c r="E570" s="211" t="str">
        <f t="shared" si="80"/>
        <v/>
      </c>
      <c r="F570" s="207"/>
      <c r="G570" s="211" t="str">
        <f t="shared" si="81"/>
        <v/>
      </c>
      <c r="H570" s="207"/>
      <c r="I570" s="211" t="str">
        <f t="shared" si="82"/>
        <v/>
      </c>
      <c r="J570" s="207"/>
      <c r="K570" s="211" t="str">
        <f t="shared" si="83"/>
        <v/>
      </c>
      <c r="L570" s="207"/>
      <c r="M570" s="211" t="str">
        <f t="shared" si="84"/>
        <v/>
      </c>
      <c r="N570" s="207"/>
      <c r="O570" s="211" t="str">
        <f t="shared" si="85"/>
        <v/>
      </c>
      <c r="P570" s="207"/>
      <c r="Q570" s="211" t="str">
        <f t="shared" si="86"/>
        <v/>
      </c>
      <c r="R570" s="207"/>
      <c r="S570" s="211" t="str">
        <f t="shared" si="87"/>
        <v/>
      </c>
      <c r="T570" s="272" t="str">
        <f t="shared" si="88"/>
        <v/>
      </c>
      <c r="U570" s="212" t="str">
        <f t="shared" si="89"/>
        <v/>
      </c>
    </row>
    <row r="571" spans="2:21" x14ac:dyDescent="0.25">
      <c r="B571" s="241" t="str">
        <f>IF(Contagem!B569=0,"",Contagem!B569)</f>
        <v/>
      </c>
      <c r="C571" s="242" t="str">
        <f>IF(Contagem!T569 &gt; 0,Contagem!T569,"")</f>
        <v/>
      </c>
      <c r="D571" s="207"/>
      <c r="E571" s="211" t="str">
        <f t="shared" si="80"/>
        <v/>
      </c>
      <c r="F571" s="207"/>
      <c r="G571" s="211" t="str">
        <f t="shared" si="81"/>
        <v/>
      </c>
      <c r="H571" s="207"/>
      <c r="I571" s="211" t="str">
        <f t="shared" si="82"/>
        <v/>
      </c>
      <c r="J571" s="207"/>
      <c r="K571" s="211" t="str">
        <f t="shared" si="83"/>
        <v/>
      </c>
      <c r="L571" s="207"/>
      <c r="M571" s="211" t="str">
        <f t="shared" si="84"/>
        <v/>
      </c>
      <c r="N571" s="207"/>
      <c r="O571" s="211" t="str">
        <f t="shared" si="85"/>
        <v/>
      </c>
      <c r="P571" s="207"/>
      <c r="Q571" s="211" t="str">
        <f t="shared" si="86"/>
        <v/>
      </c>
      <c r="R571" s="207"/>
      <c r="S571" s="211" t="str">
        <f t="shared" si="87"/>
        <v/>
      </c>
      <c r="T571" s="272" t="str">
        <f t="shared" si="88"/>
        <v/>
      </c>
      <c r="U571" s="212" t="str">
        <f t="shared" si="89"/>
        <v/>
      </c>
    </row>
    <row r="572" spans="2:21" x14ac:dyDescent="0.25">
      <c r="B572" s="241" t="str">
        <f>IF(Contagem!B570=0,"",Contagem!B570)</f>
        <v/>
      </c>
      <c r="C572" s="242" t="str">
        <f>IF(Contagem!T570 &gt; 0,Contagem!T570,"")</f>
        <v/>
      </c>
      <c r="D572" s="207"/>
      <c r="E572" s="211" t="str">
        <f t="shared" si="80"/>
        <v/>
      </c>
      <c r="F572" s="207"/>
      <c r="G572" s="211" t="str">
        <f t="shared" si="81"/>
        <v/>
      </c>
      <c r="H572" s="207"/>
      <c r="I572" s="211" t="str">
        <f t="shared" si="82"/>
        <v/>
      </c>
      <c r="J572" s="207"/>
      <c r="K572" s="211" t="str">
        <f t="shared" si="83"/>
        <v/>
      </c>
      <c r="L572" s="207"/>
      <c r="M572" s="211" t="str">
        <f t="shared" si="84"/>
        <v/>
      </c>
      <c r="N572" s="207"/>
      <c r="O572" s="211" t="str">
        <f t="shared" si="85"/>
        <v/>
      </c>
      <c r="P572" s="207"/>
      <c r="Q572" s="211" t="str">
        <f t="shared" si="86"/>
        <v/>
      </c>
      <c r="R572" s="207"/>
      <c r="S572" s="211" t="str">
        <f t="shared" si="87"/>
        <v/>
      </c>
      <c r="T572" s="272" t="str">
        <f t="shared" si="88"/>
        <v/>
      </c>
      <c r="U572" s="212" t="str">
        <f t="shared" si="89"/>
        <v/>
      </c>
    </row>
    <row r="573" spans="2:21" x14ac:dyDescent="0.25">
      <c r="B573" s="241" t="str">
        <f>IF(Contagem!B571=0,"",Contagem!B571)</f>
        <v/>
      </c>
      <c r="C573" s="242" t="str">
        <f>IF(Contagem!T571 &gt; 0,Contagem!T571,"")</f>
        <v/>
      </c>
      <c r="D573" s="207"/>
      <c r="E573" s="211" t="str">
        <f t="shared" si="80"/>
        <v/>
      </c>
      <c r="F573" s="207"/>
      <c r="G573" s="211" t="str">
        <f t="shared" si="81"/>
        <v/>
      </c>
      <c r="H573" s="207"/>
      <c r="I573" s="211" t="str">
        <f t="shared" si="82"/>
        <v/>
      </c>
      <c r="J573" s="207"/>
      <c r="K573" s="211" t="str">
        <f t="shared" si="83"/>
        <v/>
      </c>
      <c r="L573" s="207"/>
      <c r="M573" s="211" t="str">
        <f t="shared" si="84"/>
        <v/>
      </c>
      <c r="N573" s="207"/>
      <c r="O573" s="211" t="str">
        <f t="shared" si="85"/>
        <v/>
      </c>
      <c r="P573" s="207"/>
      <c r="Q573" s="211" t="str">
        <f t="shared" si="86"/>
        <v/>
      </c>
      <c r="R573" s="207"/>
      <c r="S573" s="211" t="str">
        <f t="shared" si="87"/>
        <v/>
      </c>
      <c r="T573" s="272" t="str">
        <f t="shared" si="88"/>
        <v/>
      </c>
      <c r="U573" s="212" t="str">
        <f t="shared" si="89"/>
        <v/>
      </c>
    </row>
    <row r="574" spans="2:21" x14ac:dyDescent="0.25">
      <c r="B574" s="241" t="str">
        <f>IF(Contagem!B572=0,"",Contagem!B572)</f>
        <v/>
      </c>
      <c r="C574" s="242" t="str">
        <f>IF(Contagem!T572 &gt; 0,Contagem!T572,"")</f>
        <v/>
      </c>
      <c r="D574" s="207"/>
      <c r="E574" s="211" t="str">
        <f t="shared" si="80"/>
        <v/>
      </c>
      <c r="F574" s="207"/>
      <c r="G574" s="211" t="str">
        <f t="shared" si="81"/>
        <v/>
      </c>
      <c r="H574" s="207"/>
      <c r="I574" s="211" t="str">
        <f t="shared" si="82"/>
        <v/>
      </c>
      <c r="J574" s="207"/>
      <c r="K574" s="211" t="str">
        <f t="shared" si="83"/>
        <v/>
      </c>
      <c r="L574" s="207"/>
      <c r="M574" s="211" t="str">
        <f t="shared" si="84"/>
        <v/>
      </c>
      <c r="N574" s="207"/>
      <c r="O574" s="211" t="str">
        <f t="shared" si="85"/>
        <v/>
      </c>
      <c r="P574" s="207"/>
      <c r="Q574" s="211" t="str">
        <f t="shared" si="86"/>
        <v/>
      </c>
      <c r="R574" s="207"/>
      <c r="S574" s="211" t="str">
        <f t="shared" si="87"/>
        <v/>
      </c>
      <c r="T574" s="272" t="str">
        <f t="shared" si="88"/>
        <v/>
      </c>
      <c r="U574" s="212" t="str">
        <f t="shared" si="89"/>
        <v/>
      </c>
    </row>
    <row r="575" spans="2:21" x14ac:dyDescent="0.25">
      <c r="B575" s="241" t="str">
        <f>IF(Contagem!B573=0,"",Contagem!B573)</f>
        <v/>
      </c>
      <c r="C575" s="242" t="str">
        <f>IF(Contagem!T573 &gt; 0,Contagem!T573,"")</f>
        <v/>
      </c>
      <c r="D575" s="207"/>
      <c r="E575" s="211" t="str">
        <f t="shared" si="80"/>
        <v/>
      </c>
      <c r="F575" s="207"/>
      <c r="G575" s="211" t="str">
        <f t="shared" si="81"/>
        <v/>
      </c>
      <c r="H575" s="207"/>
      <c r="I575" s="211" t="str">
        <f t="shared" si="82"/>
        <v/>
      </c>
      <c r="J575" s="207"/>
      <c r="K575" s="211" t="str">
        <f t="shared" si="83"/>
        <v/>
      </c>
      <c r="L575" s="207"/>
      <c r="M575" s="211" t="str">
        <f t="shared" si="84"/>
        <v/>
      </c>
      <c r="N575" s="207"/>
      <c r="O575" s="211" t="str">
        <f t="shared" si="85"/>
        <v/>
      </c>
      <c r="P575" s="207"/>
      <c r="Q575" s="211" t="str">
        <f t="shared" si="86"/>
        <v/>
      </c>
      <c r="R575" s="207"/>
      <c r="S575" s="211" t="str">
        <f t="shared" si="87"/>
        <v/>
      </c>
      <c r="T575" s="272" t="str">
        <f t="shared" si="88"/>
        <v/>
      </c>
      <c r="U575" s="212" t="str">
        <f t="shared" si="89"/>
        <v/>
      </c>
    </row>
    <row r="576" spans="2:21" x14ac:dyDescent="0.25">
      <c r="B576" s="241" t="str">
        <f>IF(Contagem!B574=0,"",Contagem!B574)</f>
        <v/>
      </c>
      <c r="C576" s="242" t="str">
        <f>IF(Contagem!T574 &gt; 0,Contagem!T574,"")</f>
        <v/>
      </c>
      <c r="D576" s="207"/>
      <c r="E576" s="211" t="str">
        <f t="shared" si="80"/>
        <v/>
      </c>
      <c r="F576" s="207"/>
      <c r="G576" s="211" t="str">
        <f t="shared" si="81"/>
        <v/>
      </c>
      <c r="H576" s="207"/>
      <c r="I576" s="211" t="str">
        <f t="shared" si="82"/>
        <v/>
      </c>
      <c r="J576" s="207"/>
      <c r="K576" s="211" t="str">
        <f t="shared" si="83"/>
        <v/>
      </c>
      <c r="L576" s="207"/>
      <c r="M576" s="211" t="str">
        <f t="shared" si="84"/>
        <v/>
      </c>
      <c r="N576" s="207"/>
      <c r="O576" s="211" t="str">
        <f t="shared" si="85"/>
        <v/>
      </c>
      <c r="P576" s="207"/>
      <c r="Q576" s="211" t="str">
        <f t="shared" si="86"/>
        <v/>
      </c>
      <c r="R576" s="207"/>
      <c r="S576" s="211" t="str">
        <f t="shared" si="87"/>
        <v/>
      </c>
      <c r="T576" s="272" t="str">
        <f t="shared" si="88"/>
        <v/>
      </c>
      <c r="U576" s="212" t="str">
        <f t="shared" si="89"/>
        <v/>
      </c>
    </row>
    <row r="577" spans="2:21" x14ac:dyDescent="0.25">
      <c r="B577" s="241" t="str">
        <f>IF(Contagem!B575=0,"",Contagem!B575)</f>
        <v/>
      </c>
      <c r="C577" s="242" t="str">
        <f>IF(Contagem!T575 &gt; 0,Contagem!T575,"")</f>
        <v/>
      </c>
      <c r="D577" s="207"/>
      <c r="E577" s="211" t="str">
        <f t="shared" si="80"/>
        <v/>
      </c>
      <c r="F577" s="207"/>
      <c r="G577" s="211" t="str">
        <f t="shared" si="81"/>
        <v/>
      </c>
      <c r="H577" s="207"/>
      <c r="I577" s="211" t="str">
        <f t="shared" si="82"/>
        <v/>
      </c>
      <c r="J577" s="207"/>
      <c r="K577" s="211" t="str">
        <f t="shared" si="83"/>
        <v/>
      </c>
      <c r="L577" s="207"/>
      <c r="M577" s="211" t="str">
        <f t="shared" si="84"/>
        <v/>
      </c>
      <c r="N577" s="207"/>
      <c r="O577" s="211" t="str">
        <f t="shared" si="85"/>
        <v/>
      </c>
      <c r="P577" s="207"/>
      <c r="Q577" s="211" t="str">
        <f t="shared" si="86"/>
        <v/>
      </c>
      <c r="R577" s="207"/>
      <c r="S577" s="211" t="str">
        <f t="shared" si="87"/>
        <v/>
      </c>
      <c r="T577" s="272" t="str">
        <f t="shared" si="88"/>
        <v/>
      </c>
      <c r="U577" s="212" t="str">
        <f t="shared" si="89"/>
        <v/>
      </c>
    </row>
    <row r="578" spans="2:21" x14ac:dyDescent="0.25">
      <c r="B578" s="241" t="str">
        <f>IF(Contagem!B576=0,"",Contagem!B576)</f>
        <v/>
      </c>
      <c r="C578" s="242" t="str">
        <f>IF(Contagem!T576 &gt; 0,Contagem!T576,"")</f>
        <v/>
      </c>
      <c r="D578" s="207"/>
      <c r="E578" s="211" t="str">
        <f t="shared" si="80"/>
        <v/>
      </c>
      <c r="F578" s="207"/>
      <c r="G578" s="211" t="str">
        <f t="shared" si="81"/>
        <v/>
      </c>
      <c r="H578" s="207"/>
      <c r="I578" s="211" t="str">
        <f t="shared" si="82"/>
        <v/>
      </c>
      <c r="J578" s="207"/>
      <c r="K578" s="211" t="str">
        <f t="shared" si="83"/>
        <v/>
      </c>
      <c r="L578" s="207"/>
      <c r="M578" s="211" t="str">
        <f t="shared" si="84"/>
        <v/>
      </c>
      <c r="N578" s="207"/>
      <c r="O578" s="211" t="str">
        <f t="shared" si="85"/>
        <v/>
      </c>
      <c r="P578" s="207"/>
      <c r="Q578" s="211" t="str">
        <f t="shared" si="86"/>
        <v/>
      </c>
      <c r="R578" s="207"/>
      <c r="S578" s="211" t="str">
        <f t="shared" si="87"/>
        <v/>
      </c>
      <c r="T578" s="272" t="str">
        <f t="shared" si="88"/>
        <v/>
      </c>
      <c r="U578" s="212" t="str">
        <f t="shared" si="89"/>
        <v/>
      </c>
    </row>
    <row r="579" spans="2:21" x14ac:dyDescent="0.25">
      <c r="B579" s="241" t="str">
        <f>IF(Contagem!B577=0,"",Contagem!B577)</f>
        <v/>
      </c>
      <c r="C579" s="242" t="str">
        <f>IF(Contagem!T577 &gt; 0,Contagem!T577,"")</f>
        <v/>
      </c>
      <c r="D579" s="207"/>
      <c r="E579" s="211" t="str">
        <f t="shared" si="80"/>
        <v/>
      </c>
      <c r="F579" s="207"/>
      <c r="G579" s="211" t="str">
        <f t="shared" si="81"/>
        <v/>
      </c>
      <c r="H579" s="207"/>
      <c r="I579" s="211" t="str">
        <f t="shared" si="82"/>
        <v/>
      </c>
      <c r="J579" s="207"/>
      <c r="K579" s="211" t="str">
        <f t="shared" si="83"/>
        <v/>
      </c>
      <c r="L579" s="207"/>
      <c r="M579" s="211" t="str">
        <f t="shared" si="84"/>
        <v/>
      </c>
      <c r="N579" s="207"/>
      <c r="O579" s="211" t="str">
        <f t="shared" si="85"/>
        <v/>
      </c>
      <c r="P579" s="207"/>
      <c r="Q579" s="211" t="str">
        <f t="shared" si="86"/>
        <v/>
      </c>
      <c r="R579" s="207"/>
      <c r="S579" s="211" t="str">
        <f t="shared" si="87"/>
        <v/>
      </c>
      <c r="T579" s="272" t="str">
        <f t="shared" si="88"/>
        <v/>
      </c>
      <c r="U579" s="212" t="str">
        <f t="shared" si="89"/>
        <v/>
      </c>
    </row>
    <row r="580" spans="2:21" x14ac:dyDescent="0.25">
      <c r="B580" s="241" t="str">
        <f>IF(Contagem!B578=0,"",Contagem!B578)</f>
        <v/>
      </c>
      <c r="C580" s="242" t="str">
        <f>IF(Contagem!T578 &gt; 0,Contagem!T578,"")</f>
        <v/>
      </c>
      <c r="D580" s="207"/>
      <c r="E580" s="211" t="str">
        <f t="shared" si="80"/>
        <v/>
      </c>
      <c r="F580" s="207"/>
      <c r="G580" s="211" t="str">
        <f t="shared" si="81"/>
        <v/>
      </c>
      <c r="H580" s="207"/>
      <c r="I580" s="211" t="str">
        <f t="shared" si="82"/>
        <v/>
      </c>
      <c r="J580" s="207"/>
      <c r="K580" s="211" t="str">
        <f t="shared" si="83"/>
        <v/>
      </c>
      <c r="L580" s="207"/>
      <c r="M580" s="211" t="str">
        <f t="shared" si="84"/>
        <v/>
      </c>
      <c r="N580" s="207"/>
      <c r="O580" s="211" t="str">
        <f t="shared" si="85"/>
        <v/>
      </c>
      <c r="P580" s="207"/>
      <c r="Q580" s="211" t="str">
        <f t="shared" si="86"/>
        <v/>
      </c>
      <c r="R580" s="207"/>
      <c r="S580" s="211" t="str">
        <f t="shared" si="87"/>
        <v/>
      </c>
      <c r="T580" s="272" t="str">
        <f t="shared" si="88"/>
        <v/>
      </c>
      <c r="U580" s="212" t="str">
        <f t="shared" si="89"/>
        <v/>
      </c>
    </row>
    <row r="581" spans="2:21" x14ac:dyDescent="0.25">
      <c r="B581" s="241" t="str">
        <f>IF(Contagem!B579=0,"",Contagem!B579)</f>
        <v/>
      </c>
      <c r="C581" s="242" t="str">
        <f>IF(Contagem!T579 &gt; 0,Contagem!T579,"")</f>
        <v/>
      </c>
      <c r="D581" s="207"/>
      <c r="E581" s="211" t="str">
        <f t="shared" si="80"/>
        <v/>
      </c>
      <c r="F581" s="207"/>
      <c r="G581" s="211" t="str">
        <f t="shared" si="81"/>
        <v/>
      </c>
      <c r="H581" s="207"/>
      <c r="I581" s="211" t="str">
        <f t="shared" si="82"/>
        <v/>
      </c>
      <c r="J581" s="207"/>
      <c r="K581" s="211" t="str">
        <f t="shared" si="83"/>
        <v/>
      </c>
      <c r="L581" s="207"/>
      <c r="M581" s="211" t="str">
        <f t="shared" si="84"/>
        <v/>
      </c>
      <c r="N581" s="207"/>
      <c r="O581" s="211" t="str">
        <f t="shared" si="85"/>
        <v/>
      </c>
      <c r="P581" s="207"/>
      <c r="Q581" s="211" t="str">
        <f t="shared" si="86"/>
        <v/>
      </c>
      <c r="R581" s="207"/>
      <c r="S581" s="211" t="str">
        <f t="shared" si="87"/>
        <v/>
      </c>
      <c r="T581" s="272" t="str">
        <f t="shared" si="88"/>
        <v/>
      </c>
      <c r="U581" s="212" t="str">
        <f t="shared" si="89"/>
        <v/>
      </c>
    </row>
    <row r="582" spans="2:21" x14ac:dyDescent="0.25">
      <c r="B582" s="241" t="str">
        <f>IF(Contagem!B580=0,"",Contagem!B580)</f>
        <v/>
      </c>
      <c r="C582" s="242" t="str">
        <f>IF(Contagem!T580 &gt; 0,Contagem!T580,"")</f>
        <v/>
      </c>
      <c r="D582" s="207"/>
      <c r="E582" s="211" t="str">
        <f t="shared" si="80"/>
        <v/>
      </c>
      <c r="F582" s="207"/>
      <c r="G582" s="211" t="str">
        <f t="shared" si="81"/>
        <v/>
      </c>
      <c r="H582" s="207"/>
      <c r="I582" s="211" t="str">
        <f t="shared" si="82"/>
        <v/>
      </c>
      <c r="J582" s="207"/>
      <c r="K582" s="211" t="str">
        <f t="shared" si="83"/>
        <v/>
      </c>
      <c r="L582" s="207"/>
      <c r="M582" s="211" t="str">
        <f t="shared" si="84"/>
        <v/>
      </c>
      <c r="N582" s="207"/>
      <c r="O582" s="211" t="str">
        <f t="shared" si="85"/>
        <v/>
      </c>
      <c r="P582" s="207"/>
      <c r="Q582" s="211" t="str">
        <f t="shared" si="86"/>
        <v/>
      </c>
      <c r="R582" s="207"/>
      <c r="S582" s="211" t="str">
        <f t="shared" si="87"/>
        <v/>
      </c>
      <c r="T582" s="272" t="str">
        <f t="shared" si="88"/>
        <v/>
      </c>
      <c r="U582" s="212" t="str">
        <f t="shared" si="89"/>
        <v/>
      </c>
    </row>
    <row r="583" spans="2:21" x14ac:dyDescent="0.25">
      <c r="B583" s="241" t="str">
        <f>IF(Contagem!B581=0,"",Contagem!B581)</f>
        <v/>
      </c>
      <c r="C583" s="242" t="str">
        <f>IF(Contagem!T581 &gt; 0,Contagem!T581,"")</f>
        <v/>
      </c>
      <c r="D583" s="207"/>
      <c r="E583" s="211" t="str">
        <f t="shared" ref="E583:E646" si="90">IFERROR(IF(AND($D$4&lt;&gt; 0,D583="Sim", $C583 &gt; 0),$C583*$D$4,""),0)</f>
        <v/>
      </c>
      <c r="F583" s="207"/>
      <c r="G583" s="211" t="str">
        <f t="shared" ref="G583:G646" si="91">IFERROR(IF(AND($F$4&lt;&gt; 0,F583="Sim", $C583 &gt; 0),$C583*$F$4,""),0)</f>
        <v/>
      </c>
      <c r="H583" s="207"/>
      <c r="I583" s="211" t="str">
        <f t="shared" ref="I583:I646" si="92">IFERROR(IF(AND($H$4&lt;&gt; 0,H583="Sim", $C583 &gt; 0),$C583*$H$4,""),0)</f>
        <v/>
      </c>
      <c r="J583" s="207"/>
      <c r="K583" s="211" t="str">
        <f t="shared" ref="K583:K646" si="93">IFERROR(IF(AND($J$4&lt;&gt; 0,J583="Sim", $C583 &gt; 0),$C583*$J$4,""),0)</f>
        <v/>
      </c>
      <c r="L583" s="207"/>
      <c r="M583" s="211" t="str">
        <f t="shared" ref="M583:M646" si="94">IFERROR(IF(AND($L$4&lt;&gt; 0,L583="Sim", $C583 &gt; 0),$C583*$L$4,""),0)</f>
        <v/>
      </c>
      <c r="N583" s="207"/>
      <c r="O583" s="211" t="str">
        <f t="shared" ref="O583:O646" si="95">IFERROR(IF(AND($N$4&lt;&gt; 0,N583="Sim", $C583 &gt; 0),$C583*$N$4,""),0)</f>
        <v/>
      </c>
      <c r="P583" s="207"/>
      <c r="Q583" s="211" t="str">
        <f t="shared" ref="Q583:Q646" si="96">IFERROR(IF(AND($P$4&lt;&gt; 0,P583="Sim", $C583 &gt; 0),$C583*$P$4,""),0)</f>
        <v/>
      </c>
      <c r="R583" s="207"/>
      <c r="S583" s="211" t="str">
        <f t="shared" ref="S583:S646" si="97">IFERROR(IF(AND($R$4&lt;&gt; 0,R583="Sim", $C583 &gt; 0),$C583*$R$4,""),0)</f>
        <v/>
      </c>
      <c r="T583" s="272" t="str">
        <f t="shared" ref="T583:T646" si="98">IFERROR(U583/C583,"")</f>
        <v/>
      </c>
      <c r="U583" s="212" t="str">
        <f t="shared" ref="U583:U646" si="99">IF(SUM(E583,G583,I583,K583,M583,O583,Q583,S583) &gt; 0,SUM(E583,G583,I583,K583,M583,O583,Q583,S583),"")</f>
        <v/>
      </c>
    </row>
    <row r="584" spans="2:21" x14ac:dyDescent="0.25">
      <c r="B584" s="241" t="str">
        <f>IF(Contagem!B582=0,"",Contagem!B582)</f>
        <v/>
      </c>
      <c r="C584" s="242" t="str">
        <f>IF(Contagem!T582 &gt; 0,Contagem!T582,"")</f>
        <v/>
      </c>
      <c r="D584" s="207"/>
      <c r="E584" s="211" t="str">
        <f t="shared" si="90"/>
        <v/>
      </c>
      <c r="F584" s="207"/>
      <c r="G584" s="211" t="str">
        <f t="shared" si="91"/>
        <v/>
      </c>
      <c r="H584" s="207"/>
      <c r="I584" s="211" t="str">
        <f t="shared" si="92"/>
        <v/>
      </c>
      <c r="J584" s="207"/>
      <c r="K584" s="211" t="str">
        <f t="shared" si="93"/>
        <v/>
      </c>
      <c r="L584" s="207"/>
      <c r="M584" s="211" t="str">
        <f t="shared" si="94"/>
        <v/>
      </c>
      <c r="N584" s="207"/>
      <c r="O584" s="211" t="str">
        <f t="shared" si="95"/>
        <v/>
      </c>
      <c r="P584" s="207"/>
      <c r="Q584" s="211" t="str">
        <f t="shared" si="96"/>
        <v/>
      </c>
      <c r="R584" s="207"/>
      <c r="S584" s="211" t="str">
        <f t="shared" si="97"/>
        <v/>
      </c>
      <c r="T584" s="272" t="str">
        <f t="shared" si="98"/>
        <v/>
      </c>
      <c r="U584" s="212" t="str">
        <f t="shared" si="99"/>
        <v/>
      </c>
    </row>
    <row r="585" spans="2:21" x14ac:dyDescent="0.25">
      <c r="B585" s="241" t="str">
        <f>IF(Contagem!B583=0,"",Contagem!B583)</f>
        <v/>
      </c>
      <c r="C585" s="242" t="str">
        <f>IF(Contagem!T583 &gt; 0,Contagem!T583,"")</f>
        <v/>
      </c>
      <c r="D585" s="207"/>
      <c r="E585" s="211" t="str">
        <f t="shared" si="90"/>
        <v/>
      </c>
      <c r="F585" s="207"/>
      <c r="G585" s="211" t="str">
        <f t="shared" si="91"/>
        <v/>
      </c>
      <c r="H585" s="207"/>
      <c r="I585" s="211" t="str">
        <f t="shared" si="92"/>
        <v/>
      </c>
      <c r="J585" s="207"/>
      <c r="K585" s="211" t="str">
        <f t="shared" si="93"/>
        <v/>
      </c>
      <c r="L585" s="207"/>
      <c r="M585" s="211" t="str">
        <f t="shared" si="94"/>
        <v/>
      </c>
      <c r="N585" s="207"/>
      <c r="O585" s="211" t="str">
        <f t="shared" si="95"/>
        <v/>
      </c>
      <c r="P585" s="207"/>
      <c r="Q585" s="211" t="str">
        <f t="shared" si="96"/>
        <v/>
      </c>
      <c r="R585" s="207"/>
      <c r="S585" s="211" t="str">
        <f t="shared" si="97"/>
        <v/>
      </c>
      <c r="T585" s="272" t="str">
        <f t="shared" si="98"/>
        <v/>
      </c>
      <c r="U585" s="212" t="str">
        <f t="shared" si="99"/>
        <v/>
      </c>
    </row>
    <row r="586" spans="2:21" x14ac:dyDescent="0.25">
      <c r="B586" s="241" t="str">
        <f>IF(Contagem!B584=0,"",Contagem!B584)</f>
        <v/>
      </c>
      <c r="C586" s="242" t="str">
        <f>IF(Contagem!T584 &gt; 0,Contagem!T584,"")</f>
        <v/>
      </c>
      <c r="D586" s="207"/>
      <c r="E586" s="211" t="str">
        <f t="shared" si="90"/>
        <v/>
      </c>
      <c r="F586" s="207"/>
      <c r="G586" s="211" t="str">
        <f t="shared" si="91"/>
        <v/>
      </c>
      <c r="H586" s="207"/>
      <c r="I586" s="211" t="str">
        <f t="shared" si="92"/>
        <v/>
      </c>
      <c r="J586" s="207"/>
      <c r="K586" s="211" t="str">
        <f t="shared" si="93"/>
        <v/>
      </c>
      <c r="L586" s="207"/>
      <c r="M586" s="211" t="str">
        <f t="shared" si="94"/>
        <v/>
      </c>
      <c r="N586" s="207"/>
      <c r="O586" s="211" t="str">
        <f t="shared" si="95"/>
        <v/>
      </c>
      <c r="P586" s="207"/>
      <c r="Q586" s="211" t="str">
        <f t="shared" si="96"/>
        <v/>
      </c>
      <c r="R586" s="207"/>
      <c r="S586" s="211" t="str">
        <f t="shared" si="97"/>
        <v/>
      </c>
      <c r="T586" s="272" t="str">
        <f t="shared" si="98"/>
        <v/>
      </c>
      <c r="U586" s="212" t="str">
        <f t="shared" si="99"/>
        <v/>
      </c>
    </row>
    <row r="587" spans="2:21" x14ac:dyDescent="0.25">
      <c r="B587" s="241" t="str">
        <f>IF(Contagem!B585=0,"",Contagem!B585)</f>
        <v/>
      </c>
      <c r="C587" s="242" t="str">
        <f>IF(Contagem!T585 &gt; 0,Contagem!T585,"")</f>
        <v/>
      </c>
      <c r="D587" s="207"/>
      <c r="E587" s="211" t="str">
        <f t="shared" si="90"/>
        <v/>
      </c>
      <c r="F587" s="207"/>
      <c r="G587" s="211" t="str">
        <f t="shared" si="91"/>
        <v/>
      </c>
      <c r="H587" s="207"/>
      <c r="I587" s="211" t="str">
        <f t="shared" si="92"/>
        <v/>
      </c>
      <c r="J587" s="207"/>
      <c r="K587" s="211" t="str">
        <f t="shared" si="93"/>
        <v/>
      </c>
      <c r="L587" s="207"/>
      <c r="M587" s="211" t="str">
        <f t="shared" si="94"/>
        <v/>
      </c>
      <c r="N587" s="207"/>
      <c r="O587" s="211" t="str">
        <f t="shared" si="95"/>
        <v/>
      </c>
      <c r="P587" s="207"/>
      <c r="Q587" s="211" t="str">
        <f t="shared" si="96"/>
        <v/>
      </c>
      <c r="R587" s="207"/>
      <c r="S587" s="211" t="str">
        <f t="shared" si="97"/>
        <v/>
      </c>
      <c r="T587" s="272" t="str">
        <f t="shared" si="98"/>
        <v/>
      </c>
      <c r="U587" s="212" t="str">
        <f t="shared" si="99"/>
        <v/>
      </c>
    </row>
    <row r="588" spans="2:21" x14ac:dyDescent="0.25">
      <c r="B588" s="241" t="str">
        <f>IF(Contagem!B586=0,"",Contagem!B586)</f>
        <v/>
      </c>
      <c r="C588" s="242" t="str">
        <f>IF(Contagem!T586 &gt; 0,Contagem!T586,"")</f>
        <v/>
      </c>
      <c r="D588" s="207"/>
      <c r="E588" s="211" t="str">
        <f t="shared" si="90"/>
        <v/>
      </c>
      <c r="F588" s="207"/>
      <c r="G588" s="211" t="str">
        <f t="shared" si="91"/>
        <v/>
      </c>
      <c r="H588" s="207"/>
      <c r="I588" s="211" t="str">
        <f t="shared" si="92"/>
        <v/>
      </c>
      <c r="J588" s="207"/>
      <c r="K588" s="211" t="str">
        <f t="shared" si="93"/>
        <v/>
      </c>
      <c r="L588" s="207"/>
      <c r="M588" s="211" t="str">
        <f t="shared" si="94"/>
        <v/>
      </c>
      <c r="N588" s="207"/>
      <c r="O588" s="211" t="str">
        <f t="shared" si="95"/>
        <v/>
      </c>
      <c r="P588" s="207"/>
      <c r="Q588" s="211" t="str">
        <f t="shared" si="96"/>
        <v/>
      </c>
      <c r="R588" s="207"/>
      <c r="S588" s="211" t="str">
        <f t="shared" si="97"/>
        <v/>
      </c>
      <c r="T588" s="272" t="str">
        <f t="shared" si="98"/>
        <v/>
      </c>
      <c r="U588" s="212" t="str">
        <f t="shared" si="99"/>
        <v/>
      </c>
    </row>
    <row r="589" spans="2:21" x14ac:dyDescent="0.25">
      <c r="B589" s="241" t="str">
        <f>IF(Contagem!B587=0,"",Contagem!B587)</f>
        <v/>
      </c>
      <c r="C589" s="242" t="str">
        <f>IF(Contagem!T587 &gt; 0,Contagem!T587,"")</f>
        <v/>
      </c>
      <c r="D589" s="207"/>
      <c r="E589" s="211" t="str">
        <f t="shared" si="90"/>
        <v/>
      </c>
      <c r="F589" s="207"/>
      <c r="G589" s="211" t="str">
        <f t="shared" si="91"/>
        <v/>
      </c>
      <c r="H589" s="207"/>
      <c r="I589" s="211" t="str">
        <f t="shared" si="92"/>
        <v/>
      </c>
      <c r="J589" s="207"/>
      <c r="K589" s="211" t="str">
        <f t="shared" si="93"/>
        <v/>
      </c>
      <c r="L589" s="207"/>
      <c r="M589" s="211" t="str">
        <f t="shared" si="94"/>
        <v/>
      </c>
      <c r="N589" s="207"/>
      <c r="O589" s="211" t="str">
        <f t="shared" si="95"/>
        <v/>
      </c>
      <c r="P589" s="207"/>
      <c r="Q589" s="211" t="str">
        <f t="shared" si="96"/>
        <v/>
      </c>
      <c r="R589" s="207"/>
      <c r="S589" s="211" t="str">
        <f t="shared" si="97"/>
        <v/>
      </c>
      <c r="T589" s="272" t="str">
        <f t="shared" si="98"/>
        <v/>
      </c>
      <c r="U589" s="212" t="str">
        <f t="shared" si="99"/>
        <v/>
      </c>
    </row>
    <row r="590" spans="2:21" x14ac:dyDescent="0.25">
      <c r="B590" s="241" t="str">
        <f>IF(Contagem!B588=0,"",Contagem!B588)</f>
        <v/>
      </c>
      <c r="C590" s="242" t="str">
        <f>IF(Contagem!T588 &gt; 0,Contagem!T588,"")</f>
        <v/>
      </c>
      <c r="D590" s="207"/>
      <c r="E590" s="211" t="str">
        <f t="shared" si="90"/>
        <v/>
      </c>
      <c r="F590" s="207"/>
      <c r="G590" s="211" t="str">
        <f t="shared" si="91"/>
        <v/>
      </c>
      <c r="H590" s="207"/>
      <c r="I590" s="211" t="str">
        <f t="shared" si="92"/>
        <v/>
      </c>
      <c r="J590" s="207"/>
      <c r="K590" s="211" t="str">
        <f t="shared" si="93"/>
        <v/>
      </c>
      <c r="L590" s="207"/>
      <c r="M590" s="211" t="str">
        <f t="shared" si="94"/>
        <v/>
      </c>
      <c r="N590" s="207"/>
      <c r="O590" s="211" t="str">
        <f t="shared" si="95"/>
        <v/>
      </c>
      <c r="P590" s="207"/>
      <c r="Q590" s="211" t="str">
        <f t="shared" si="96"/>
        <v/>
      </c>
      <c r="R590" s="207"/>
      <c r="S590" s="211" t="str">
        <f t="shared" si="97"/>
        <v/>
      </c>
      <c r="T590" s="272" t="str">
        <f t="shared" si="98"/>
        <v/>
      </c>
      <c r="U590" s="212" t="str">
        <f t="shared" si="99"/>
        <v/>
      </c>
    </row>
    <row r="591" spans="2:21" x14ac:dyDescent="0.25">
      <c r="B591" s="241" t="str">
        <f>IF(Contagem!B589=0,"",Contagem!B589)</f>
        <v/>
      </c>
      <c r="C591" s="242" t="str">
        <f>IF(Contagem!T589 &gt; 0,Contagem!T589,"")</f>
        <v/>
      </c>
      <c r="D591" s="207"/>
      <c r="E591" s="211" t="str">
        <f t="shared" si="90"/>
        <v/>
      </c>
      <c r="F591" s="207"/>
      <c r="G591" s="211" t="str">
        <f t="shared" si="91"/>
        <v/>
      </c>
      <c r="H591" s="207"/>
      <c r="I591" s="211" t="str">
        <f t="shared" si="92"/>
        <v/>
      </c>
      <c r="J591" s="207"/>
      <c r="K591" s="211" t="str">
        <f t="shared" si="93"/>
        <v/>
      </c>
      <c r="L591" s="207"/>
      <c r="M591" s="211" t="str">
        <f t="shared" si="94"/>
        <v/>
      </c>
      <c r="N591" s="207"/>
      <c r="O591" s="211" t="str">
        <f t="shared" si="95"/>
        <v/>
      </c>
      <c r="P591" s="207"/>
      <c r="Q591" s="211" t="str">
        <f t="shared" si="96"/>
        <v/>
      </c>
      <c r="R591" s="207"/>
      <c r="S591" s="211" t="str">
        <f t="shared" si="97"/>
        <v/>
      </c>
      <c r="T591" s="272" t="str">
        <f t="shared" si="98"/>
        <v/>
      </c>
      <c r="U591" s="212" t="str">
        <f t="shared" si="99"/>
        <v/>
      </c>
    </row>
    <row r="592" spans="2:21" x14ac:dyDescent="0.25">
      <c r="B592" s="241" t="str">
        <f>IF(Contagem!B590=0,"",Contagem!B590)</f>
        <v/>
      </c>
      <c r="C592" s="242" t="str">
        <f>IF(Contagem!T590 &gt; 0,Contagem!T590,"")</f>
        <v/>
      </c>
      <c r="D592" s="207"/>
      <c r="E592" s="211" t="str">
        <f t="shared" si="90"/>
        <v/>
      </c>
      <c r="F592" s="207"/>
      <c r="G592" s="211" t="str">
        <f t="shared" si="91"/>
        <v/>
      </c>
      <c r="H592" s="207"/>
      <c r="I592" s="211" t="str">
        <f t="shared" si="92"/>
        <v/>
      </c>
      <c r="J592" s="207"/>
      <c r="K592" s="211" t="str">
        <f t="shared" si="93"/>
        <v/>
      </c>
      <c r="L592" s="207"/>
      <c r="M592" s="211" t="str">
        <f t="shared" si="94"/>
        <v/>
      </c>
      <c r="N592" s="207"/>
      <c r="O592" s="211" t="str">
        <f t="shared" si="95"/>
        <v/>
      </c>
      <c r="P592" s="207"/>
      <c r="Q592" s="211" t="str">
        <f t="shared" si="96"/>
        <v/>
      </c>
      <c r="R592" s="207"/>
      <c r="S592" s="211" t="str">
        <f t="shared" si="97"/>
        <v/>
      </c>
      <c r="T592" s="272" t="str">
        <f t="shared" si="98"/>
        <v/>
      </c>
      <c r="U592" s="212" t="str">
        <f t="shared" si="99"/>
        <v/>
      </c>
    </row>
    <row r="593" spans="2:21" x14ac:dyDescent="0.25">
      <c r="B593" s="241" t="str">
        <f>IF(Contagem!B591=0,"",Contagem!B591)</f>
        <v/>
      </c>
      <c r="C593" s="242" t="str">
        <f>IF(Contagem!T591 &gt; 0,Contagem!T591,"")</f>
        <v/>
      </c>
      <c r="D593" s="207"/>
      <c r="E593" s="211" t="str">
        <f t="shared" si="90"/>
        <v/>
      </c>
      <c r="F593" s="207"/>
      <c r="G593" s="211" t="str">
        <f t="shared" si="91"/>
        <v/>
      </c>
      <c r="H593" s="207"/>
      <c r="I593" s="211" t="str">
        <f t="shared" si="92"/>
        <v/>
      </c>
      <c r="J593" s="207"/>
      <c r="K593" s="211" t="str">
        <f t="shared" si="93"/>
        <v/>
      </c>
      <c r="L593" s="207"/>
      <c r="M593" s="211" t="str">
        <f t="shared" si="94"/>
        <v/>
      </c>
      <c r="N593" s="207"/>
      <c r="O593" s="211" t="str">
        <f t="shared" si="95"/>
        <v/>
      </c>
      <c r="P593" s="207"/>
      <c r="Q593" s="211" t="str">
        <f t="shared" si="96"/>
        <v/>
      </c>
      <c r="R593" s="207"/>
      <c r="S593" s="211" t="str">
        <f t="shared" si="97"/>
        <v/>
      </c>
      <c r="T593" s="272" t="str">
        <f t="shared" si="98"/>
        <v/>
      </c>
      <c r="U593" s="212" t="str">
        <f t="shared" si="99"/>
        <v/>
      </c>
    </row>
    <row r="594" spans="2:21" x14ac:dyDescent="0.25">
      <c r="B594" s="241" t="str">
        <f>IF(Contagem!B592=0,"",Contagem!B592)</f>
        <v/>
      </c>
      <c r="C594" s="242" t="str">
        <f>IF(Contagem!T592 &gt; 0,Contagem!T592,"")</f>
        <v/>
      </c>
      <c r="D594" s="207"/>
      <c r="E594" s="211" t="str">
        <f t="shared" si="90"/>
        <v/>
      </c>
      <c r="F594" s="207"/>
      <c r="G594" s="211" t="str">
        <f t="shared" si="91"/>
        <v/>
      </c>
      <c r="H594" s="207"/>
      <c r="I594" s="211" t="str">
        <f t="shared" si="92"/>
        <v/>
      </c>
      <c r="J594" s="207"/>
      <c r="K594" s="211" t="str">
        <f t="shared" si="93"/>
        <v/>
      </c>
      <c r="L594" s="207"/>
      <c r="M594" s="211" t="str">
        <f t="shared" si="94"/>
        <v/>
      </c>
      <c r="N594" s="207"/>
      <c r="O594" s="211" t="str">
        <f t="shared" si="95"/>
        <v/>
      </c>
      <c r="P594" s="207"/>
      <c r="Q594" s="211" t="str">
        <f t="shared" si="96"/>
        <v/>
      </c>
      <c r="R594" s="207"/>
      <c r="S594" s="211" t="str">
        <f t="shared" si="97"/>
        <v/>
      </c>
      <c r="T594" s="272" t="str">
        <f t="shared" si="98"/>
        <v/>
      </c>
      <c r="U594" s="212" t="str">
        <f t="shared" si="99"/>
        <v/>
      </c>
    </row>
    <row r="595" spans="2:21" x14ac:dyDescent="0.25">
      <c r="B595" s="241" t="str">
        <f>IF(Contagem!B593=0,"",Contagem!B593)</f>
        <v/>
      </c>
      <c r="C595" s="242" t="str">
        <f>IF(Contagem!T593 &gt; 0,Contagem!T593,"")</f>
        <v/>
      </c>
      <c r="D595" s="207"/>
      <c r="E595" s="211" t="str">
        <f t="shared" si="90"/>
        <v/>
      </c>
      <c r="F595" s="207"/>
      <c r="G595" s="211" t="str">
        <f t="shared" si="91"/>
        <v/>
      </c>
      <c r="H595" s="207"/>
      <c r="I595" s="211" t="str">
        <f t="shared" si="92"/>
        <v/>
      </c>
      <c r="J595" s="207"/>
      <c r="K595" s="211" t="str">
        <f t="shared" si="93"/>
        <v/>
      </c>
      <c r="L595" s="207"/>
      <c r="M595" s="211" t="str">
        <f t="shared" si="94"/>
        <v/>
      </c>
      <c r="N595" s="207"/>
      <c r="O595" s="211" t="str">
        <f t="shared" si="95"/>
        <v/>
      </c>
      <c r="P595" s="207"/>
      <c r="Q595" s="211" t="str">
        <f t="shared" si="96"/>
        <v/>
      </c>
      <c r="R595" s="207"/>
      <c r="S595" s="211" t="str">
        <f t="shared" si="97"/>
        <v/>
      </c>
      <c r="T595" s="272" t="str">
        <f t="shared" si="98"/>
        <v/>
      </c>
      <c r="U595" s="212" t="str">
        <f t="shared" si="99"/>
        <v/>
      </c>
    </row>
    <row r="596" spans="2:21" x14ac:dyDescent="0.25">
      <c r="B596" s="241" t="str">
        <f>IF(Contagem!B594=0,"",Contagem!B594)</f>
        <v/>
      </c>
      <c r="C596" s="242" t="str">
        <f>IF(Contagem!T594 &gt; 0,Contagem!T594,"")</f>
        <v/>
      </c>
      <c r="D596" s="207"/>
      <c r="E596" s="211" t="str">
        <f t="shared" si="90"/>
        <v/>
      </c>
      <c r="F596" s="207"/>
      <c r="G596" s="211" t="str">
        <f t="shared" si="91"/>
        <v/>
      </c>
      <c r="H596" s="207"/>
      <c r="I596" s="211" t="str">
        <f t="shared" si="92"/>
        <v/>
      </c>
      <c r="J596" s="207"/>
      <c r="K596" s="211" t="str">
        <f t="shared" si="93"/>
        <v/>
      </c>
      <c r="L596" s="207"/>
      <c r="M596" s="211" t="str">
        <f t="shared" si="94"/>
        <v/>
      </c>
      <c r="N596" s="207"/>
      <c r="O596" s="211" t="str">
        <f t="shared" si="95"/>
        <v/>
      </c>
      <c r="P596" s="207"/>
      <c r="Q596" s="211" t="str">
        <f t="shared" si="96"/>
        <v/>
      </c>
      <c r="R596" s="207"/>
      <c r="S596" s="211" t="str">
        <f t="shared" si="97"/>
        <v/>
      </c>
      <c r="T596" s="272" t="str">
        <f t="shared" si="98"/>
        <v/>
      </c>
      <c r="U596" s="212" t="str">
        <f t="shared" si="99"/>
        <v/>
      </c>
    </row>
    <row r="597" spans="2:21" x14ac:dyDescent="0.25">
      <c r="B597" s="241" t="str">
        <f>IF(Contagem!B595=0,"",Contagem!B595)</f>
        <v/>
      </c>
      <c r="C597" s="242" t="str">
        <f>IF(Contagem!T595 &gt; 0,Contagem!T595,"")</f>
        <v/>
      </c>
      <c r="D597" s="207"/>
      <c r="E597" s="211" t="str">
        <f t="shared" si="90"/>
        <v/>
      </c>
      <c r="F597" s="207"/>
      <c r="G597" s="211" t="str">
        <f t="shared" si="91"/>
        <v/>
      </c>
      <c r="H597" s="207"/>
      <c r="I597" s="211" t="str">
        <f t="shared" si="92"/>
        <v/>
      </c>
      <c r="J597" s="207"/>
      <c r="K597" s="211" t="str">
        <f t="shared" si="93"/>
        <v/>
      </c>
      <c r="L597" s="207"/>
      <c r="M597" s="211" t="str">
        <f t="shared" si="94"/>
        <v/>
      </c>
      <c r="N597" s="207"/>
      <c r="O597" s="211" t="str">
        <f t="shared" si="95"/>
        <v/>
      </c>
      <c r="P597" s="207"/>
      <c r="Q597" s="211" t="str">
        <f t="shared" si="96"/>
        <v/>
      </c>
      <c r="R597" s="207"/>
      <c r="S597" s="211" t="str">
        <f t="shared" si="97"/>
        <v/>
      </c>
      <c r="T597" s="272" t="str">
        <f t="shared" si="98"/>
        <v/>
      </c>
      <c r="U597" s="212" t="str">
        <f t="shared" si="99"/>
        <v/>
      </c>
    </row>
    <row r="598" spans="2:21" x14ac:dyDescent="0.25">
      <c r="B598" s="241" t="str">
        <f>IF(Contagem!B596=0,"",Contagem!B596)</f>
        <v/>
      </c>
      <c r="C598" s="242" t="str">
        <f>IF(Contagem!T596 &gt; 0,Contagem!T596,"")</f>
        <v/>
      </c>
      <c r="D598" s="207"/>
      <c r="E598" s="211" t="str">
        <f t="shared" si="90"/>
        <v/>
      </c>
      <c r="F598" s="207"/>
      <c r="G598" s="211" t="str">
        <f t="shared" si="91"/>
        <v/>
      </c>
      <c r="H598" s="207"/>
      <c r="I598" s="211" t="str">
        <f t="shared" si="92"/>
        <v/>
      </c>
      <c r="J598" s="207"/>
      <c r="K598" s="211" t="str">
        <f t="shared" si="93"/>
        <v/>
      </c>
      <c r="L598" s="207"/>
      <c r="M598" s="211" t="str">
        <f t="shared" si="94"/>
        <v/>
      </c>
      <c r="N598" s="207"/>
      <c r="O598" s="211" t="str">
        <f t="shared" si="95"/>
        <v/>
      </c>
      <c r="P598" s="207"/>
      <c r="Q598" s="211" t="str">
        <f t="shared" si="96"/>
        <v/>
      </c>
      <c r="R598" s="207"/>
      <c r="S598" s="211" t="str">
        <f t="shared" si="97"/>
        <v/>
      </c>
      <c r="T598" s="272" t="str">
        <f t="shared" si="98"/>
        <v/>
      </c>
      <c r="U598" s="212" t="str">
        <f t="shared" si="99"/>
        <v/>
      </c>
    </row>
    <row r="599" spans="2:21" x14ac:dyDescent="0.25">
      <c r="B599" s="241" t="str">
        <f>IF(Contagem!B597=0,"",Contagem!B597)</f>
        <v/>
      </c>
      <c r="C599" s="242" t="str">
        <f>IF(Contagem!T597 &gt; 0,Contagem!T597,"")</f>
        <v/>
      </c>
      <c r="D599" s="207"/>
      <c r="E599" s="211" t="str">
        <f t="shared" si="90"/>
        <v/>
      </c>
      <c r="F599" s="207"/>
      <c r="G599" s="211" t="str">
        <f t="shared" si="91"/>
        <v/>
      </c>
      <c r="H599" s="207"/>
      <c r="I599" s="211" t="str">
        <f t="shared" si="92"/>
        <v/>
      </c>
      <c r="J599" s="207"/>
      <c r="K599" s="211" t="str">
        <f t="shared" si="93"/>
        <v/>
      </c>
      <c r="L599" s="207"/>
      <c r="M599" s="211" t="str">
        <f t="shared" si="94"/>
        <v/>
      </c>
      <c r="N599" s="207"/>
      <c r="O599" s="211" t="str">
        <f t="shared" si="95"/>
        <v/>
      </c>
      <c r="P599" s="207"/>
      <c r="Q599" s="211" t="str">
        <f t="shared" si="96"/>
        <v/>
      </c>
      <c r="R599" s="207"/>
      <c r="S599" s="211" t="str">
        <f t="shared" si="97"/>
        <v/>
      </c>
      <c r="T599" s="272" t="str">
        <f t="shared" si="98"/>
        <v/>
      </c>
      <c r="U599" s="212" t="str">
        <f t="shared" si="99"/>
        <v/>
      </c>
    </row>
    <row r="600" spans="2:21" x14ac:dyDescent="0.25">
      <c r="B600" s="241" t="str">
        <f>IF(Contagem!B598=0,"",Contagem!B598)</f>
        <v/>
      </c>
      <c r="C600" s="242" t="str">
        <f>IF(Contagem!T598 &gt; 0,Contagem!T598,"")</f>
        <v/>
      </c>
      <c r="D600" s="207"/>
      <c r="E600" s="211" t="str">
        <f t="shared" si="90"/>
        <v/>
      </c>
      <c r="F600" s="207"/>
      <c r="G600" s="211" t="str">
        <f t="shared" si="91"/>
        <v/>
      </c>
      <c r="H600" s="207"/>
      <c r="I600" s="211" t="str">
        <f t="shared" si="92"/>
        <v/>
      </c>
      <c r="J600" s="207"/>
      <c r="K600" s="211" t="str">
        <f t="shared" si="93"/>
        <v/>
      </c>
      <c r="L600" s="207"/>
      <c r="M600" s="211" t="str">
        <f t="shared" si="94"/>
        <v/>
      </c>
      <c r="N600" s="207"/>
      <c r="O600" s="211" t="str">
        <f t="shared" si="95"/>
        <v/>
      </c>
      <c r="P600" s="207"/>
      <c r="Q600" s="211" t="str">
        <f t="shared" si="96"/>
        <v/>
      </c>
      <c r="R600" s="207"/>
      <c r="S600" s="211" t="str">
        <f t="shared" si="97"/>
        <v/>
      </c>
      <c r="T600" s="272" t="str">
        <f t="shared" si="98"/>
        <v/>
      </c>
      <c r="U600" s="212" t="str">
        <f t="shared" si="99"/>
        <v/>
      </c>
    </row>
    <row r="601" spans="2:21" x14ac:dyDescent="0.25">
      <c r="B601" s="241" t="str">
        <f>IF(Contagem!B599=0,"",Contagem!B599)</f>
        <v/>
      </c>
      <c r="C601" s="242" t="str">
        <f>IF(Contagem!T599 &gt; 0,Contagem!T599,"")</f>
        <v/>
      </c>
      <c r="D601" s="207"/>
      <c r="E601" s="211" t="str">
        <f t="shared" si="90"/>
        <v/>
      </c>
      <c r="F601" s="207"/>
      <c r="G601" s="211" t="str">
        <f t="shared" si="91"/>
        <v/>
      </c>
      <c r="H601" s="207"/>
      <c r="I601" s="211" t="str">
        <f t="shared" si="92"/>
        <v/>
      </c>
      <c r="J601" s="207"/>
      <c r="K601" s="211" t="str">
        <f t="shared" si="93"/>
        <v/>
      </c>
      <c r="L601" s="207"/>
      <c r="M601" s="211" t="str">
        <f t="shared" si="94"/>
        <v/>
      </c>
      <c r="N601" s="207"/>
      <c r="O601" s="211" t="str">
        <f t="shared" si="95"/>
        <v/>
      </c>
      <c r="P601" s="207"/>
      <c r="Q601" s="211" t="str">
        <f t="shared" si="96"/>
        <v/>
      </c>
      <c r="R601" s="207"/>
      <c r="S601" s="211" t="str">
        <f t="shared" si="97"/>
        <v/>
      </c>
      <c r="T601" s="272" t="str">
        <f t="shared" si="98"/>
        <v/>
      </c>
      <c r="U601" s="212" t="str">
        <f t="shared" si="99"/>
        <v/>
      </c>
    </row>
    <row r="602" spans="2:21" x14ac:dyDescent="0.25">
      <c r="B602" s="241" t="str">
        <f>IF(Contagem!B600=0,"",Contagem!B600)</f>
        <v/>
      </c>
      <c r="C602" s="242" t="str">
        <f>IF(Contagem!T600 &gt; 0,Contagem!T600,"")</f>
        <v/>
      </c>
      <c r="D602" s="207"/>
      <c r="E602" s="211" t="str">
        <f t="shared" si="90"/>
        <v/>
      </c>
      <c r="F602" s="207"/>
      <c r="G602" s="211" t="str">
        <f t="shared" si="91"/>
        <v/>
      </c>
      <c r="H602" s="207"/>
      <c r="I602" s="211" t="str">
        <f t="shared" si="92"/>
        <v/>
      </c>
      <c r="J602" s="207"/>
      <c r="K602" s="211" t="str">
        <f t="shared" si="93"/>
        <v/>
      </c>
      <c r="L602" s="207"/>
      <c r="M602" s="211" t="str">
        <f t="shared" si="94"/>
        <v/>
      </c>
      <c r="N602" s="207"/>
      <c r="O602" s="211" t="str">
        <f t="shared" si="95"/>
        <v/>
      </c>
      <c r="P602" s="207"/>
      <c r="Q602" s="211" t="str">
        <f t="shared" si="96"/>
        <v/>
      </c>
      <c r="R602" s="207"/>
      <c r="S602" s="211" t="str">
        <f t="shared" si="97"/>
        <v/>
      </c>
      <c r="T602" s="272" t="str">
        <f t="shared" si="98"/>
        <v/>
      </c>
      <c r="U602" s="212" t="str">
        <f t="shared" si="99"/>
        <v/>
      </c>
    </row>
    <row r="603" spans="2:21" x14ac:dyDescent="0.25">
      <c r="B603" s="241" t="str">
        <f>IF(Contagem!B601=0,"",Contagem!B601)</f>
        <v/>
      </c>
      <c r="C603" s="242" t="str">
        <f>IF(Contagem!T601 &gt; 0,Contagem!T601,"")</f>
        <v/>
      </c>
      <c r="D603" s="207"/>
      <c r="E603" s="211" t="str">
        <f t="shared" si="90"/>
        <v/>
      </c>
      <c r="F603" s="207"/>
      <c r="G603" s="211" t="str">
        <f t="shared" si="91"/>
        <v/>
      </c>
      <c r="H603" s="207"/>
      <c r="I603" s="211" t="str">
        <f t="shared" si="92"/>
        <v/>
      </c>
      <c r="J603" s="207"/>
      <c r="K603" s="211" t="str">
        <f t="shared" si="93"/>
        <v/>
      </c>
      <c r="L603" s="207"/>
      <c r="M603" s="211" t="str">
        <f t="shared" si="94"/>
        <v/>
      </c>
      <c r="N603" s="207"/>
      <c r="O603" s="211" t="str">
        <f t="shared" si="95"/>
        <v/>
      </c>
      <c r="P603" s="207"/>
      <c r="Q603" s="211" t="str">
        <f t="shared" si="96"/>
        <v/>
      </c>
      <c r="R603" s="207"/>
      <c r="S603" s="211" t="str">
        <f t="shared" si="97"/>
        <v/>
      </c>
      <c r="T603" s="272" t="str">
        <f t="shared" si="98"/>
        <v/>
      </c>
      <c r="U603" s="212" t="str">
        <f t="shared" si="99"/>
        <v/>
      </c>
    </row>
    <row r="604" spans="2:21" x14ac:dyDescent="0.25">
      <c r="B604" s="241" t="str">
        <f>IF(Contagem!B602=0,"",Contagem!B602)</f>
        <v/>
      </c>
      <c r="C604" s="242" t="str">
        <f>IF(Contagem!T602 &gt; 0,Contagem!T602,"")</f>
        <v/>
      </c>
      <c r="D604" s="207"/>
      <c r="E604" s="211" t="str">
        <f t="shared" si="90"/>
        <v/>
      </c>
      <c r="F604" s="207"/>
      <c r="G604" s="211" t="str">
        <f t="shared" si="91"/>
        <v/>
      </c>
      <c r="H604" s="207"/>
      <c r="I604" s="211" t="str">
        <f t="shared" si="92"/>
        <v/>
      </c>
      <c r="J604" s="207"/>
      <c r="K604" s="211" t="str">
        <f t="shared" si="93"/>
        <v/>
      </c>
      <c r="L604" s="207"/>
      <c r="M604" s="211" t="str">
        <f t="shared" si="94"/>
        <v/>
      </c>
      <c r="N604" s="207"/>
      <c r="O604" s="211" t="str">
        <f t="shared" si="95"/>
        <v/>
      </c>
      <c r="P604" s="207"/>
      <c r="Q604" s="211" t="str">
        <f t="shared" si="96"/>
        <v/>
      </c>
      <c r="R604" s="207"/>
      <c r="S604" s="211" t="str">
        <f t="shared" si="97"/>
        <v/>
      </c>
      <c r="T604" s="272" t="str">
        <f t="shared" si="98"/>
        <v/>
      </c>
      <c r="U604" s="212" t="str">
        <f t="shared" si="99"/>
        <v/>
      </c>
    </row>
    <row r="605" spans="2:21" x14ac:dyDescent="0.25">
      <c r="B605" s="241" t="str">
        <f>IF(Contagem!B603=0,"",Contagem!B603)</f>
        <v/>
      </c>
      <c r="C605" s="242" t="str">
        <f>IF(Contagem!T603 &gt; 0,Contagem!T603,"")</f>
        <v/>
      </c>
      <c r="D605" s="207"/>
      <c r="E605" s="211" t="str">
        <f t="shared" si="90"/>
        <v/>
      </c>
      <c r="F605" s="207"/>
      <c r="G605" s="211" t="str">
        <f t="shared" si="91"/>
        <v/>
      </c>
      <c r="H605" s="207"/>
      <c r="I605" s="211" t="str">
        <f t="shared" si="92"/>
        <v/>
      </c>
      <c r="J605" s="207"/>
      <c r="K605" s="211" t="str">
        <f t="shared" si="93"/>
        <v/>
      </c>
      <c r="L605" s="207"/>
      <c r="M605" s="211" t="str">
        <f t="shared" si="94"/>
        <v/>
      </c>
      <c r="N605" s="207"/>
      <c r="O605" s="211" t="str">
        <f t="shared" si="95"/>
        <v/>
      </c>
      <c r="P605" s="207"/>
      <c r="Q605" s="211" t="str">
        <f t="shared" si="96"/>
        <v/>
      </c>
      <c r="R605" s="207"/>
      <c r="S605" s="211" t="str">
        <f t="shared" si="97"/>
        <v/>
      </c>
      <c r="T605" s="272" t="str">
        <f t="shared" si="98"/>
        <v/>
      </c>
      <c r="U605" s="212" t="str">
        <f t="shared" si="99"/>
        <v/>
      </c>
    </row>
    <row r="606" spans="2:21" x14ac:dyDescent="0.25">
      <c r="B606" s="241" t="str">
        <f>IF(Contagem!B604=0,"",Contagem!B604)</f>
        <v/>
      </c>
      <c r="C606" s="242" t="str">
        <f>IF(Contagem!T604 &gt; 0,Contagem!T604,"")</f>
        <v/>
      </c>
      <c r="D606" s="207"/>
      <c r="E606" s="211" t="str">
        <f t="shared" si="90"/>
        <v/>
      </c>
      <c r="F606" s="207"/>
      <c r="G606" s="211" t="str">
        <f t="shared" si="91"/>
        <v/>
      </c>
      <c r="H606" s="207"/>
      <c r="I606" s="211" t="str">
        <f t="shared" si="92"/>
        <v/>
      </c>
      <c r="J606" s="207"/>
      <c r="K606" s="211" t="str">
        <f t="shared" si="93"/>
        <v/>
      </c>
      <c r="L606" s="207"/>
      <c r="M606" s="211" t="str">
        <f t="shared" si="94"/>
        <v/>
      </c>
      <c r="N606" s="207"/>
      <c r="O606" s="211" t="str">
        <f t="shared" si="95"/>
        <v/>
      </c>
      <c r="P606" s="207"/>
      <c r="Q606" s="211" t="str">
        <f t="shared" si="96"/>
        <v/>
      </c>
      <c r="R606" s="207"/>
      <c r="S606" s="211" t="str">
        <f t="shared" si="97"/>
        <v/>
      </c>
      <c r="T606" s="272" t="str">
        <f t="shared" si="98"/>
        <v/>
      </c>
      <c r="U606" s="212" t="str">
        <f t="shared" si="99"/>
        <v/>
      </c>
    </row>
    <row r="607" spans="2:21" x14ac:dyDescent="0.25">
      <c r="B607" s="241" t="str">
        <f>IF(Contagem!B605=0,"",Contagem!B605)</f>
        <v/>
      </c>
      <c r="C607" s="242" t="str">
        <f>IF(Contagem!T605 &gt; 0,Contagem!T605,"")</f>
        <v/>
      </c>
      <c r="D607" s="207"/>
      <c r="E607" s="211" t="str">
        <f t="shared" si="90"/>
        <v/>
      </c>
      <c r="F607" s="207"/>
      <c r="G607" s="211" t="str">
        <f t="shared" si="91"/>
        <v/>
      </c>
      <c r="H607" s="207"/>
      <c r="I607" s="211" t="str">
        <f t="shared" si="92"/>
        <v/>
      </c>
      <c r="J607" s="207"/>
      <c r="K607" s="211" t="str">
        <f t="shared" si="93"/>
        <v/>
      </c>
      <c r="L607" s="207"/>
      <c r="M607" s="211" t="str">
        <f t="shared" si="94"/>
        <v/>
      </c>
      <c r="N607" s="207"/>
      <c r="O607" s="211" t="str">
        <f t="shared" si="95"/>
        <v/>
      </c>
      <c r="P607" s="207"/>
      <c r="Q607" s="211" t="str">
        <f t="shared" si="96"/>
        <v/>
      </c>
      <c r="R607" s="207"/>
      <c r="S607" s="211" t="str">
        <f t="shared" si="97"/>
        <v/>
      </c>
      <c r="T607" s="272" t="str">
        <f t="shared" si="98"/>
        <v/>
      </c>
      <c r="U607" s="212" t="str">
        <f t="shared" si="99"/>
        <v/>
      </c>
    </row>
    <row r="608" spans="2:21" x14ac:dyDescent="0.25">
      <c r="B608" s="241" t="str">
        <f>IF(Contagem!B606=0,"",Contagem!B606)</f>
        <v/>
      </c>
      <c r="C608" s="242" t="str">
        <f>IF(Contagem!T606 &gt; 0,Contagem!T606,"")</f>
        <v/>
      </c>
      <c r="D608" s="207"/>
      <c r="E608" s="211" t="str">
        <f t="shared" si="90"/>
        <v/>
      </c>
      <c r="F608" s="207"/>
      <c r="G608" s="211" t="str">
        <f t="shared" si="91"/>
        <v/>
      </c>
      <c r="H608" s="207"/>
      <c r="I608" s="211" t="str">
        <f t="shared" si="92"/>
        <v/>
      </c>
      <c r="J608" s="207"/>
      <c r="K608" s="211" t="str">
        <f t="shared" si="93"/>
        <v/>
      </c>
      <c r="L608" s="207"/>
      <c r="M608" s="211" t="str">
        <f t="shared" si="94"/>
        <v/>
      </c>
      <c r="N608" s="207"/>
      <c r="O608" s="211" t="str">
        <f t="shared" si="95"/>
        <v/>
      </c>
      <c r="P608" s="207"/>
      <c r="Q608" s="211" t="str">
        <f t="shared" si="96"/>
        <v/>
      </c>
      <c r="R608" s="207"/>
      <c r="S608" s="211" t="str">
        <f t="shared" si="97"/>
        <v/>
      </c>
      <c r="T608" s="272" t="str">
        <f t="shared" si="98"/>
        <v/>
      </c>
      <c r="U608" s="212" t="str">
        <f t="shared" si="99"/>
        <v/>
      </c>
    </row>
    <row r="609" spans="2:21" x14ac:dyDescent="0.25">
      <c r="B609" s="241" t="str">
        <f>IF(Contagem!B607=0,"",Contagem!B607)</f>
        <v/>
      </c>
      <c r="C609" s="242" t="str">
        <f>IF(Contagem!T607 &gt; 0,Contagem!T607,"")</f>
        <v/>
      </c>
      <c r="D609" s="207"/>
      <c r="E609" s="211" t="str">
        <f t="shared" si="90"/>
        <v/>
      </c>
      <c r="F609" s="207"/>
      <c r="G609" s="211" t="str">
        <f t="shared" si="91"/>
        <v/>
      </c>
      <c r="H609" s="207"/>
      <c r="I609" s="211" t="str">
        <f t="shared" si="92"/>
        <v/>
      </c>
      <c r="J609" s="207"/>
      <c r="K609" s="211" t="str">
        <f t="shared" si="93"/>
        <v/>
      </c>
      <c r="L609" s="207"/>
      <c r="M609" s="211" t="str">
        <f t="shared" si="94"/>
        <v/>
      </c>
      <c r="N609" s="207"/>
      <c r="O609" s="211" t="str">
        <f t="shared" si="95"/>
        <v/>
      </c>
      <c r="P609" s="207"/>
      <c r="Q609" s="211" t="str">
        <f t="shared" si="96"/>
        <v/>
      </c>
      <c r="R609" s="207"/>
      <c r="S609" s="211" t="str">
        <f t="shared" si="97"/>
        <v/>
      </c>
      <c r="T609" s="272" t="str">
        <f t="shared" si="98"/>
        <v/>
      </c>
      <c r="U609" s="212" t="str">
        <f t="shared" si="99"/>
        <v/>
      </c>
    </row>
    <row r="610" spans="2:21" x14ac:dyDescent="0.25">
      <c r="B610" s="241" t="str">
        <f>IF(Contagem!B608=0,"",Contagem!B608)</f>
        <v/>
      </c>
      <c r="C610" s="242" t="str">
        <f>IF(Contagem!T608 &gt; 0,Contagem!T608,"")</f>
        <v/>
      </c>
      <c r="D610" s="207"/>
      <c r="E610" s="211" t="str">
        <f t="shared" si="90"/>
        <v/>
      </c>
      <c r="F610" s="207"/>
      <c r="G610" s="211" t="str">
        <f t="shared" si="91"/>
        <v/>
      </c>
      <c r="H610" s="207"/>
      <c r="I610" s="211" t="str">
        <f t="shared" si="92"/>
        <v/>
      </c>
      <c r="J610" s="207"/>
      <c r="K610" s="211" t="str">
        <f t="shared" si="93"/>
        <v/>
      </c>
      <c r="L610" s="207"/>
      <c r="M610" s="211" t="str">
        <f t="shared" si="94"/>
        <v/>
      </c>
      <c r="N610" s="207"/>
      <c r="O610" s="211" t="str">
        <f t="shared" si="95"/>
        <v/>
      </c>
      <c r="P610" s="207"/>
      <c r="Q610" s="211" t="str">
        <f t="shared" si="96"/>
        <v/>
      </c>
      <c r="R610" s="207"/>
      <c r="S610" s="211" t="str">
        <f t="shared" si="97"/>
        <v/>
      </c>
      <c r="T610" s="272" t="str">
        <f t="shared" si="98"/>
        <v/>
      </c>
      <c r="U610" s="212" t="str">
        <f t="shared" si="99"/>
        <v/>
      </c>
    </row>
    <row r="611" spans="2:21" x14ac:dyDescent="0.25">
      <c r="B611" s="241" t="str">
        <f>IF(Contagem!B609=0,"",Contagem!B609)</f>
        <v/>
      </c>
      <c r="C611" s="242" t="str">
        <f>IF(Contagem!T609 &gt; 0,Contagem!T609,"")</f>
        <v/>
      </c>
      <c r="D611" s="207"/>
      <c r="E611" s="211" t="str">
        <f t="shared" si="90"/>
        <v/>
      </c>
      <c r="F611" s="207"/>
      <c r="G611" s="211" t="str">
        <f t="shared" si="91"/>
        <v/>
      </c>
      <c r="H611" s="207"/>
      <c r="I611" s="211" t="str">
        <f t="shared" si="92"/>
        <v/>
      </c>
      <c r="J611" s="207"/>
      <c r="K611" s="211" t="str">
        <f t="shared" si="93"/>
        <v/>
      </c>
      <c r="L611" s="207"/>
      <c r="M611" s="211" t="str">
        <f t="shared" si="94"/>
        <v/>
      </c>
      <c r="N611" s="207"/>
      <c r="O611" s="211" t="str">
        <f t="shared" si="95"/>
        <v/>
      </c>
      <c r="P611" s="207"/>
      <c r="Q611" s="211" t="str">
        <f t="shared" si="96"/>
        <v/>
      </c>
      <c r="R611" s="207"/>
      <c r="S611" s="211" t="str">
        <f t="shared" si="97"/>
        <v/>
      </c>
      <c r="T611" s="272" t="str">
        <f t="shared" si="98"/>
        <v/>
      </c>
      <c r="U611" s="212" t="str">
        <f t="shared" si="99"/>
        <v/>
      </c>
    </row>
    <row r="612" spans="2:21" x14ac:dyDescent="0.25">
      <c r="B612" s="241" t="str">
        <f>IF(Contagem!B610=0,"",Contagem!B610)</f>
        <v/>
      </c>
      <c r="C612" s="242" t="str">
        <f>IF(Contagem!T610 &gt; 0,Contagem!T610,"")</f>
        <v/>
      </c>
      <c r="D612" s="207"/>
      <c r="E612" s="211" t="str">
        <f t="shared" si="90"/>
        <v/>
      </c>
      <c r="F612" s="207"/>
      <c r="G612" s="211" t="str">
        <f t="shared" si="91"/>
        <v/>
      </c>
      <c r="H612" s="207"/>
      <c r="I612" s="211" t="str">
        <f t="shared" si="92"/>
        <v/>
      </c>
      <c r="J612" s="207"/>
      <c r="K612" s="211" t="str">
        <f t="shared" si="93"/>
        <v/>
      </c>
      <c r="L612" s="207"/>
      <c r="M612" s="211" t="str">
        <f t="shared" si="94"/>
        <v/>
      </c>
      <c r="N612" s="207"/>
      <c r="O612" s="211" t="str">
        <f t="shared" si="95"/>
        <v/>
      </c>
      <c r="P612" s="207"/>
      <c r="Q612" s="211" t="str">
        <f t="shared" si="96"/>
        <v/>
      </c>
      <c r="R612" s="207"/>
      <c r="S612" s="211" t="str">
        <f t="shared" si="97"/>
        <v/>
      </c>
      <c r="T612" s="272" t="str">
        <f t="shared" si="98"/>
        <v/>
      </c>
      <c r="U612" s="212" t="str">
        <f t="shared" si="99"/>
        <v/>
      </c>
    </row>
    <row r="613" spans="2:21" x14ac:dyDescent="0.25">
      <c r="B613" s="241" t="str">
        <f>IF(Contagem!B611=0,"",Contagem!B611)</f>
        <v/>
      </c>
      <c r="C613" s="242" t="str">
        <f>IF(Contagem!T611 &gt; 0,Contagem!T611,"")</f>
        <v/>
      </c>
      <c r="D613" s="207"/>
      <c r="E613" s="211" t="str">
        <f t="shared" si="90"/>
        <v/>
      </c>
      <c r="F613" s="207"/>
      <c r="G613" s="211" t="str">
        <f t="shared" si="91"/>
        <v/>
      </c>
      <c r="H613" s="207"/>
      <c r="I613" s="211" t="str">
        <f t="shared" si="92"/>
        <v/>
      </c>
      <c r="J613" s="207"/>
      <c r="K613" s="211" t="str">
        <f t="shared" si="93"/>
        <v/>
      </c>
      <c r="L613" s="207"/>
      <c r="M613" s="211" t="str">
        <f t="shared" si="94"/>
        <v/>
      </c>
      <c r="N613" s="207"/>
      <c r="O613" s="211" t="str">
        <f t="shared" si="95"/>
        <v/>
      </c>
      <c r="P613" s="207"/>
      <c r="Q613" s="211" t="str">
        <f t="shared" si="96"/>
        <v/>
      </c>
      <c r="R613" s="207"/>
      <c r="S613" s="211" t="str">
        <f t="shared" si="97"/>
        <v/>
      </c>
      <c r="T613" s="272" t="str">
        <f t="shared" si="98"/>
        <v/>
      </c>
      <c r="U613" s="212" t="str">
        <f t="shared" si="99"/>
        <v/>
      </c>
    </row>
    <row r="614" spans="2:21" x14ac:dyDescent="0.25">
      <c r="B614" s="241" t="str">
        <f>IF(Contagem!B612=0,"",Contagem!B612)</f>
        <v/>
      </c>
      <c r="C614" s="242" t="str">
        <f>IF(Contagem!T612 &gt; 0,Contagem!T612,"")</f>
        <v/>
      </c>
      <c r="D614" s="207"/>
      <c r="E614" s="211" t="str">
        <f t="shared" si="90"/>
        <v/>
      </c>
      <c r="F614" s="207"/>
      <c r="G614" s="211" t="str">
        <f t="shared" si="91"/>
        <v/>
      </c>
      <c r="H614" s="207"/>
      <c r="I614" s="211" t="str">
        <f t="shared" si="92"/>
        <v/>
      </c>
      <c r="J614" s="207"/>
      <c r="K614" s="211" t="str">
        <f t="shared" si="93"/>
        <v/>
      </c>
      <c r="L614" s="207"/>
      <c r="M614" s="211" t="str">
        <f t="shared" si="94"/>
        <v/>
      </c>
      <c r="N614" s="207"/>
      <c r="O614" s="211" t="str">
        <f t="shared" si="95"/>
        <v/>
      </c>
      <c r="P614" s="207"/>
      <c r="Q614" s="211" t="str">
        <f t="shared" si="96"/>
        <v/>
      </c>
      <c r="R614" s="207"/>
      <c r="S614" s="211" t="str">
        <f t="shared" si="97"/>
        <v/>
      </c>
      <c r="T614" s="272" t="str">
        <f t="shared" si="98"/>
        <v/>
      </c>
      <c r="U614" s="212" t="str">
        <f t="shared" si="99"/>
        <v/>
      </c>
    </row>
    <row r="615" spans="2:21" x14ac:dyDescent="0.25">
      <c r="B615" s="241" t="str">
        <f>IF(Contagem!B613=0,"",Contagem!B613)</f>
        <v/>
      </c>
      <c r="C615" s="242" t="str">
        <f>IF(Contagem!T613 &gt; 0,Contagem!T613,"")</f>
        <v/>
      </c>
      <c r="D615" s="207"/>
      <c r="E615" s="211" t="str">
        <f t="shared" si="90"/>
        <v/>
      </c>
      <c r="F615" s="207"/>
      <c r="G615" s="211" t="str">
        <f t="shared" si="91"/>
        <v/>
      </c>
      <c r="H615" s="207"/>
      <c r="I615" s="211" t="str">
        <f t="shared" si="92"/>
        <v/>
      </c>
      <c r="J615" s="207"/>
      <c r="K615" s="211" t="str">
        <f t="shared" si="93"/>
        <v/>
      </c>
      <c r="L615" s="207"/>
      <c r="M615" s="211" t="str">
        <f t="shared" si="94"/>
        <v/>
      </c>
      <c r="N615" s="207"/>
      <c r="O615" s="211" t="str">
        <f t="shared" si="95"/>
        <v/>
      </c>
      <c r="P615" s="207"/>
      <c r="Q615" s="211" t="str">
        <f t="shared" si="96"/>
        <v/>
      </c>
      <c r="R615" s="207"/>
      <c r="S615" s="211" t="str">
        <f t="shared" si="97"/>
        <v/>
      </c>
      <c r="T615" s="272" t="str">
        <f t="shared" si="98"/>
        <v/>
      </c>
      <c r="U615" s="212" t="str">
        <f t="shared" si="99"/>
        <v/>
      </c>
    </row>
    <row r="616" spans="2:21" x14ac:dyDescent="0.25">
      <c r="B616" s="241" t="str">
        <f>IF(Contagem!B614=0,"",Contagem!B614)</f>
        <v/>
      </c>
      <c r="C616" s="242" t="str">
        <f>IF(Contagem!T614 &gt; 0,Contagem!T614,"")</f>
        <v/>
      </c>
      <c r="D616" s="207"/>
      <c r="E616" s="211" t="str">
        <f t="shared" si="90"/>
        <v/>
      </c>
      <c r="F616" s="207"/>
      <c r="G616" s="211" t="str">
        <f t="shared" si="91"/>
        <v/>
      </c>
      <c r="H616" s="207"/>
      <c r="I616" s="211" t="str">
        <f t="shared" si="92"/>
        <v/>
      </c>
      <c r="J616" s="207"/>
      <c r="K616" s="211" t="str">
        <f t="shared" si="93"/>
        <v/>
      </c>
      <c r="L616" s="207"/>
      <c r="M616" s="211" t="str">
        <f t="shared" si="94"/>
        <v/>
      </c>
      <c r="N616" s="207"/>
      <c r="O616" s="211" t="str">
        <f t="shared" si="95"/>
        <v/>
      </c>
      <c r="P616" s="207"/>
      <c r="Q616" s="211" t="str">
        <f t="shared" si="96"/>
        <v/>
      </c>
      <c r="R616" s="207"/>
      <c r="S616" s="211" t="str">
        <f t="shared" si="97"/>
        <v/>
      </c>
      <c r="T616" s="272" t="str">
        <f t="shared" si="98"/>
        <v/>
      </c>
      <c r="U616" s="212" t="str">
        <f t="shared" si="99"/>
        <v/>
      </c>
    </row>
    <row r="617" spans="2:21" x14ac:dyDescent="0.25">
      <c r="B617" s="241" t="str">
        <f>IF(Contagem!B615=0,"",Contagem!B615)</f>
        <v/>
      </c>
      <c r="C617" s="242" t="str">
        <f>IF(Contagem!T615 &gt; 0,Contagem!T615,"")</f>
        <v/>
      </c>
      <c r="D617" s="207"/>
      <c r="E617" s="211" t="str">
        <f t="shared" si="90"/>
        <v/>
      </c>
      <c r="F617" s="207"/>
      <c r="G617" s="211" t="str">
        <f t="shared" si="91"/>
        <v/>
      </c>
      <c r="H617" s="207"/>
      <c r="I617" s="211" t="str">
        <f t="shared" si="92"/>
        <v/>
      </c>
      <c r="J617" s="207"/>
      <c r="K617" s="211" t="str">
        <f t="shared" si="93"/>
        <v/>
      </c>
      <c r="L617" s="207"/>
      <c r="M617" s="211" t="str">
        <f t="shared" si="94"/>
        <v/>
      </c>
      <c r="N617" s="207"/>
      <c r="O617" s="211" t="str">
        <f t="shared" si="95"/>
        <v/>
      </c>
      <c r="P617" s="207"/>
      <c r="Q617" s="211" t="str">
        <f t="shared" si="96"/>
        <v/>
      </c>
      <c r="R617" s="207"/>
      <c r="S617" s="211" t="str">
        <f t="shared" si="97"/>
        <v/>
      </c>
      <c r="T617" s="272" t="str">
        <f t="shared" si="98"/>
        <v/>
      </c>
      <c r="U617" s="212" t="str">
        <f t="shared" si="99"/>
        <v/>
      </c>
    </row>
    <row r="618" spans="2:21" x14ac:dyDescent="0.25">
      <c r="B618" s="241" t="str">
        <f>IF(Contagem!B616=0,"",Contagem!B616)</f>
        <v/>
      </c>
      <c r="C618" s="242" t="str">
        <f>IF(Contagem!T616 &gt; 0,Contagem!T616,"")</f>
        <v/>
      </c>
      <c r="D618" s="207"/>
      <c r="E618" s="211" t="str">
        <f t="shared" si="90"/>
        <v/>
      </c>
      <c r="F618" s="207"/>
      <c r="G618" s="211" t="str">
        <f t="shared" si="91"/>
        <v/>
      </c>
      <c r="H618" s="207"/>
      <c r="I618" s="211" t="str">
        <f t="shared" si="92"/>
        <v/>
      </c>
      <c r="J618" s="207"/>
      <c r="K618" s="211" t="str">
        <f t="shared" si="93"/>
        <v/>
      </c>
      <c r="L618" s="207"/>
      <c r="M618" s="211" t="str">
        <f t="shared" si="94"/>
        <v/>
      </c>
      <c r="N618" s="207"/>
      <c r="O618" s="211" t="str">
        <f t="shared" si="95"/>
        <v/>
      </c>
      <c r="P618" s="207"/>
      <c r="Q618" s="211" t="str">
        <f t="shared" si="96"/>
        <v/>
      </c>
      <c r="R618" s="207"/>
      <c r="S618" s="211" t="str">
        <f t="shared" si="97"/>
        <v/>
      </c>
      <c r="T618" s="272" t="str">
        <f t="shared" si="98"/>
        <v/>
      </c>
      <c r="U618" s="212" t="str">
        <f t="shared" si="99"/>
        <v/>
      </c>
    </row>
    <row r="619" spans="2:21" x14ac:dyDescent="0.25">
      <c r="B619" s="241" t="str">
        <f>IF(Contagem!B617=0,"",Contagem!B617)</f>
        <v/>
      </c>
      <c r="C619" s="242" t="str">
        <f>IF(Contagem!T617 &gt; 0,Contagem!T617,"")</f>
        <v/>
      </c>
      <c r="D619" s="207"/>
      <c r="E619" s="211" t="str">
        <f t="shared" si="90"/>
        <v/>
      </c>
      <c r="F619" s="207"/>
      <c r="G619" s="211" t="str">
        <f t="shared" si="91"/>
        <v/>
      </c>
      <c r="H619" s="207"/>
      <c r="I619" s="211" t="str">
        <f t="shared" si="92"/>
        <v/>
      </c>
      <c r="J619" s="207"/>
      <c r="K619" s="211" t="str">
        <f t="shared" si="93"/>
        <v/>
      </c>
      <c r="L619" s="207"/>
      <c r="M619" s="211" t="str">
        <f t="shared" si="94"/>
        <v/>
      </c>
      <c r="N619" s="207"/>
      <c r="O619" s="211" t="str">
        <f t="shared" si="95"/>
        <v/>
      </c>
      <c r="P619" s="207"/>
      <c r="Q619" s="211" t="str">
        <f t="shared" si="96"/>
        <v/>
      </c>
      <c r="R619" s="207"/>
      <c r="S619" s="211" t="str">
        <f t="shared" si="97"/>
        <v/>
      </c>
      <c r="T619" s="272" t="str">
        <f t="shared" si="98"/>
        <v/>
      </c>
      <c r="U619" s="212" t="str">
        <f t="shared" si="99"/>
        <v/>
      </c>
    </row>
    <row r="620" spans="2:21" x14ac:dyDescent="0.25">
      <c r="B620" s="241" t="str">
        <f>IF(Contagem!B618=0,"",Contagem!B618)</f>
        <v/>
      </c>
      <c r="C620" s="242" t="str">
        <f>IF(Contagem!T618 &gt; 0,Contagem!T618,"")</f>
        <v/>
      </c>
      <c r="D620" s="207"/>
      <c r="E620" s="211" t="str">
        <f t="shared" si="90"/>
        <v/>
      </c>
      <c r="F620" s="207"/>
      <c r="G620" s="211" t="str">
        <f t="shared" si="91"/>
        <v/>
      </c>
      <c r="H620" s="207"/>
      <c r="I620" s="211" t="str">
        <f t="shared" si="92"/>
        <v/>
      </c>
      <c r="J620" s="207"/>
      <c r="K620" s="211" t="str">
        <f t="shared" si="93"/>
        <v/>
      </c>
      <c r="L620" s="207"/>
      <c r="M620" s="211" t="str">
        <f t="shared" si="94"/>
        <v/>
      </c>
      <c r="N620" s="207"/>
      <c r="O620" s="211" t="str">
        <f t="shared" si="95"/>
        <v/>
      </c>
      <c r="P620" s="207"/>
      <c r="Q620" s="211" t="str">
        <f t="shared" si="96"/>
        <v/>
      </c>
      <c r="R620" s="207"/>
      <c r="S620" s="211" t="str">
        <f t="shared" si="97"/>
        <v/>
      </c>
      <c r="T620" s="272" t="str">
        <f t="shared" si="98"/>
        <v/>
      </c>
      <c r="U620" s="212" t="str">
        <f t="shared" si="99"/>
        <v/>
      </c>
    </row>
    <row r="621" spans="2:21" x14ac:dyDescent="0.25">
      <c r="B621" s="241" t="str">
        <f>IF(Contagem!B619=0,"",Contagem!B619)</f>
        <v/>
      </c>
      <c r="C621" s="242" t="str">
        <f>IF(Contagem!T619 &gt; 0,Contagem!T619,"")</f>
        <v/>
      </c>
      <c r="D621" s="207"/>
      <c r="E621" s="211" t="str">
        <f t="shared" si="90"/>
        <v/>
      </c>
      <c r="F621" s="207"/>
      <c r="G621" s="211" t="str">
        <f t="shared" si="91"/>
        <v/>
      </c>
      <c r="H621" s="207"/>
      <c r="I621" s="211" t="str">
        <f t="shared" si="92"/>
        <v/>
      </c>
      <c r="J621" s="207"/>
      <c r="K621" s="211" t="str">
        <f t="shared" si="93"/>
        <v/>
      </c>
      <c r="L621" s="207"/>
      <c r="M621" s="211" t="str">
        <f t="shared" si="94"/>
        <v/>
      </c>
      <c r="N621" s="207"/>
      <c r="O621" s="211" t="str">
        <f t="shared" si="95"/>
        <v/>
      </c>
      <c r="P621" s="207"/>
      <c r="Q621" s="211" t="str">
        <f t="shared" si="96"/>
        <v/>
      </c>
      <c r="R621" s="207"/>
      <c r="S621" s="211" t="str">
        <f t="shared" si="97"/>
        <v/>
      </c>
      <c r="T621" s="272" t="str">
        <f t="shared" si="98"/>
        <v/>
      </c>
      <c r="U621" s="212" t="str">
        <f t="shared" si="99"/>
        <v/>
      </c>
    </row>
    <row r="622" spans="2:21" x14ac:dyDescent="0.25">
      <c r="B622" s="241" t="str">
        <f>IF(Contagem!B620=0,"",Contagem!B620)</f>
        <v/>
      </c>
      <c r="C622" s="242" t="str">
        <f>IF(Contagem!T620 &gt; 0,Contagem!T620,"")</f>
        <v/>
      </c>
      <c r="D622" s="207"/>
      <c r="E622" s="211" t="str">
        <f t="shared" si="90"/>
        <v/>
      </c>
      <c r="F622" s="207"/>
      <c r="G622" s="211" t="str">
        <f t="shared" si="91"/>
        <v/>
      </c>
      <c r="H622" s="207"/>
      <c r="I622" s="211" t="str">
        <f t="shared" si="92"/>
        <v/>
      </c>
      <c r="J622" s="207"/>
      <c r="K622" s="211" t="str">
        <f t="shared" si="93"/>
        <v/>
      </c>
      <c r="L622" s="207"/>
      <c r="M622" s="211" t="str">
        <f t="shared" si="94"/>
        <v/>
      </c>
      <c r="N622" s="207"/>
      <c r="O622" s="211" t="str">
        <f t="shared" si="95"/>
        <v/>
      </c>
      <c r="P622" s="207"/>
      <c r="Q622" s="211" t="str">
        <f t="shared" si="96"/>
        <v/>
      </c>
      <c r="R622" s="207"/>
      <c r="S622" s="211" t="str">
        <f t="shared" si="97"/>
        <v/>
      </c>
      <c r="T622" s="272" t="str">
        <f t="shared" si="98"/>
        <v/>
      </c>
      <c r="U622" s="212" t="str">
        <f t="shared" si="99"/>
        <v/>
      </c>
    </row>
    <row r="623" spans="2:21" x14ac:dyDescent="0.25">
      <c r="B623" s="241" t="str">
        <f>IF(Contagem!B621=0,"",Contagem!B621)</f>
        <v/>
      </c>
      <c r="C623" s="242" t="str">
        <f>IF(Contagem!T621 &gt; 0,Contagem!T621,"")</f>
        <v/>
      </c>
      <c r="D623" s="207"/>
      <c r="E623" s="211" t="str">
        <f t="shared" si="90"/>
        <v/>
      </c>
      <c r="F623" s="207"/>
      <c r="G623" s="211" t="str">
        <f t="shared" si="91"/>
        <v/>
      </c>
      <c r="H623" s="207"/>
      <c r="I623" s="211" t="str">
        <f t="shared" si="92"/>
        <v/>
      </c>
      <c r="J623" s="207"/>
      <c r="K623" s="211" t="str">
        <f t="shared" si="93"/>
        <v/>
      </c>
      <c r="L623" s="207"/>
      <c r="M623" s="211" t="str">
        <f t="shared" si="94"/>
        <v/>
      </c>
      <c r="N623" s="207"/>
      <c r="O623" s="211" t="str">
        <f t="shared" si="95"/>
        <v/>
      </c>
      <c r="P623" s="207"/>
      <c r="Q623" s="211" t="str">
        <f t="shared" si="96"/>
        <v/>
      </c>
      <c r="R623" s="207"/>
      <c r="S623" s="211" t="str">
        <f t="shared" si="97"/>
        <v/>
      </c>
      <c r="T623" s="272" t="str">
        <f t="shared" si="98"/>
        <v/>
      </c>
      <c r="U623" s="212" t="str">
        <f t="shared" si="99"/>
        <v/>
      </c>
    </row>
    <row r="624" spans="2:21" x14ac:dyDescent="0.25">
      <c r="B624" s="241" t="str">
        <f>IF(Contagem!B622=0,"",Contagem!B622)</f>
        <v/>
      </c>
      <c r="C624" s="242" t="str">
        <f>IF(Contagem!T622 &gt; 0,Contagem!T622,"")</f>
        <v/>
      </c>
      <c r="D624" s="207"/>
      <c r="E624" s="211" t="str">
        <f t="shared" si="90"/>
        <v/>
      </c>
      <c r="F624" s="207"/>
      <c r="G624" s="211" t="str">
        <f t="shared" si="91"/>
        <v/>
      </c>
      <c r="H624" s="207"/>
      <c r="I624" s="211" t="str">
        <f t="shared" si="92"/>
        <v/>
      </c>
      <c r="J624" s="207"/>
      <c r="K624" s="211" t="str">
        <f t="shared" si="93"/>
        <v/>
      </c>
      <c r="L624" s="207"/>
      <c r="M624" s="211" t="str">
        <f t="shared" si="94"/>
        <v/>
      </c>
      <c r="N624" s="207"/>
      <c r="O624" s="211" t="str">
        <f t="shared" si="95"/>
        <v/>
      </c>
      <c r="P624" s="207"/>
      <c r="Q624" s="211" t="str">
        <f t="shared" si="96"/>
        <v/>
      </c>
      <c r="R624" s="207"/>
      <c r="S624" s="211" t="str">
        <f t="shared" si="97"/>
        <v/>
      </c>
      <c r="T624" s="272" t="str">
        <f t="shared" si="98"/>
        <v/>
      </c>
      <c r="U624" s="212" t="str">
        <f t="shared" si="99"/>
        <v/>
      </c>
    </row>
    <row r="625" spans="2:21" x14ac:dyDescent="0.25">
      <c r="B625" s="241" t="str">
        <f>IF(Contagem!B623=0,"",Contagem!B623)</f>
        <v/>
      </c>
      <c r="C625" s="242" t="str">
        <f>IF(Contagem!T623 &gt; 0,Contagem!T623,"")</f>
        <v/>
      </c>
      <c r="D625" s="207"/>
      <c r="E625" s="211" t="str">
        <f t="shared" si="90"/>
        <v/>
      </c>
      <c r="F625" s="207"/>
      <c r="G625" s="211" t="str">
        <f t="shared" si="91"/>
        <v/>
      </c>
      <c r="H625" s="207"/>
      <c r="I625" s="211" t="str">
        <f t="shared" si="92"/>
        <v/>
      </c>
      <c r="J625" s="207"/>
      <c r="K625" s="211" t="str">
        <f t="shared" si="93"/>
        <v/>
      </c>
      <c r="L625" s="207"/>
      <c r="M625" s="211" t="str">
        <f t="shared" si="94"/>
        <v/>
      </c>
      <c r="N625" s="207"/>
      <c r="O625" s="211" t="str">
        <f t="shared" si="95"/>
        <v/>
      </c>
      <c r="P625" s="207"/>
      <c r="Q625" s="211" t="str">
        <f t="shared" si="96"/>
        <v/>
      </c>
      <c r="R625" s="207"/>
      <c r="S625" s="211" t="str">
        <f t="shared" si="97"/>
        <v/>
      </c>
      <c r="T625" s="272" t="str">
        <f t="shared" si="98"/>
        <v/>
      </c>
      <c r="U625" s="212" t="str">
        <f t="shared" si="99"/>
        <v/>
      </c>
    </row>
    <row r="626" spans="2:21" x14ac:dyDescent="0.25">
      <c r="B626" s="241" t="str">
        <f>IF(Contagem!B624=0,"",Contagem!B624)</f>
        <v/>
      </c>
      <c r="C626" s="242" t="str">
        <f>IF(Contagem!T624 &gt; 0,Contagem!T624,"")</f>
        <v/>
      </c>
      <c r="D626" s="207"/>
      <c r="E626" s="211" t="str">
        <f t="shared" si="90"/>
        <v/>
      </c>
      <c r="F626" s="207"/>
      <c r="G626" s="211" t="str">
        <f t="shared" si="91"/>
        <v/>
      </c>
      <c r="H626" s="207"/>
      <c r="I626" s="211" t="str">
        <f t="shared" si="92"/>
        <v/>
      </c>
      <c r="J626" s="207"/>
      <c r="K626" s="211" t="str">
        <f t="shared" si="93"/>
        <v/>
      </c>
      <c r="L626" s="207"/>
      <c r="M626" s="211" t="str">
        <f t="shared" si="94"/>
        <v/>
      </c>
      <c r="N626" s="207"/>
      <c r="O626" s="211" t="str">
        <f t="shared" si="95"/>
        <v/>
      </c>
      <c r="P626" s="207"/>
      <c r="Q626" s="211" t="str">
        <f t="shared" si="96"/>
        <v/>
      </c>
      <c r="R626" s="207"/>
      <c r="S626" s="211" t="str">
        <f t="shared" si="97"/>
        <v/>
      </c>
      <c r="T626" s="272" t="str">
        <f t="shared" si="98"/>
        <v/>
      </c>
      <c r="U626" s="212" t="str">
        <f t="shared" si="99"/>
        <v/>
      </c>
    </row>
    <row r="627" spans="2:21" x14ac:dyDescent="0.25">
      <c r="B627" s="241" t="str">
        <f>IF(Contagem!B625=0,"",Contagem!B625)</f>
        <v/>
      </c>
      <c r="C627" s="242" t="str">
        <f>IF(Contagem!T625 &gt; 0,Contagem!T625,"")</f>
        <v/>
      </c>
      <c r="D627" s="207"/>
      <c r="E627" s="211" t="str">
        <f t="shared" si="90"/>
        <v/>
      </c>
      <c r="F627" s="207"/>
      <c r="G627" s="211" t="str">
        <f t="shared" si="91"/>
        <v/>
      </c>
      <c r="H627" s="207"/>
      <c r="I627" s="211" t="str">
        <f t="shared" si="92"/>
        <v/>
      </c>
      <c r="J627" s="207"/>
      <c r="K627" s="211" t="str">
        <f t="shared" si="93"/>
        <v/>
      </c>
      <c r="L627" s="207"/>
      <c r="M627" s="211" t="str">
        <f t="shared" si="94"/>
        <v/>
      </c>
      <c r="N627" s="207"/>
      <c r="O627" s="211" t="str">
        <f t="shared" si="95"/>
        <v/>
      </c>
      <c r="P627" s="207"/>
      <c r="Q627" s="211" t="str">
        <f t="shared" si="96"/>
        <v/>
      </c>
      <c r="R627" s="207"/>
      <c r="S627" s="211" t="str">
        <f t="shared" si="97"/>
        <v/>
      </c>
      <c r="T627" s="272" t="str">
        <f t="shared" si="98"/>
        <v/>
      </c>
      <c r="U627" s="212" t="str">
        <f t="shared" si="99"/>
        <v/>
      </c>
    </row>
    <row r="628" spans="2:21" x14ac:dyDescent="0.25">
      <c r="B628" s="241" t="str">
        <f>IF(Contagem!B626=0,"",Contagem!B626)</f>
        <v/>
      </c>
      <c r="C628" s="242" t="str">
        <f>IF(Contagem!T626 &gt; 0,Contagem!T626,"")</f>
        <v/>
      </c>
      <c r="D628" s="207"/>
      <c r="E628" s="211" t="str">
        <f t="shared" si="90"/>
        <v/>
      </c>
      <c r="F628" s="207"/>
      <c r="G628" s="211" t="str">
        <f t="shared" si="91"/>
        <v/>
      </c>
      <c r="H628" s="207"/>
      <c r="I628" s="211" t="str">
        <f t="shared" si="92"/>
        <v/>
      </c>
      <c r="J628" s="207"/>
      <c r="K628" s="211" t="str">
        <f t="shared" si="93"/>
        <v/>
      </c>
      <c r="L628" s="207"/>
      <c r="M628" s="211" t="str">
        <f t="shared" si="94"/>
        <v/>
      </c>
      <c r="N628" s="207"/>
      <c r="O628" s="211" t="str">
        <f t="shared" si="95"/>
        <v/>
      </c>
      <c r="P628" s="207"/>
      <c r="Q628" s="211" t="str">
        <f t="shared" si="96"/>
        <v/>
      </c>
      <c r="R628" s="207"/>
      <c r="S628" s="211" t="str">
        <f t="shared" si="97"/>
        <v/>
      </c>
      <c r="T628" s="272" t="str">
        <f t="shared" si="98"/>
        <v/>
      </c>
      <c r="U628" s="212" t="str">
        <f t="shared" si="99"/>
        <v/>
      </c>
    </row>
    <row r="629" spans="2:21" x14ac:dyDescent="0.25">
      <c r="B629" s="241" t="str">
        <f>IF(Contagem!B627=0,"",Contagem!B627)</f>
        <v/>
      </c>
      <c r="C629" s="242" t="str">
        <f>IF(Contagem!T627 &gt; 0,Contagem!T627,"")</f>
        <v/>
      </c>
      <c r="D629" s="207"/>
      <c r="E629" s="211" t="str">
        <f t="shared" si="90"/>
        <v/>
      </c>
      <c r="F629" s="207"/>
      <c r="G629" s="211" t="str">
        <f t="shared" si="91"/>
        <v/>
      </c>
      <c r="H629" s="207"/>
      <c r="I629" s="211" t="str">
        <f t="shared" si="92"/>
        <v/>
      </c>
      <c r="J629" s="207"/>
      <c r="K629" s="211" t="str">
        <f t="shared" si="93"/>
        <v/>
      </c>
      <c r="L629" s="207"/>
      <c r="M629" s="211" t="str">
        <f t="shared" si="94"/>
        <v/>
      </c>
      <c r="N629" s="207"/>
      <c r="O629" s="211" t="str">
        <f t="shared" si="95"/>
        <v/>
      </c>
      <c r="P629" s="207"/>
      <c r="Q629" s="211" t="str">
        <f t="shared" si="96"/>
        <v/>
      </c>
      <c r="R629" s="207"/>
      <c r="S629" s="211" t="str">
        <f t="shared" si="97"/>
        <v/>
      </c>
      <c r="T629" s="272" t="str">
        <f t="shared" si="98"/>
        <v/>
      </c>
      <c r="U629" s="212" t="str">
        <f t="shared" si="99"/>
        <v/>
      </c>
    </row>
    <row r="630" spans="2:21" x14ac:dyDescent="0.25">
      <c r="B630" s="241" t="str">
        <f>IF(Contagem!B628=0,"",Contagem!B628)</f>
        <v/>
      </c>
      <c r="C630" s="242" t="str">
        <f>IF(Contagem!T628 &gt; 0,Contagem!T628,"")</f>
        <v/>
      </c>
      <c r="D630" s="207"/>
      <c r="E630" s="211" t="str">
        <f t="shared" si="90"/>
        <v/>
      </c>
      <c r="F630" s="207"/>
      <c r="G630" s="211" t="str">
        <f t="shared" si="91"/>
        <v/>
      </c>
      <c r="H630" s="207"/>
      <c r="I630" s="211" t="str">
        <f t="shared" si="92"/>
        <v/>
      </c>
      <c r="J630" s="207"/>
      <c r="K630" s="211" t="str">
        <f t="shared" si="93"/>
        <v/>
      </c>
      <c r="L630" s="207"/>
      <c r="M630" s="211" t="str">
        <f t="shared" si="94"/>
        <v/>
      </c>
      <c r="N630" s="207"/>
      <c r="O630" s="211" t="str">
        <f t="shared" si="95"/>
        <v/>
      </c>
      <c r="P630" s="207"/>
      <c r="Q630" s="211" t="str">
        <f t="shared" si="96"/>
        <v/>
      </c>
      <c r="R630" s="207"/>
      <c r="S630" s="211" t="str">
        <f t="shared" si="97"/>
        <v/>
      </c>
      <c r="T630" s="272" t="str">
        <f t="shared" si="98"/>
        <v/>
      </c>
      <c r="U630" s="212" t="str">
        <f t="shared" si="99"/>
        <v/>
      </c>
    </row>
    <row r="631" spans="2:21" x14ac:dyDescent="0.25">
      <c r="B631" s="241" t="str">
        <f>IF(Contagem!B629=0,"",Contagem!B629)</f>
        <v/>
      </c>
      <c r="C631" s="242" t="str">
        <f>IF(Contagem!T629 &gt; 0,Contagem!T629,"")</f>
        <v/>
      </c>
      <c r="D631" s="207"/>
      <c r="E631" s="211" t="str">
        <f t="shared" si="90"/>
        <v/>
      </c>
      <c r="F631" s="207"/>
      <c r="G631" s="211" t="str">
        <f t="shared" si="91"/>
        <v/>
      </c>
      <c r="H631" s="207"/>
      <c r="I631" s="211" t="str">
        <f t="shared" si="92"/>
        <v/>
      </c>
      <c r="J631" s="207"/>
      <c r="K631" s="211" t="str">
        <f t="shared" si="93"/>
        <v/>
      </c>
      <c r="L631" s="207"/>
      <c r="M631" s="211" t="str">
        <f t="shared" si="94"/>
        <v/>
      </c>
      <c r="N631" s="207"/>
      <c r="O631" s="211" t="str">
        <f t="shared" si="95"/>
        <v/>
      </c>
      <c r="P631" s="207"/>
      <c r="Q631" s="211" t="str">
        <f t="shared" si="96"/>
        <v/>
      </c>
      <c r="R631" s="207"/>
      <c r="S631" s="211" t="str">
        <f t="shared" si="97"/>
        <v/>
      </c>
      <c r="T631" s="272" t="str">
        <f t="shared" si="98"/>
        <v/>
      </c>
      <c r="U631" s="212" t="str">
        <f t="shared" si="99"/>
        <v/>
      </c>
    </row>
    <row r="632" spans="2:21" x14ac:dyDescent="0.25">
      <c r="B632" s="241" t="str">
        <f>IF(Contagem!B630=0,"",Contagem!B630)</f>
        <v/>
      </c>
      <c r="C632" s="242" t="str">
        <f>IF(Contagem!T630 &gt; 0,Contagem!T630,"")</f>
        <v/>
      </c>
      <c r="D632" s="207"/>
      <c r="E632" s="211" t="str">
        <f t="shared" si="90"/>
        <v/>
      </c>
      <c r="F632" s="207"/>
      <c r="G632" s="211" t="str">
        <f t="shared" si="91"/>
        <v/>
      </c>
      <c r="H632" s="207"/>
      <c r="I632" s="211" t="str">
        <f t="shared" si="92"/>
        <v/>
      </c>
      <c r="J632" s="207"/>
      <c r="K632" s="211" t="str">
        <f t="shared" si="93"/>
        <v/>
      </c>
      <c r="L632" s="207"/>
      <c r="M632" s="211" t="str">
        <f t="shared" si="94"/>
        <v/>
      </c>
      <c r="N632" s="207"/>
      <c r="O632" s="211" t="str">
        <f t="shared" si="95"/>
        <v/>
      </c>
      <c r="P632" s="207"/>
      <c r="Q632" s="211" t="str">
        <f t="shared" si="96"/>
        <v/>
      </c>
      <c r="R632" s="207"/>
      <c r="S632" s="211" t="str">
        <f t="shared" si="97"/>
        <v/>
      </c>
      <c r="T632" s="272" t="str">
        <f t="shared" si="98"/>
        <v/>
      </c>
      <c r="U632" s="212" t="str">
        <f t="shared" si="99"/>
        <v/>
      </c>
    </row>
    <row r="633" spans="2:21" x14ac:dyDescent="0.25">
      <c r="B633" s="241" t="str">
        <f>IF(Contagem!B631=0,"",Contagem!B631)</f>
        <v/>
      </c>
      <c r="C633" s="242" t="str">
        <f>IF(Contagem!T631 &gt; 0,Contagem!T631,"")</f>
        <v/>
      </c>
      <c r="D633" s="207"/>
      <c r="E633" s="211" t="str">
        <f t="shared" si="90"/>
        <v/>
      </c>
      <c r="F633" s="207"/>
      <c r="G633" s="211" t="str">
        <f t="shared" si="91"/>
        <v/>
      </c>
      <c r="H633" s="207"/>
      <c r="I633" s="211" t="str">
        <f t="shared" si="92"/>
        <v/>
      </c>
      <c r="J633" s="207"/>
      <c r="K633" s="211" t="str">
        <f t="shared" si="93"/>
        <v/>
      </c>
      <c r="L633" s="207"/>
      <c r="M633" s="211" t="str">
        <f t="shared" si="94"/>
        <v/>
      </c>
      <c r="N633" s="207"/>
      <c r="O633" s="211" t="str">
        <f t="shared" si="95"/>
        <v/>
      </c>
      <c r="P633" s="207"/>
      <c r="Q633" s="211" t="str">
        <f t="shared" si="96"/>
        <v/>
      </c>
      <c r="R633" s="207"/>
      <c r="S633" s="211" t="str">
        <f t="shared" si="97"/>
        <v/>
      </c>
      <c r="T633" s="272" t="str">
        <f t="shared" si="98"/>
        <v/>
      </c>
      <c r="U633" s="212" t="str">
        <f t="shared" si="99"/>
        <v/>
      </c>
    </row>
    <row r="634" spans="2:21" x14ac:dyDescent="0.25">
      <c r="B634" s="241" t="str">
        <f>IF(Contagem!B632=0,"",Contagem!B632)</f>
        <v/>
      </c>
      <c r="C634" s="242" t="str">
        <f>IF(Contagem!T632 &gt; 0,Contagem!T632,"")</f>
        <v/>
      </c>
      <c r="D634" s="207"/>
      <c r="E634" s="211" t="str">
        <f t="shared" si="90"/>
        <v/>
      </c>
      <c r="F634" s="207"/>
      <c r="G634" s="211" t="str">
        <f t="shared" si="91"/>
        <v/>
      </c>
      <c r="H634" s="207"/>
      <c r="I634" s="211" t="str">
        <f t="shared" si="92"/>
        <v/>
      </c>
      <c r="J634" s="207"/>
      <c r="K634" s="211" t="str">
        <f t="shared" si="93"/>
        <v/>
      </c>
      <c r="L634" s="207"/>
      <c r="M634" s="211" t="str">
        <f t="shared" si="94"/>
        <v/>
      </c>
      <c r="N634" s="207"/>
      <c r="O634" s="211" t="str">
        <f t="shared" si="95"/>
        <v/>
      </c>
      <c r="P634" s="207"/>
      <c r="Q634" s="211" t="str">
        <f t="shared" si="96"/>
        <v/>
      </c>
      <c r="R634" s="207"/>
      <c r="S634" s="211" t="str">
        <f t="shared" si="97"/>
        <v/>
      </c>
      <c r="T634" s="272" t="str">
        <f t="shared" si="98"/>
        <v/>
      </c>
      <c r="U634" s="212" t="str">
        <f t="shared" si="99"/>
        <v/>
      </c>
    </row>
    <row r="635" spans="2:21" x14ac:dyDescent="0.25">
      <c r="B635" s="241" t="str">
        <f>IF(Contagem!B633=0,"",Contagem!B633)</f>
        <v/>
      </c>
      <c r="C635" s="242" t="str">
        <f>IF(Contagem!T633 &gt; 0,Contagem!T633,"")</f>
        <v/>
      </c>
      <c r="D635" s="207"/>
      <c r="E635" s="211" t="str">
        <f t="shared" si="90"/>
        <v/>
      </c>
      <c r="F635" s="207"/>
      <c r="G635" s="211" t="str">
        <f t="shared" si="91"/>
        <v/>
      </c>
      <c r="H635" s="207"/>
      <c r="I635" s="211" t="str">
        <f t="shared" si="92"/>
        <v/>
      </c>
      <c r="J635" s="207"/>
      <c r="K635" s="211" t="str">
        <f t="shared" si="93"/>
        <v/>
      </c>
      <c r="L635" s="207"/>
      <c r="M635" s="211" t="str">
        <f t="shared" si="94"/>
        <v/>
      </c>
      <c r="N635" s="207"/>
      <c r="O635" s="211" t="str">
        <f t="shared" si="95"/>
        <v/>
      </c>
      <c r="P635" s="207"/>
      <c r="Q635" s="211" t="str">
        <f t="shared" si="96"/>
        <v/>
      </c>
      <c r="R635" s="207"/>
      <c r="S635" s="211" t="str">
        <f t="shared" si="97"/>
        <v/>
      </c>
      <c r="T635" s="272" t="str">
        <f t="shared" si="98"/>
        <v/>
      </c>
      <c r="U635" s="212" t="str">
        <f t="shared" si="99"/>
        <v/>
      </c>
    </row>
    <row r="636" spans="2:21" x14ac:dyDescent="0.25">
      <c r="B636" s="241" t="str">
        <f>IF(Contagem!B634=0,"",Contagem!B634)</f>
        <v/>
      </c>
      <c r="C636" s="242" t="str">
        <f>IF(Contagem!T634 &gt; 0,Contagem!T634,"")</f>
        <v/>
      </c>
      <c r="D636" s="207"/>
      <c r="E636" s="211" t="str">
        <f t="shared" si="90"/>
        <v/>
      </c>
      <c r="F636" s="207"/>
      <c r="G636" s="211" t="str">
        <f t="shared" si="91"/>
        <v/>
      </c>
      <c r="H636" s="207"/>
      <c r="I636" s="211" t="str">
        <f t="shared" si="92"/>
        <v/>
      </c>
      <c r="J636" s="207"/>
      <c r="K636" s="211" t="str">
        <f t="shared" si="93"/>
        <v/>
      </c>
      <c r="L636" s="207"/>
      <c r="M636" s="211" t="str">
        <f t="shared" si="94"/>
        <v/>
      </c>
      <c r="N636" s="207"/>
      <c r="O636" s="211" t="str">
        <f t="shared" si="95"/>
        <v/>
      </c>
      <c r="P636" s="207"/>
      <c r="Q636" s="211" t="str">
        <f t="shared" si="96"/>
        <v/>
      </c>
      <c r="R636" s="207"/>
      <c r="S636" s="211" t="str">
        <f t="shared" si="97"/>
        <v/>
      </c>
      <c r="T636" s="272" t="str">
        <f t="shared" si="98"/>
        <v/>
      </c>
      <c r="U636" s="212" t="str">
        <f t="shared" si="99"/>
        <v/>
      </c>
    </row>
    <row r="637" spans="2:21" x14ac:dyDescent="0.25">
      <c r="B637" s="241" t="str">
        <f>IF(Contagem!B635=0,"",Contagem!B635)</f>
        <v/>
      </c>
      <c r="C637" s="242" t="str">
        <f>IF(Contagem!T635 &gt; 0,Contagem!T635,"")</f>
        <v/>
      </c>
      <c r="D637" s="207"/>
      <c r="E637" s="211" t="str">
        <f t="shared" si="90"/>
        <v/>
      </c>
      <c r="F637" s="207"/>
      <c r="G637" s="211" t="str">
        <f t="shared" si="91"/>
        <v/>
      </c>
      <c r="H637" s="207"/>
      <c r="I637" s="211" t="str">
        <f t="shared" si="92"/>
        <v/>
      </c>
      <c r="J637" s="207"/>
      <c r="K637" s="211" t="str">
        <f t="shared" si="93"/>
        <v/>
      </c>
      <c r="L637" s="207"/>
      <c r="M637" s="211" t="str">
        <f t="shared" si="94"/>
        <v/>
      </c>
      <c r="N637" s="207"/>
      <c r="O637" s="211" t="str">
        <f t="shared" si="95"/>
        <v/>
      </c>
      <c r="P637" s="207"/>
      <c r="Q637" s="211" t="str">
        <f t="shared" si="96"/>
        <v/>
      </c>
      <c r="R637" s="207"/>
      <c r="S637" s="211" t="str">
        <f t="shared" si="97"/>
        <v/>
      </c>
      <c r="T637" s="272" t="str">
        <f t="shared" si="98"/>
        <v/>
      </c>
      <c r="U637" s="212" t="str">
        <f t="shared" si="99"/>
        <v/>
      </c>
    </row>
    <row r="638" spans="2:21" x14ac:dyDescent="0.25">
      <c r="B638" s="241" t="str">
        <f>IF(Contagem!B636=0,"",Contagem!B636)</f>
        <v/>
      </c>
      <c r="C638" s="242" t="str">
        <f>IF(Contagem!T636 &gt; 0,Contagem!T636,"")</f>
        <v/>
      </c>
      <c r="D638" s="207"/>
      <c r="E638" s="211" t="str">
        <f t="shared" si="90"/>
        <v/>
      </c>
      <c r="F638" s="207"/>
      <c r="G638" s="211" t="str">
        <f t="shared" si="91"/>
        <v/>
      </c>
      <c r="H638" s="207"/>
      <c r="I638" s="211" t="str">
        <f t="shared" si="92"/>
        <v/>
      </c>
      <c r="J638" s="207"/>
      <c r="K638" s="211" t="str">
        <f t="shared" si="93"/>
        <v/>
      </c>
      <c r="L638" s="207"/>
      <c r="M638" s="211" t="str">
        <f t="shared" si="94"/>
        <v/>
      </c>
      <c r="N638" s="207"/>
      <c r="O638" s="211" t="str">
        <f t="shared" si="95"/>
        <v/>
      </c>
      <c r="P638" s="207"/>
      <c r="Q638" s="211" t="str">
        <f t="shared" si="96"/>
        <v/>
      </c>
      <c r="R638" s="207"/>
      <c r="S638" s="211" t="str">
        <f t="shared" si="97"/>
        <v/>
      </c>
      <c r="T638" s="272" t="str">
        <f t="shared" si="98"/>
        <v/>
      </c>
      <c r="U638" s="212" t="str">
        <f t="shared" si="99"/>
        <v/>
      </c>
    </row>
    <row r="639" spans="2:21" x14ac:dyDescent="0.25">
      <c r="B639" s="241" t="str">
        <f>IF(Contagem!B637=0,"",Contagem!B637)</f>
        <v/>
      </c>
      <c r="C639" s="242" t="str">
        <f>IF(Contagem!T637 &gt; 0,Contagem!T637,"")</f>
        <v/>
      </c>
      <c r="D639" s="207"/>
      <c r="E639" s="211" t="str">
        <f t="shared" si="90"/>
        <v/>
      </c>
      <c r="F639" s="207"/>
      <c r="G639" s="211" t="str">
        <f t="shared" si="91"/>
        <v/>
      </c>
      <c r="H639" s="207"/>
      <c r="I639" s="211" t="str">
        <f t="shared" si="92"/>
        <v/>
      </c>
      <c r="J639" s="207"/>
      <c r="K639" s="211" t="str">
        <f t="shared" si="93"/>
        <v/>
      </c>
      <c r="L639" s="207"/>
      <c r="M639" s="211" t="str">
        <f t="shared" si="94"/>
        <v/>
      </c>
      <c r="N639" s="207"/>
      <c r="O639" s="211" t="str">
        <f t="shared" si="95"/>
        <v/>
      </c>
      <c r="P639" s="207"/>
      <c r="Q639" s="211" t="str">
        <f t="shared" si="96"/>
        <v/>
      </c>
      <c r="R639" s="207"/>
      <c r="S639" s="211" t="str">
        <f t="shared" si="97"/>
        <v/>
      </c>
      <c r="T639" s="272" t="str">
        <f t="shared" si="98"/>
        <v/>
      </c>
      <c r="U639" s="212" t="str">
        <f t="shared" si="99"/>
        <v/>
      </c>
    </row>
    <row r="640" spans="2:21" x14ac:dyDescent="0.25">
      <c r="B640" s="241" t="str">
        <f>IF(Contagem!B638=0,"",Contagem!B638)</f>
        <v/>
      </c>
      <c r="C640" s="242" t="str">
        <f>IF(Contagem!T638 &gt; 0,Contagem!T638,"")</f>
        <v/>
      </c>
      <c r="D640" s="207"/>
      <c r="E640" s="211" t="str">
        <f t="shared" si="90"/>
        <v/>
      </c>
      <c r="F640" s="207"/>
      <c r="G640" s="211" t="str">
        <f t="shared" si="91"/>
        <v/>
      </c>
      <c r="H640" s="207"/>
      <c r="I640" s="211" t="str">
        <f t="shared" si="92"/>
        <v/>
      </c>
      <c r="J640" s="207"/>
      <c r="K640" s="211" t="str">
        <f t="shared" si="93"/>
        <v/>
      </c>
      <c r="L640" s="207"/>
      <c r="M640" s="211" t="str">
        <f t="shared" si="94"/>
        <v/>
      </c>
      <c r="N640" s="207"/>
      <c r="O640" s="211" t="str">
        <f t="shared" si="95"/>
        <v/>
      </c>
      <c r="P640" s="207"/>
      <c r="Q640" s="211" t="str">
        <f t="shared" si="96"/>
        <v/>
      </c>
      <c r="R640" s="207"/>
      <c r="S640" s="211" t="str">
        <f t="shared" si="97"/>
        <v/>
      </c>
      <c r="T640" s="272" t="str">
        <f t="shared" si="98"/>
        <v/>
      </c>
      <c r="U640" s="212" t="str">
        <f t="shared" si="99"/>
        <v/>
      </c>
    </row>
    <row r="641" spans="2:21" x14ac:dyDescent="0.25">
      <c r="B641" s="241" t="str">
        <f>IF(Contagem!B639=0,"",Contagem!B639)</f>
        <v/>
      </c>
      <c r="C641" s="242" t="str">
        <f>IF(Contagem!T639 &gt; 0,Contagem!T639,"")</f>
        <v/>
      </c>
      <c r="D641" s="207"/>
      <c r="E641" s="211" t="str">
        <f t="shared" si="90"/>
        <v/>
      </c>
      <c r="F641" s="207"/>
      <c r="G641" s="211" t="str">
        <f t="shared" si="91"/>
        <v/>
      </c>
      <c r="H641" s="207"/>
      <c r="I641" s="211" t="str">
        <f t="shared" si="92"/>
        <v/>
      </c>
      <c r="J641" s="207"/>
      <c r="K641" s="211" t="str">
        <f t="shared" si="93"/>
        <v/>
      </c>
      <c r="L641" s="207"/>
      <c r="M641" s="211" t="str">
        <f t="shared" si="94"/>
        <v/>
      </c>
      <c r="N641" s="207"/>
      <c r="O641" s="211" t="str">
        <f t="shared" si="95"/>
        <v/>
      </c>
      <c r="P641" s="207"/>
      <c r="Q641" s="211" t="str">
        <f t="shared" si="96"/>
        <v/>
      </c>
      <c r="R641" s="207"/>
      <c r="S641" s="211" t="str">
        <f t="shared" si="97"/>
        <v/>
      </c>
      <c r="T641" s="272" t="str">
        <f t="shared" si="98"/>
        <v/>
      </c>
      <c r="U641" s="212" t="str">
        <f t="shared" si="99"/>
        <v/>
      </c>
    </row>
    <row r="642" spans="2:21" x14ac:dyDescent="0.25">
      <c r="B642" s="241" t="str">
        <f>IF(Contagem!B640=0,"",Contagem!B640)</f>
        <v/>
      </c>
      <c r="C642" s="242" t="str">
        <f>IF(Contagem!T640 &gt; 0,Contagem!T640,"")</f>
        <v/>
      </c>
      <c r="D642" s="207"/>
      <c r="E642" s="211" t="str">
        <f t="shared" si="90"/>
        <v/>
      </c>
      <c r="F642" s="207"/>
      <c r="G642" s="211" t="str">
        <f t="shared" si="91"/>
        <v/>
      </c>
      <c r="H642" s="207"/>
      <c r="I642" s="211" t="str">
        <f t="shared" si="92"/>
        <v/>
      </c>
      <c r="J642" s="207"/>
      <c r="K642" s="211" t="str">
        <f t="shared" si="93"/>
        <v/>
      </c>
      <c r="L642" s="207"/>
      <c r="M642" s="211" t="str">
        <f t="shared" si="94"/>
        <v/>
      </c>
      <c r="N642" s="207"/>
      <c r="O642" s="211" t="str">
        <f t="shared" si="95"/>
        <v/>
      </c>
      <c r="P642" s="207"/>
      <c r="Q642" s="211" t="str">
        <f t="shared" si="96"/>
        <v/>
      </c>
      <c r="R642" s="207"/>
      <c r="S642" s="211" t="str">
        <f t="shared" si="97"/>
        <v/>
      </c>
      <c r="T642" s="272" t="str">
        <f t="shared" si="98"/>
        <v/>
      </c>
      <c r="U642" s="212" t="str">
        <f t="shared" si="99"/>
        <v/>
      </c>
    </row>
    <row r="643" spans="2:21" x14ac:dyDescent="0.25">
      <c r="B643" s="241" t="str">
        <f>IF(Contagem!B641=0,"",Contagem!B641)</f>
        <v/>
      </c>
      <c r="C643" s="242" t="str">
        <f>IF(Contagem!T641 &gt; 0,Contagem!T641,"")</f>
        <v/>
      </c>
      <c r="D643" s="207"/>
      <c r="E643" s="211" t="str">
        <f t="shared" si="90"/>
        <v/>
      </c>
      <c r="F643" s="207"/>
      <c r="G643" s="211" t="str">
        <f t="shared" si="91"/>
        <v/>
      </c>
      <c r="H643" s="207"/>
      <c r="I643" s="211" t="str">
        <f t="shared" si="92"/>
        <v/>
      </c>
      <c r="J643" s="207"/>
      <c r="K643" s="211" t="str">
        <f t="shared" si="93"/>
        <v/>
      </c>
      <c r="L643" s="207"/>
      <c r="M643" s="211" t="str">
        <f t="shared" si="94"/>
        <v/>
      </c>
      <c r="N643" s="207"/>
      <c r="O643" s="211" t="str">
        <f t="shared" si="95"/>
        <v/>
      </c>
      <c r="P643" s="207"/>
      <c r="Q643" s="211" t="str">
        <f t="shared" si="96"/>
        <v/>
      </c>
      <c r="R643" s="207"/>
      <c r="S643" s="211" t="str">
        <f t="shared" si="97"/>
        <v/>
      </c>
      <c r="T643" s="272" t="str">
        <f t="shared" si="98"/>
        <v/>
      </c>
      <c r="U643" s="212" t="str">
        <f t="shared" si="99"/>
        <v/>
      </c>
    </row>
    <row r="644" spans="2:21" x14ac:dyDescent="0.25">
      <c r="B644" s="241" t="str">
        <f>IF(Contagem!B642=0,"",Contagem!B642)</f>
        <v/>
      </c>
      <c r="C644" s="242" t="str">
        <f>IF(Contagem!T642 &gt; 0,Contagem!T642,"")</f>
        <v/>
      </c>
      <c r="D644" s="207"/>
      <c r="E644" s="211" t="str">
        <f t="shared" si="90"/>
        <v/>
      </c>
      <c r="F644" s="207"/>
      <c r="G644" s="211" t="str">
        <f t="shared" si="91"/>
        <v/>
      </c>
      <c r="H644" s="207"/>
      <c r="I644" s="211" t="str">
        <f t="shared" si="92"/>
        <v/>
      </c>
      <c r="J644" s="207"/>
      <c r="K644" s="211" t="str">
        <f t="shared" si="93"/>
        <v/>
      </c>
      <c r="L644" s="207"/>
      <c r="M644" s="211" t="str">
        <f t="shared" si="94"/>
        <v/>
      </c>
      <c r="N644" s="207"/>
      <c r="O644" s="211" t="str">
        <f t="shared" si="95"/>
        <v/>
      </c>
      <c r="P644" s="207"/>
      <c r="Q644" s="211" t="str">
        <f t="shared" si="96"/>
        <v/>
      </c>
      <c r="R644" s="207"/>
      <c r="S644" s="211" t="str">
        <f t="shared" si="97"/>
        <v/>
      </c>
      <c r="T644" s="272" t="str">
        <f t="shared" si="98"/>
        <v/>
      </c>
      <c r="U644" s="212" t="str">
        <f t="shared" si="99"/>
        <v/>
      </c>
    </row>
    <row r="645" spans="2:21" x14ac:dyDescent="0.25">
      <c r="B645" s="241" t="str">
        <f>IF(Contagem!B643=0,"",Contagem!B643)</f>
        <v/>
      </c>
      <c r="C645" s="242" t="str">
        <f>IF(Contagem!T643 &gt; 0,Contagem!T643,"")</f>
        <v/>
      </c>
      <c r="D645" s="207"/>
      <c r="E645" s="211" t="str">
        <f t="shared" si="90"/>
        <v/>
      </c>
      <c r="F645" s="207"/>
      <c r="G645" s="211" t="str">
        <f t="shared" si="91"/>
        <v/>
      </c>
      <c r="H645" s="207"/>
      <c r="I645" s="211" t="str">
        <f t="shared" si="92"/>
        <v/>
      </c>
      <c r="J645" s="207"/>
      <c r="K645" s="211" t="str">
        <f t="shared" si="93"/>
        <v/>
      </c>
      <c r="L645" s="207"/>
      <c r="M645" s="211" t="str">
        <f t="shared" si="94"/>
        <v/>
      </c>
      <c r="N645" s="207"/>
      <c r="O645" s="211" t="str">
        <f t="shared" si="95"/>
        <v/>
      </c>
      <c r="P645" s="207"/>
      <c r="Q645" s="211" t="str">
        <f t="shared" si="96"/>
        <v/>
      </c>
      <c r="R645" s="207"/>
      <c r="S645" s="211" t="str">
        <f t="shared" si="97"/>
        <v/>
      </c>
      <c r="T645" s="272" t="str">
        <f t="shared" si="98"/>
        <v/>
      </c>
      <c r="U645" s="212" t="str">
        <f t="shared" si="99"/>
        <v/>
      </c>
    </row>
    <row r="646" spans="2:21" x14ac:dyDescent="0.25">
      <c r="B646" s="241" t="str">
        <f>IF(Contagem!B644=0,"",Contagem!B644)</f>
        <v/>
      </c>
      <c r="C646" s="242" t="str">
        <f>IF(Contagem!T644 &gt; 0,Contagem!T644,"")</f>
        <v/>
      </c>
      <c r="D646" s="207"/>
      <c r="E646" s="211" t="str">
        <f t="shared" si="90"/>
        <v/>
      </c>
      <c r="F646" s="207"/>
      <c r="G646" s="211" t="str">
        <f t="shared" si="91"/>
        <v/>
      </c>
      <c r="H646" s="207"/>
      <c r="I646" s="211" t="str">
        <f t="shared" si="92"/>
        <v/>
      </c>
      <c r="J646" s="207"/>
      <c r="K646" s="211" t="str">
        <f t="shared" si="93"/>
        <v/>
      </c>
      <c r="L646" s="207"/>
      <c r="M646" s="211" t="str">
        <f t="shared" si="94"/>
        <v/>
      </c>
      <c r="N646" s="207"/>
      <c r="O646" s="211" t="str">
        <f t="shared" si="95"/>
        <v/>
      </c>
      <c r="P646" s="207"/>
      <c r="Q646" s="211" t="str">
        <f t="shared" si="96"/>
        <v/>
      </c>
      <c r="R646" s="207"/>
      <c r="S646" s="211" t="str">
        <f t="shared" si="97"/>
        <v/>
      </c>
      <c r="T646" s="272" t="str">
        <f t="shared" si="98"/>
        <v/>
      </c>
      <c r="U646" s="212" t="str">
        <f t="shared" si="99"/>
        <v/>
      </c>
    </row>
    <row r="647" spans="2:21" x14ac:dyDescent="0.25">
      <c r="B647" s="241" t="str">
        <f>IF(Contagem!B645=0,"",Contagem!B645)</f>
        <v/>
      </c>
      <c r="C647" s="242" t="str">
        <f>IF(Contagem!T645 &gt; 0,Contagem!T645,"")</f>
        <v/>
      </c>
      <c r="D647" s="207"/>
      <c r="E647" s="211" t="str">
        <f t="shared" ref="E647:E710" si="100">IFERROR(IF(AND($D$4&lt;&gt; 0,D647="Sim", $C647 &gt; 0),$C647*$D$4,""),0)</f>
        <v/>
      </c>
      <c r="F647" s="207"/>
      <c r="G647" s="211" t="str">
        <f t="shared" ref="G647:G710" si="101">IFERROR(IF(AND($F$4&lt;&gt; 0,F647="Sim", $C647 &gt; 0),$C647*$F$4,""),0)</f>
        <v/>
      </c>
      <c r="H647" s="207"/>
      <c r="I647" s="211" t="str">
        <f t="shared" ref="I647:I710" si="102">IFERROR(IF(AND($H$4&lt;&gt; 0,H647="Sim", $C647 &gt; 0),$C647*$H$4,""),0)</f>
        <v/>
      </c>
      <c r="J647" s="207"/>
      <c r="K647" s="211" t="str">
        <f t="shared" ref="K647:K710" si="103">IFERROR(IF(AND($J$4&lt;&gt; 0,J647="Sim", $C647 &gt; 0),$C647*$J$4,""),0)</f>
        <v/>
      </c>
      <c r="L647" s="207"/>
      <c r="M647" s="211" t="str">
        <f t="shared" ref="M647:M710" si="104">IFERROR(IF(AND($L$4&lt;&gt; 0,L647="Sim", $C647 &gt; 0),$C647*$L$4,""),0)</f>
        <v/>
      </c>
      <c r="N647" s="207"/>
      <c r="O647" s="211" t="str">
        <f t="shared" ref="O647:O710" si="105">IFERROR(IF(AND($N$4&lt;&gt; 0,N647="Sim", $C647 &gt; 0),$C647*$N$4,""),0)</f>
        <v/>
      </c>
      <c r="P647" s="207"/>
      <c r="Q647" s="211" t="str">
        <f t="shared" ref="Q647:Q710" si="106">IFERROR(IF(AND($P$4&lt;&gt; 0,P647="Sim", $C647 &gt; 0),$C647*$P$4,""),0)</f>
        <v/>
      </c>
      <c r="R647" s="207"/>
      <c r="S647" s="211" t="str">
        <f t="shared" ref="S647:S710" si="107">IFERROR(IF(AND($R$4&lt;&gt; 0,R647="Sim", $C647 &gt; 0),$C647*$R$4,""),0)</f>
        <v/>
      </c>
      <c r="T647" s="272" t="str">
        <f t="shared" ref="T647:T710" si="108">IFERROR(U647/C647,"")</f>
        <v/>
      </c>
      <c r="U647" s="212" t="str">
        <f t="shared" ref="U647:U710" si="109">IF(SUM(E647,G647,I647,K647,M647,O647,Q647,S647) &gt; 0,SUM(E647,G647,I647,K647,M647,O647,Q647,S647),"")</f>
        <v/>
      </c>
    </row>
    <row r="648" spans="2:21" x14ac:dyDescent="0.25">
      <c r="B648" s="241" t="str">
        <f>IF(Contagem!B646=0,"",Contagem!B646)</f>
        <v/>
      </c>
      <c r="C648" s="242" t="str">
        <f>IF(Contagem!T646 &gt; 0,Contagem!T646,"")</f>
        <v/>
      </c>
      <c r="D648" s="207"/>
      <c r="E648" s="211" t="str">
        <f t="shared" si="100"/>
        <v/>
      </c>
      <c r="F648" s="207"/>
      <c r="G648" s="211" t="str">
        <f t="shared" si="101"/>
        <v/>
      </c>
      <c r="H648" s="207"/>
      <c r="I648" s="211" t="str">
        <f t="shared" si="102"/>
        <v/>
      </c>
      <c r="J648" s="207"/>
      <c r="K648" s="211" t="str">
        <f t="shared" si="103"/>
        <v/>
      </c>
      <c r="L648" s="207"/>
      <c r="M648" s="211" t="str">
        <f t="shared" si="104"/>
        <v/>
      </c>
      <c r="N648" s="207"/>
      <c r="O648" s="211" t="str">
        <f t="shared" si="105"/>
        <v/>
      </c>
      <c r="P648" s="207"/>
      <c r="Q648" s="211" t="str">
        <f t="shared" si="106"/>
        <v/>
      </c>
      <c r="R648" s="207"/>
      <c r="S648" s="211" t="str">
        <f t="shared" si="107"/>
        <v/>
      </c>
      <c r="T648" s="272" t="str">
        <f t="shared" si="108"/>
        <v/>
      </c>
      <c r="U648" s="212" t="str">
        <f t="shared" si="109"/>
        <v/>
      </c>
    </row>
    <row r="649" spans="2:21" x14ac:dyDescent="0.25">
      <c r="B649" s="241" t="str">
        <f>IF(Contagem!B647=0,"",Contagem!B647)</f>
        <v/>
      </c>
      <c r="C649" s="242" t="str">
        <f>IF(Contagem!T647 &gt; 0,Contagem!T647,"")</f>
        <v/>
      </c>
      <c r="D649" s="207"/>
      <c r="E649" s="211" t="str">
        <f t="shared" si="100"/>
        <v/>
      </c>
      <c r="F649" s="207"/>
      <c r="G649" s="211" t="str">
        <f t="shared" si="101"/>
        <v/>
      </c>
      <c r="H649" s="207"/>
      <c r="I649" s="211" t="str">
        <f t="shared" si="102"/>
        <v/>
      </c>
      <c r="J649" s="207"/>
      <c r="K649" s="211" t="str">
        <f t="shared" si="103"/>
        <v/>
      </c>
      <c r="L649" s="207"/>
      <c r="M649" s="211" t="str">
        <f t="shared" si="104"/>
        <v/>
      </c>
      <c r="N649" s="207"/>
      <c r="O649" s="211" t="str">
        <f t="shared" si="105"/>
        <v/>
      </c>
      <c r="P649" s="207"/>
      <c r="Q649" s="211" t="str">
        <f t="shared" si="106"/>
        <v/>
      </c>
      <c r="R649" s="207"/>
      <c r="S649" s="211" t="str">
        <f t="shared" si="107"/>
        <v/>
      </c>
      <c r="T649" s="272" t="str">
        <f t="shared" si="108"/>
        <v/>
      </c>
      <c r="U649" s="212" t="str">
        <f t="shared" si="109"/>
        <v/>
      </c>
    </row>
    <row r="650" spans="2:21" x14ac:dyDescent="0.25">
      <c r="B650" s="241" t="str">
        <f>IF(Contagem!B648=0,"",Contagem!B648)</f>
        <v/>
      </c>
      <c r="C650" s="242" t="str">
        <f>IF(Contagem!T648 &gt; 0,Contagem!T648,"")</f>
        <v/>
      </c>
      <c r="D650" s="207"/>
      <c r="E650" s="211" t="str">
        <f t="shared" si="100"/>
        <v/>
      </c>
      <c r="F650" s="207"/>
      <c r="G650" s="211" t="str">
        <f t="shared" si="101"/>
        <v/>
      </c>
      <c r="H650" s="207"/>
      <c r="I650" s="211" t="str">
        <f t="shared" si="102"/>
        <v/>
      </c>
      <c r="J650" s="207"/>
      <c r="K650" s="211" t="str">
        <f t="shared" si="103"/>
        <v/>
      </c>
      <c r="L650" s="207"/>
      <c r="M650" s="211" t="str">
        <f t="shared" si="104"/>
        <v/>
      </c>
      <c r="N650" s="207"/>
      <c r="O650" s="211" t="str">
        <f t="shared" si="105"/>
        <v/>
      </c>
      <c r="P650" s="207"/>
      <c r="Q650" s="211" t="str">
        <f t="shared" si="106"/>
        <v/>
      </c>
      <c r="R650" s="207"/>
      <c r="S650" s="211" t="str">
        <f t="shared" si="107"/>
        <v/>
      </c>
      <c r="T650" s="272" t="str">
        <f t="shared" si="108"/>
        <v/>
      </c>
      <c r="U650" s="212" t="str">
        <f t="shared" si="109"/>
        <v/>
      </c>
    </row>
    <row r="651" spans="2:21" x14ac:dyDescent="0.25">
      <c r="B651" s="241" t="str">
        <f>IF(Contagem!B649=0,"",Contagem!B649)</f>
        <v/>
      </c>
      <c r="C651" s="242" t="str">
        <f>IF(Contagem!T649 &gt; 0,Contagem!T649,"")</f>
        <v/>
      </c>
      <c r="D651" s="207"/>
      <c r="E651" s="211" t="str">
        <f t="shared" si="100"/>
        <v/>
      </c>
      <c r="F651" s="207"/>
      <c r="G651" s="211" t="str">
        <f t="shared" si="101"/>
        <v/>
      </c>
      <c r="H651" s="207"/>
      <c r="I651" s="211" t="str">
        <f t="shared" si="102"/>
        <v/>
      </c>
      <c r="J651" s="207"/>
      <c r="K651" s="211" t="str">
        <f t="shared" si="103"/>
        <v/>
      </c>
      <c r="L651" s="207"/>
      <c r="M651" s="211" t="str">
        <f t="shared" si="104"/>
        <v/>
      </c>
      <c r="N651" s="207"/>
      <c r="O651" s="211" t="str">
        <f t="shared" si="105"/>
        <v/>
      </c>
      <c r="P651" s="207"/>
      <c r="Q651" s="211" t="str">
        <f t="shared" si="106"/>
        <v/>
      </c>
      <c r="R651" s="207"/>
      <c r="S651" s="211" t="str">
        <f t="shared" si="107"/>
        <v/>
      </c>
      <c r="T651" s="272" t="str">
        <f t="shared" si="108"/>
        <v/>
      </c>
      <c r="U651" s="212" t="str">
        <f t="shared" si="109"/>
        <v/>
      </c>
    </row>
    <row r="652" spans="2:21" x14ac:dyDescent="0.25">
      <c r="B652" s="241" t="str">
        <f>IF(Contagem!B650=0,"",Contagem!B650)</f>
        <v/>
      </c>
      <c r="C652" s="242" t="str">
        <f>IF(Contagem!T650 &gt; 0,Contagem!T650,"")</f>
        <v/>
      </c>
      <c r="D652" s="207"/>
      <c r="E652" s="211" t="str">
        <f t="shared" si="100"/>
        <v/>
      </c>
      <c r="F652" s="207"/>
      <c r="G652" s="211" t="str">
        <f t="shared" si="101"/>
        <v/>
      </c>
      <c r="H652" s="207"/>
      <c r="I652" s="211" t="str">
        <f t="shared" si="102"/>
        <v/>
      </c>
      <c r="J652" s="207"/>
      <c r="K652" s="211" t="str">
        <f t="shared" si="103"/>
        <v/>
      </c>
      <c r="L652" s="207"/>
      <c r="M652" s="211" t="str">
        <f t="shared" si="104"/>
        <v/>
      </c>
      <c r="N652" s="207"/>
      <c r="O652" s="211" t="str">
        <f t="shared" si="105"/>
        <v/>
      </c>
      <c r="P652" s="207"/>
      <c r="Q652" s="211" t="str">
        <f t="shared" si="106"/>
        <v/>
      </c>
      <c r="R652" s="207"/>
      <c r="S652" s="211" t="str">
        <f t="shared" si="107"/>
        <v/>
      </c>
      <c r="T652" s="272" t="str">
        <f t="shared" si="108"/>
        <v/>
      </c>
      <c r="U652" s="212" t="str">
        <f t="shared" si="109"/>
        <v/>
      </c>
    </row>
    <row r="653" spans="2:21" x14ac:dyDescent="0.25">
      <c r="B653" s="241" t="str">
        <f>IF(Contagem!B651=0,"",Contagem!B651)</f>
        <v/>
      </c>
      <c r="C653" s="242" t="str">
        <f>IF(Contagem!T651 &gt; 0,Contagem!T651,"")</f>
        <v/>
      </c>
      <c r="D653" s="207"/>
      <c r="E653" s="211" t="str">
        <f t="shared" si="100"/>
        <v/>
      </c>
      <c r="F653" s="207"/>
      <c r="G653" s="211" t="str">
        <f t="shared" si="101"/>
        <v/>
      </c>
      <c r="H653" s="207"/>
      <c r="I653" s="211" t="str">
        <f t="shared" si="102"/>
        <v/>
      </c>
      <c r="J653" s="207"/>
      <c r="K653" s="211" t="str">
        <f t="shared" si="103"/>
        <v/>
      </c>
      <c r="L653" s="207"/>
      <c r="M653" s="211" t="str">
        <f t="shared" si="104"/>
        <v/>
      </c>
      <c r="N653" s="207"/>
      <c r="O653" s="211" t="str">
        <f t="shared" si="105"/>
        <v/>
      </c>
      <c r="P653" s="207"/>
      <c r="Q653" s="211" t="str">
        <f t="shared" si="106"/>
        <v/>
      </c>
      <c r="R653" s="207"/>
      <c r="S653" s="211" t="str">
        <f t="shared" si="107"/>
        <v/>
      </c>
      <c r="T653" s="272" t="str">
        <f t="shared" si="108"/>
        <v/>
      </c>
      <c r="U653" s="212" t="str">
        <f t="shared" si="109"/>
        <v/>
      </c>
    </row>
    <row r="654" spans="2:21" x14ac:dyDescent="0.25">
      <c r="B654" s="241" t="str">
        <f>IF(Contagem!B652=0,"",Contagem!B652)</f>
        <v/>
      </c>
      <c r="C654" s="242" t="str">
        <f>IF(Contagem!T652 &gt; 0,Contagem!T652,"")</f>
        <v/>
      </c>
      <c r="D654" s="207"/>
      <c r="E654" s="211" t="str">
        <f t="shared" si="100"/>
        <v/>
      </c>
      <c r="F654" s="207"/>
      <c r="G654" s="211" t="str">
        <f t="shared" si="101"/>
        <v/>
      </c>
      <c r="H654" s="207"/>
      <c r="I654" s="211" t="str">
        <f t="shared" si="102"/>
        <v/>
      </c>
      <c r="J654" s="207"/>
      <c r="K654" s="211" t="str">
        <f t="shared" si="103"/>
        <v/>
      </c>
      <c r="L654" s="207"/>
      <c r="M654" s="211" t="str">
        <f t="shared" si="104"/>
        <v/>
      </c>
      <c r="N654" s="207"/>
      <c r="O654" s="211" t="str">
        <f t="shared" si="105"/>
        <v/>
      </c>
      <c r="P654" s="207"/>
      <c r="Q654" s="211" t="str">
        <f t="shared" si="106"/>
        <v/>
      </c>
      <c r="R654" s="207"/>
      <c r="S654" s="211" t="str">
        <f t="shared" si="107"/>
        <v/>
      </c>
      <c r="T654" s="272" t="str">
        <f t="shared" si="108"/>
        <v/>
      </c>
      <c r="U654" s="212" t="str">
        <f t="shared" si="109"/>
        <v/>
      </c>
    </row>
    <row r="655" spans="2:21" x14ac:dyDescent="0.25">
      <c r="B655" s="241" t="str">
        <f>IF(Contagem!B653=0,"",Contagem!B653)</f>
        <v/>
      </c>
      <c r="C655" s="242" t="str">
        <f>IF(Contagem!T653 &gt; 0,Contagem!T653,"")</f>
        <v/>
      </c>
      <c r="D655" s="207"/>
      <c r="E655" s="211" t="str">
        <f t="shared" si="100"/>
        <v/>
      </c>
      <c r="F655" s="207"/>
      <c r="G655" s="211" t="str">
        <f t="shared" si="101"/>
        <v/>
      </c>
      <c r="H655" s="207"/>
      <c r="I655" s="211" t="str">
        <f t="shared" si="102"/>
        <v/>
      </c>
      <c r="J655" s="207"/>
      <c r="K655" s="211" t="str">
        <f t="shared" si="103"/>
        <v/>
      </c>
      <c r="L655" s="207"/>
      <c r="M655" s="211" t="str">
        <f t="shared" si="104"/>
        <v/>
      </c>
      <c r="N655" s="207"/>
      <c r="O655" s="211" t="str">
        <f t="shared" si="105"/>
        <v/>
      </c>
      <c r="P655" s="207"/>
      <c r="Q655" s="211" t="str">
        <f t="shared" si="106"/>
        <v/>
      </c>
      <c r="R655" s="207"/>
      <c r="S655" s="211" t="str">
        <f t="shared" si="107"/>
        <v/>
      </c>
      <c r="T655" s="272" t="str">
        <f t="shared" si="108"/>
        <v/>
      </c>
      <c r="U655" s="212" t="str">
        <f t="shared" si="109"/>
        <v/>
      </c>
    </row>
    <row r="656" spans="2:21" x14ac:dyDescent="0.25">
      <c r="B656" s="241" t="str">
        <f>IF(Contagem!B654=0,"",Contagem!B654)</f>
        <v/>
      </c>
      <c r="C656" s="242" t="str">
        <f>IF(Contagem!T654 &gt; 0,Contagem!T654,"")</f>
        <v/>
      </c>
      <c r="D656" s="207"/>
      <c r="E656" s="211" t="str">
        <f t="shared" si="100"/>
        <v/>
      </c>
      <c r="F656" s="207"/>
      <c r="G656" s="211" t="str">
        <f t="shared" si="101"/>
        <v/>
      </c>
      <c r="H656" s="207"/>
      <c r="I656" s="211" t="str">
        <f t="shared" si="102"/>
        <v/>
      </c>
      <c r="J656" s="207"/>
      <c r="K656" s="211" t="str">
        <f t="shared" si="103"/>
        <v/>
      </c>
      <c r="L656" s="207"/>
      <c r="M656" s="211" t="str">
        <f t="shared" si="104"/>
        <v/>
      </c>
      <c r="N656" s="207"/>
      <c r="O656" s="211" t="str">
        <f t="shared" si="105"/>
        <v/>
      </c>
      <c r="P656" s="207"/>
      <c r="Q656" s="211" t="str">
        <f t="shared" si="106"/>
        <v/>
      </c>
      <c r="R656" s="207"/>
      <c r="S656" s="211" t="str">
        <f t="shared" si="107"/>
        <v/>
      </c>
      <c r="T656" s="272" t="str">
        <f t="shared" si="108"/>
        <v/>
      </c>
      <c r="U656" s="212" t="str">
        <f t="shared" si="109"/>
        <v/>
      </c>
    </row>
    <row r="657" spans="2:21" x14ac:dyDescent="0.25">
      <c r="B657" s="241" t="str">
        <f>IF(Contagem!B655=0,"",Contagem!B655)</f>
        <v/>
      </c>
      <c r="C657" s="242" t="str">
        <f>IF(Contagem!T655 &gt; 0,Contagem!T655,"")</f>
        <v/>
      </c>
      <c r="D657" s="207"/>
      <c r="E657" s="211" t="str">
        <f t="shared" si="100"/>
        <v/>
      </c>
      <c r="F657" s="207"/>
      <c r="G657" s="211" t="str">
        <f t="shared" si="101"/>
        <v/>
      </c>
      <c r="H657" s="207"/>
      <c r="I657" s="211" t="str">
        <f t="shared" si="102"/>
        <v/>
      </c>
      <c r="J657" s="207"/>
      <c r="K657" s="211" t="str">
        <f t="shared" si="103"/>
        <v/>
      </c>
      <c r="L657" s="207"/>
      <c r="M657" s="211" t="str">
        <f t="shared" si="104"/>
        <v/>
      </c>
      <c r="N657" s="207"/>
      <c r="O657" s="211" t="str">
        <f t="shared" si="105"/>
        <v/>
      </c>
      <c r="P657" s="207"/>
      <c r="Q657" s="211" t="str">
        <f t="shared" si="106"/>
        <v/>
      </c>
      <c r="R657" s="207"/>
      <c r="S657" s="211" t="str">
        <f t="shared" si="107"/>
        <v/>
      </c>
      <c r="T657" s="272" t="str">
        <f t="shared" si="108"/>
        <v/>
      </c>
      <c r="U657" s="212" t="str">
        <f t="shared" si="109"/>
        <v/>
      </c>
    </row>
    <row r="658" spans="2:21" x14ac:dyDescent="0.25">
      <c r="B658" s="241" t="str">
        <f>IF(Contagem!B656=0,"",Contagem!B656)</f>
        <v/>
      </c>
      <c r="C658" s="242" t="str">
        <f>IF(Contagem!T656 &gt; 0,Contagem!T656,"")</f>
        <v/>
      </c>
      <c r="D658" s="207"/>
      <c r="E658" s="211" t="str">
        <f t="shared" si="100"/>
        <v/>
      </c>
      <c r="F658" s="207"/>
      <c r="G658" s="211" t="str">
        <f t="shared" si="101"/>
        <v/>
      </c>
      <c r="H658" s="207"/>
      <c r="I658" s="211" t="str">
        <f t="shared" si="102"/>
        <v/>
      </c>
      <c r="J658" s="207"/>
      <c r="K658" s="211" t="str">
        <f t="shared" si="103"/>
        <v/>
      </c>
      <c r="L658" s="207"/>
      <c r="M658" s="211" t="str">
        <f t="shared" si="104"/>
        <v/>
      </c>
      <c r="N658" s="207"/>
      <c r="O658" s="211" t="str">
        <f t="shared" si="105"/>
        <v/>
      </c>
      <c r="P658" s="207"/>
      <c r="Q658" s="211" t="str">
        <f t="shared" si="106"/>
        <v/>
      </c>
      <c r="R658" s="207"/>
      <c r="S658" s="211" t="str">
        <f t="shared" si="107"/>
        <v/>
      </c>
      <c r="T658" s="272" t="str">
        <f t="shared" si="108"/>
        <v/>
      </c>
      <c r="U658" s="212" t="str">
        <f t="shared" si="109"/>
        <v/>
      </c>
    </row>
    <row r="659" spans="2:21" x14ac:dyDescent="0.25">
      <c r="B659" s="241" t="str">
        <f>IF(Contagem!B657=0,"",Contagem!B657)</f>
        <v/>
      </c>
      <c r="C659" s="242" t="str">
        <f>IF(Contagem!T657 &gt; 0,Contagem!T657,"")</f>
        <v/>
      </c>
      <c r="D659" s="207"/>
      <c r="E659" s="211" t="str">
        <f t="shared" si="100"/>
        <v/>
      </c>
      <c r="F659" s="207"/>
      <c r="G659" s="211" t="str">
        <f t="shared" si="101"/>
        <v/>
      </c>
      <c r="H659" s="207"/>
      <c r="I659" s="211" t="str">
        <f t="shared" si="102"/>
        <v/>
      </c>
      <c r="J659" s="207"/>
      <c r="K659" s="211" t="str">
        <f t="shared" si="103"/>
        <v/>
      </c>
      <c r="L659" s="207"/>
      <c r="M659" s="211" t="str">
        <f t="shared" si="104"/>
        <v/>
      </c>
      <c r="N659" s="207"/>
      <c r="O659" s="211" t="str">
        <f t="shared" si="105"/>
        <v/>
      </c>
      <c r="P659" s="207"/>
      <c r="Q659" s="211" t="str">
        <f t="shared" si="106"/>
        <v/>
      </c>
      <c r="R659" s="207"/>
      <c r="S659" s="211" t="str">
        <f t="shared" si="107"/>
        <v/>
      </c>
      <c r="T659" s="272" t="str">
        <f t="shared" si="108"/>
        <v/>
      </c>
      <c r="U659" s="212" t="str">
        <f t="shared" si="109"/>
        <v/>
      </c>
    </row>
    <row r="660" spans="2:21" x14ac:dyDescent="0.25">
      <c r="B660" s="241" t="str">
        <f>IF(Contagem!B658=0,"",Contagem!B658)</f>
        <v/>
      </c>
      <c r="C660" s="242" t="str">
        <f>IF(Contagem!T658 &gt; 0,Contagem!T658,"")</f>
        <v/>
      </c>
      <c r="D660" s="207"/>
      <c r="E660" s="211" t="str">
        <f t="shared" si="100"/>
        <v/>
      </c>
      <c r="F660" s="207"/>
      <c r="G660" s="211" t="str">
        <f t="shared" si="101"/>
        <v/>
      </c>
      <c r="H660" s="207"/>
      <c r="I660" s="211" t="str">
        <f t="shared" si="102"/>
        <v/>
      </c>
      <c r="J660" s="207"/>
      <c r="K660" s="211" t="str">
        <f t="shared" si="103"/>
        <v/>
      </c>
      <c r="L660" s="207"/>
      <c r="M660" s="211" t="str">
        <f t="shared" si="104"/>
        <v/>
      </c>
      <c r="N660" s="207"/>
      <c r="O660" s="211" t="str">
        <f t="shared" si="105"/>
        <v/>
      </c>
      <c r="P660" s="207"/>
      <c r="Q660" s="211" t="str">
        <f t="shared" si="106"/>
        <v/>
      </c>
      <c r="R660" s="207"/>
      <c r="S660" s="211" t="str">
        <f t="shared" si="107"/>
        <v/>
      </c>
      <c r="T660" s="272" t="str">
        <f t="shared" si="108"/>
        <v/>
      </c>
      <c r="U660" s="212" t="str">
        <f t="shared" si="109"/>
        <v/>
      </c>
    </row>
    <row r="661" spans="2:21" x14ac:dyDescent="0.25">
      <c r="B661" s="241" t="str">
        <f>IF(Contagem!B659=0,"",Contagem!B659)</f>
        <v/>
      </c>
      <c r="C661" s="242" t="str">
        <f>IF(Contagem!T659 &gt; 0,Contagem!T659,"")</f>
        <v/>
      </c>
      <c r="D661" s="207"/>
      <c r="E661" s="211" t="str">
        <f t="shared" si="100"/>
        <v/>
      </c>
      <c r="F661" s="207"/>
      <c r="G661" s="211" t="str">
        <f t="shared" si="101"/>
        <v/>
      </c>
      <c r="H661" s="207"/>
      <c r="I661" s="211" t="str">
        <f t="shared" si="102"/>
        <v/>
      </c>
      <c r="J661" s="207"/>
      <c r="K661" s="211" t="str">
        <f t="shared" si="103"/>
        <v/>
      </c>
      <c r="L661" s="207"/>
      <c r="M661" s="211" t="str">
        <f t="shared" si="104"/>
        <v/>
      </c>
      <c r="N661" s="207"/>
      <c r="O661" s="211" t="str">
        <f t="shared" si="105"/>
        <v/>
      </c>
      <c r="P661" s="207"/>
      <c r="Q661" s="211" t="str">
        <f t="shared" si="106"/>
        <v/>
      </c>
      <c r="R661" s="207"/>
      <c r="S661" s="211" t="str">
        <f t="shared" si="107"/>
        <v/>
      </c>
      <c r="T661" s="272" t="str">
        <f t="shared" si="108"/>
        <v/>
      </c>
      <c r="U661" s="212" t="str">
        <f t="shared" si="109"/>
        <v/>
      </c>
    </row>
    <row r="662" spans="2:21" x14ac:dyDescent="0.25">
      <c r="B662" s="241" t="str">
        <f>IF(Contagem!B660=0,"",Contagem!B660)</f>
        <v/>
      </c>
      <c r="C662" s="242" t="str">
        <f>IF(Contagem!T660 &gt; 0,Contagem!T660,"")</f>
        <v/>
      </c>
      <c r="D662" s="207"/>
      <c r="E662" s="211" t="str">
        <f t="shared" si="100"/>
        <v/>
      </c>
      <c r="F662" s="207"/>
      <c r="G662" s="211" t="str">
        <f t="shared" si="101"/>
        <v/>
      </c>
      <c r="H662" s="207"/>
      <c r="I662" s="211" t="str">
        <f t="shared" si="102"/>
        <v/>
      </c>
      <c r="J662" s="207"/>
      <c r="K662" s="211" t="str">
        <f t="shared" si="103"/>
        <v/>
      </c>
      <c r="L662" s="207"/>
      <c r="M662" s="211" t="str">
        <f t="shared" si="104"/>
        <v/>
      </c>
      <c r="N662" s="207"/>
      <c r="O662" s="211" t="str">
        <f t="shared" si="105"/>
        <v/>
      </c>
      <c r="P662" s="207"/>
      <c r="Q662" s="211" t="str">
        <f t="shared" si="106"/>
        <v/>
      </c>
      <c r="R662" s="207"/>
      <c r="S662" s="211" t="str">
        <f t="shared" si="107"/>
        <v/>
      </c>
      <c r="T662" s="272" t="str">
        <f t="shared" si="108"/>
        <v/>
      </c>
      <c r="U662" s="212" t="str">
        <f t="shared" si="109"/>
        <v/>
      </c>
    </row>
    <row r="663" spans="2:21" x14ac:dyDescent="0.25">
      <c r="B663" s="241" t="str">
        <f>IF(Contagem!B661=0,"",Contagem!B661)</f>
        <v/>
      </c>
      <c r="C663" s="242" t="str">
        <f>IF(Contagem!T661 &gt; 0,Contagem!T661,"")</f>
        <v/>
      </c>
      <c r="D663" s="207"/>
      <c r="E663" s="211" t="str">
        <f t="shared" si="100"/>
        <v/>
      </c>
      <c r="F663" s="207"/>
      <c r="G663" s="211" t="str">
        <f t="shared" si="101"/>
        <v/>
      </c>
      <c r="H663" s="207"/>
      <c r="I663" s="211" t="str">
        <f t="shared" si="102"/>
        <v/>
      </c>
      <c r="J663" s="207"/>
      <c r="K663" s="211" t="str">
        <f t="shared" si="103"/>
        <v/>
      </c>
      <c r="L663" s="207"/>
      <c r="M663" s="211" t="str">
        <f t="shared" si="104"/>
        <v/>
      </c>
      <c r="N663" s="207"/>
      <c r="O663" s="211" t="str">
        <f t="shared" si="105"/>
        <v/>
      </c>
      <c r="P663" s="207"/>
      <c r="Q663" s="211" t="str">
        <f t="shared" si="106"/>
        <v/>
      </c>
      <c r="R663" s="207"/>
      <c r="S663" s="211" t="str">
        <f t="shared" si="107"/>
        <v/>
      </c>
      <c r="T663" s="272" t="str">
        <f t="shared" si="108"/>
        <v/>
      </c>
      <c r="U663" s="212" t="str">
        <f t="shared" si="109"/>
        <v/>
      </c>
    </row>
    <row r="664" spans="2:21" x14ac:dyDescent="0.25">
      <c r="B664" s="241" t="str">
        <f>IF(Contagem!B662=0,"",Contagem!B662)</f>
        <v/>
      </c>
      <c r="C664" s="242" t="str">
        <f>IF(Contagem!T662 &gt; 0,Contagem!T662,"")</f>
        <v/>
      </c>
      <c r="D664" s="207"/>
      <c r="E664" s="211" t="str">
        <f t="shared" si="100"/>
        <v/>
      </c>
      <c r="F664" s="207"/>
      <c r="G664" s="211" t="str">
        <f t="shared" si="101"/>
        <v/>
      </c>
      <c r="H664" s="207"/>
      <c r="I664" s="211" t="str">
        <f t="shared" si="102"/>
        <v/>
      </c>
      <c r="J664" s="207"/>
      <c r="K664" s="211" t="str">
        <f t="shared" si="103"/>
        <v/>
      </c>
      <c r="L664" s="207"/>
      <c r="M664" s="211" t="str">
        <f t="shared" si="104"/>
        <v/>
      </c>
      <c r="N664" s="207"/>
      <c r="O664" s="211" t="str">
        <f t="shared" si="105"/>
        <v/>
      </c>
      <c r="P664" s="207"/>
      <c r="Q664" s="211" t="str">
        <f t="shared" si="106"/>
        <v/>
      </c>
      <c r="R664" s="207"/>
      <c r="S664" s="211" t="str">
        <f t="shared" si="107"/>
        <v/>
      </c>
      <c r="T664" s="272" t="str">
        <f t="shared" si="108"/>
        <v/>
      </c>
      <c r="U664" s="212" t="str">
        <f t="shared" si="109"/>
        <v/>
      </c>
    </row>
    <row r="665" spans="2:21" x14ac:dyDescent="0.25">
      <c r="B665" s="241" t="str">
        <f>IF(Contagem!B663=0,"",Contagem!B663)</f>
        <v/>
      </c>
      <c r="C665" s="242" t="str">
        <f>IF(Contagem!T663 &gt; 0,Contagem!T663,"")</f>
        <v/>
      </c>
      <c r="D665" s="207"/>
      <c r="E665" s="211" t="str">
        <f t="shared" si="100"/>
        <v/>
      </c>
      <c r="F665" s="207"/>
      <c r="G665" s="211" t="str">
        <f t="shared" si="101"/>
        <v/>
      </c>
      <c r="H665" s="207"/>
      <c r="I665" s="211" t="str">
        <f t="shared" si="102"/>
        <v/>
      </c>
      <c r="J665" s="207"/>
      <c r="K665" s="211" t="str">
        <f t="shared" si="103"/>
        <v/>
      </c>
      <c r="L665" s="207"/>
      <c r="M665" s="211" t="str">
        <f t="shared" si="104"/>
        <v/>
      </c>
      <c r="N665" s="207"/>
      <c r="O665" s="211" t="str">
        <f t="shared" si="105"/>
        <v/>
      </c>
      <c r="P665" s="207"/>
      <c r="Q665" s="211" t="str">
        <f t="shared" si="106"/>
        <v/>
      </c>
      <c r="R665" s="207"/>
      <c r="S665" s="211" t="str">
        <f t="shared" si="107"/>
        <v/>
      </c>
      <c r="T665" s="272" t="str">
        <f t="shared" si="108"/>
        <v/>
      </c>
      <c r="U665" s="212" t="str">
        <f t="shared" si="109"/>
        <v/>
      </c>
    </row>
    <row r="666" spans="2:21" x14ac:dyDescent="0.25">
      <c r="B666" s="241" t="str">
        <f>IF(Contagem!B664=0,"",Contagem!B664)</f>
        <v/>
      </c>
      <c r="C666" s="242" t="str">
        <f>IF(Contagem!T664 &gt; 0,Contagem!T664,"")</f>
        <v/>
      </c>
      <c r="D666" s="207"/>
      <c r="E666" s="211" t="str">
        <f t="shared" si="100"/>
        <v/>
      </c>
      <c r="F666" s="207"/>
      <c r="G666" s="211" t="str">
        <f t="shared" si="101"/>
        <v/>
      </c>
      <c r="H666" s="207"/>
      <c r="I666" s="211" t="str">
        <f t="shared" si="102"/>
        <v/>
      </c>
      <c r="J666" s="207"/>
      <c r="K666" s="211" t="str">
        <f t="shared" si="103"/>
        <v/>
      </c>
      <c r="L666" s="207"/>
      <c r="M666" s="211" t="str">
        <f t="shared" si="104"/>
        <v/>
      </c>
      <c r="N666" s="207"/>
      <c r="O666" s="211" t="str">
        <f t="shared" si="105"/>
        <v/>
      </c>
      <c r="P666" s="207"/>
      <c r="Q666" s="211" t="str">
        <f t="shared" si="106"/>
        <v/>
      </c>
      <c r="R666" s="207"/>
      <c r="S666" s="211" t="str">
        <f t="shared" si="107"/>
        <v/>
      </c>
      <c r="T666" s="272" t="str">
        <f t="shared" si="108"/>
        <v/>
      </c>
      <c r="U666" s="212" t="str">
        <f t="shared" si="109"/>
        <v/>
      </c>
    </row>
    <row r="667" spans="2:21" x14ac:dyDescent="0.25">
      <c r="B667" s="241" t="str">
        <f>IF(Contagem!B665=0,"",Contagem!B665)</f>
        <v/>
      </c>
      <c r="C667" s="242" t="str">
        <f>IF(Contagem!T665 &gt; 0,Contagem!T665,"")</f>
        <v/>
      </c>
      <c r="D667" s="207"/>
      <c r="E667" s="211" t="str">
        <f t="shared" si="100"/>
        <v/>
      </c>
      <c r="F667" s="207"/>
      <c r="G667" s="211" t="str">
        <f t="shared" si="101"/>
        <v/>
      </c>
      <c r="H667" s="207"/>
      <c r="I667" s="211" t="str">
        <f t="shared" si="102"/>
        <v/>
      </c>
      <c r="J667" s="207"/>
      <c r="K667" s="211" t="str">
        <f t="shared" si="103"/>
        <v/>
      </c>
      <c r="L667" s="207"/>
      <c r="M667" s="211" t="str">
        <f t="shared" si="104"/>
        <v/>
      </c>
      <c r="N667" s="207"/>
      <c r="O667" s="211" t="str">
        <f t="shared" si="105"/>
        <v/>
      </c>
      <c r="P667" s="207"/>
      <c r="Q667" s="211" t="str">
        <f t="shared" si="106"/>
        <v/>
      </c>
      <c r="R667" s="207"/>
      <c r="S667" s="211" t="str">
        <f t="shared" si="107"/>
        <v/>
      </c>
      <c r="T667" s="272" t="str">
        <f t="shared" si="108"/>
        <v/>
      </c>
      <c r="U667" s="212" t="str">
        <f t="shared" si="109"/>
        <v/>
      </c>
    </row>
    <row r="668" spans="2:21" x14ac:dyDescent="0.25">
      <c r="B668" s="241" t="str">
        <f>IF(Contagem!B666=0,"",Contagem!B666)</f>
        <v/>
      </c>
      <c r="C668" s="242" t="str">
        <f>IF(Contagem!T666 &gt; 0,Contagem!T666,"")</f>
        <v/>
      </c>
      <c r="D668" s="207"/>
      <c r="E668" s="211" t="str">
        <f t="shared" si="100"/>
        <v/>
      </c>
      <c r="F668" s="207"/>
      <c r="G668" s="211" t="str">
        <f t="shared" si="101"/>
        <v/>
      </c>
      <c r="H668" s="207"/>
      <c r="I668" s="211" t="str">
        <f t="shared" si="102"/>
        <v/>
      </c>
      <c r="J668" s="207"/>
      <c r="K668" s="211" t="str">
        <f t="shared" si="103"/>
        <v/>
      </c>
      <c r="L668" s="207"/>
      <c r="M668" s="211" t="str">
        <f t="shared" si="104"/>
        <v/>
      </c>
      <c r="N668" s="207"/>
      <c r="O668" s="211" t="str">
        <f t="shared" si="105"/>
        <v/>
      </c>
      <c r="P668" s="207"/>
      <c r="Q668" s="211" t="str">
        <f t="shared" si="106"/>
        <v/>
      </c>
      <c r="R668" s="207"/>
      <c r="S668" s="211" t="str">
        <f t="shared" si="107"/>
        <v/>
      </c>
      <c r="T668" s="272" t="str">
        <f t="shared" si="108"/>
        <v/>
      </c>
      <c r="U668" s="212" t="str">
        <f t="shared" si="109"/>
        <v/>
      </c>
    </row>
    <row r="669" spans="2:21" x14ac:dyDescent="0.25">
      <c r="B669" s="241" t="str">
        <f>IF(Contagem!B667=0,"",Contagem!B667)</f>
        <v/>
      </c>
      <c r="C669" s="242" t="str">
        <f>IF(Contagem!T667 &gt; 0,Contagem!T667,"")</f>
        <v/>
      </c>
      <c r="D669" s="207"/>
      <c r="E669" s="211" t="str">
        <f t="shared" si="100"/>
        <v/>
      </c>
      <c r="F669" s="207"/>
      <c r="G669" s="211" t="str">
        <f t="shared" si="101"/>
        <v/>
      </c>
      <c r="H669" s="207"/>
      <c r="I669" s="211" t="str">
        <f t="shared" si="102"/>
        <v/>
      </c>
      <c r="J669" s="207"/>
      <c r="K669" s="211" t="str">
        <f t="shared" si="103"/>
        <v/>
      </c>
      <c r="L669" s="207"/>
      <c r="M669" s="211" t="str">
        <f t="shared" si="104"/>
        <v/>
      </c>
      <c r="N669" s="207"/>
      <c r="O669" s="211" t="str">
        <f t="shared" si="105"/>
        <v/>
      </c>
      <c r="P669" s="207"/>
      <c r="Q669" s="211" t="str">
        <f t="shared" si="106"/>
        <v/>
      </c>
      <c r="R669" s="207"/>
      <c r="S669" s="211" t="str">
        <f t="shared" si="107"/>
        <v/>
      </c>
      <c r="T669" s="272" t="str">
        <f t="shared" si="108"/>
        <v/>
      </c>
      <c r="U669" s="212" t="str">
        <f t="shared" si="109"/>
        <v/>
      </c>
    </row>
    <row r="670" spans="2:21" x14ac:dyDescent="0.25">
      <c r="B670" s="241" t="str">
        <f>IF(Contagem!B668=0,"",Contagem!B668)</f>
        <v/>
      </c>
      <c r="C670" s="242" t="str">
        <f>IF(Contagem!T668 &gt; 0,Contagem!T668,"")</f>
        <v/>
      </c>
      <c r="D670" s="207"/>
      <c r="E670" s="211" t="str">
        <f t="shared" si="100"/>
        <v/>
      </c>
      <c r="F670" s="207"/>
      <c r="G670" s="211" t="str">
        <f t="shared" si="101"/>
        <v/>
      </c>
      <c r="H670" s="207"/>
      <c r="I670" s="211" t="str">
        <f t="shared" si="102"/>
        <v/>
      </c>
      <c r="J670" s="207"/>
      <c r="K670" s="211" t="str">
        <f t="shared" si="103"/>
        <v/>
      </c>
      <c r="L670" s="207"/>
      <c r="M670" s="211" t="str">
        <f t="shared" si="104"/>
        <v/>
      </c>
      <c r="N670" s="207"/>
      <c r="O670" s="211" t="str">
        <f t="shared" si="105"/>
        <v/>
      </c>
      <c r="P670" s="207"/>
      <c r="Q670" s="211" t="str">
        <f t="shared" si="106"/>
        <v/>
      </c>
      <c r="R670" s="207"/>
      <c r="S670" s="211" t="str">
        <f t="shared" si="107"/>
        <v/>
      </c>
      <c r="T670" s="272" t="str">
        <f t="shared" si="108"/>
        <v/>
      </c>
      <c r="U670" s="212" t="str">
        <f t="shared" si="109"/>
        <v/>
      </c>
    </row>
    <row r="671" spans="2:21" x14ac:dyDescent="0.25">
      <c r="B671" s="241" t="str">
        <f>IF(Contagem!B669=0,"",Contagem!B669)</f>
        <v/>
      </c>
      <c r="C671" s="242" t="str">
        <f>IF(Contagem!T669 &gt; 0,Contagem!T669,"")</f>
        <v/>
      </c>
      <c r="D671" s="207"/>
      <c r="E671" s="211" t="str">
        <f t="shared" si="100"/>
        <v/>
      </c>
      <c r="F671" s="207"/>
      <c r="G671" s="211" t="str">
        <f t="shared" si="101"/>
        <v/>
      </c>
      <c r="H671" s="207"/>
      <c r="I671" s="211" t="str">
        <f t="shared" si="102"/>
        <v/>
      </c>
      <c r="J671" s="207"/>
      <c r="K671" s="211" t="str">
        <f t="shared" si="103"/>
        <v/>
      </c>
      <c r="L671" s="207"/>
      <c r="M671" s="211" t="str">
        <f t="shared" si="104"/>
        <v/>
      </c>
      <c r="N671" s="207"/>
      <c r="O671" s="211" t="str">
        <f t="shared" si="105"/>
        <v/>
      </c>
      <c r="P671" s="207"/>
      <c r="Q671" s="211" t="str">
        <f t="shared" si="106"/>
        <v/>
      </c>
      <c r="R671" s="207"/>
      <c r="S671" s="211" t="str">
        <f t="shared" si="107"/>
        <v/>
      </c>
      <c r="T671" s="272" t="str">
        <f t="shared" si="108"/>
        <v/>
      </c>
      <c r="U671" s="212" t="str">
        <f t="shared" si="109"/>
        <v/>
      </c>
    </row>
    <row r="672" spans="2:21" x14ac:dyDescent="0.25">
      <c r="B672" s="241" t="str">
        <f>IF(Contagem!B670=0,"",Contagem!B670)</f>
        <v/>
      </c>
      <c r="C672" s="242" t="str">
        <f>IF(Contagem!T670 &gt; 0,Contagem!T670,"")</f>
        <v/>
      </c>
      <c r="D672" s="207"/>
      <c r="E672" s="211" t="str">
        <f t="shared" si="100"/>
        <v/>
      </c>
      <c r="F672" s="207"/>
      <c r="G672" s="211" t="str">
        <f t="shared" si="101"/>
        <v/>
      </c>
      <c r="H672" s="207"/>
      <c r="I672" s="211" t="str">
        <f t="shared" si="102"/>
        <v/>
      </c>
      <c r="J672" s="207"/>
      <c r="K672" s="211" t="str">
        <f t="shared" si="103"/>
        <v/>
      </c>
      <c r="L672" s="207"/>
      <c r="M672" s="211" t="str">
        <f t="shared" si="104"/>
        <v/>
      </c>
      <c r="N672" s="207"/>
      <c r="O672" s="211" t="str">
        <f t="shared" si="105"/>
        <v/>
      </c>
      <c r="P672" s="207"/>
      <c r="Q672" s="211" t="str">
        <f t="shared" si="106"/>
        <v/>
      </c>
      <c r="R672" s="207"/>
      <c r="S672" s="211" t="str">
        <f t="shared" si="107"/>
        <v/>
      </c>
      <c r="T672" s="272" t="str">
        <f t="shared" si="108"/>
        <v/>
      </c>
      <c r="U672" s="212" t="str">
        <f t="shared" si="109"/>
        <v/>
      </c>
    </row>
    <row r="673" spans="2:21" x14ac:dyDescent="0.25">
      <c r="B673" s="241" t="str">
        <f>IF(Contagem!B671=0,"",Contagem!B671)</f>
        <v/>
      </c>
      <c r="C673" s="242" t="str">
        <f>IF(Contagem!T671 &gt; 0,Contagem!T671,"")</f>
        <v/>
      </c>
      <c r="D673" s="207"/>
      <c r="E673" s="211" t="str">
        <f t="shared" si="100"/>
        <v/>
      </c>
      <c r="F673" s="207"/>
      <c r="G673" s="211" t="str">
        <f t="shared" si="101"/>
        <v/>
      </c>
      <c r="H673" s="207"/>
      <c r="I673" s="211" t="str">
        <f t="shared" si="102"/>
        <v/>
      </c>
      <c r="J673" s="207"/>
      <c r="K673" s="211" t="str">
        <f t="shared" si="103"/>
        <v/>
      </c>
      <c r="L673" s="207"/>
      <c r="M673" s="211" t="str">
        <f t="shared" si="104"/>
        <v/>
      </c>
      <c r="N673" s="207"/>
      <c r="O673" s="211" t="str">
        <f t="shared" si="105"/>
        <v/>
      </c>
      <c r="P673" s="207"/>
      <c r="Q673" s="211" t="str">
        <f t="shared" si="106"/>
        <v/>
      </c>
      <c r="R673" s="207"/>
      <c r="S673" s="211" t="str">
        <f t="shared" si="107"/>
        <v/>
      </c>
      <c r="T673" s="272" t="str">
        <f t="shared" si="108"/>
        <v/>
      </c>
      <c r="U673" s="212" t="str">
        <f t="shared" si="109"/>
        <v/>
      </c>
    </row>
    <row r="674" spans="2:21" x14ac:dyDescent="0.25">
      <c r="B674" s="241" t="str">
        <f>IF(Contagem!B672=0,"",Contagem!B672)</f>
        <v/>
      </c>
      <c r="C674" s="242" t="str">
        <f>IF(Contagem!T672 &gt; 0,Contagem!T672,"")</f>
        <v/>
      </c>
      <c r="D674" s="207"/>
      <c r="E674" s="211" t="str">
        <f t="shared" si="100"/>
        <v/>
      </c>
      <c r="F674" s="207"/>
      <c r="G674" s="211" t="str">
        <f t="shared" si="101"/>
        <v/>
      </c>
      <c r="H674" s="207"/>
      <c r="I674" s="211" t="str">
        <f t="shared" si="102"/>
        <v/>
      </c>
      <c r="J674" s="207"/>
      <c r="K674" s="211" t="str">
        <f t="shared" si="103"/>
        <v/>
      </c>
      <c r="L674" s="207"/>
      <c r="M674" s="211" t="str">
        <f t="shared" si="104"/>
        <v/>
      </c>
      <c r="N674" s="207"/>
      <c r="O674" s="211" t="str">
        <f t="shared" si="105"/>
        <v/>
      </c>
      <c r="P674" s="207"/>
      <c r="Q674" s="211" t="str">
        <f t="shared" si="106"/>
        <v/>
      </c>
      <c r="R674" s="207"/>
      <c r="S674" s="211" t="str">
        <f t="shared" si="107"/>
        <v/>
      </c>
      <c r="T674" s="272" t="str">
        <f t="shared" si="108"/>
        <v/>
      </c>
      <c r="U674" s="212" t="str">
        <f t="shared" si="109"/>
        <v/>
      </c>
    </row>
    <row r="675" spans="2:21" x14ac:dyDescent="0.25">
      <c r="B675" s="241" t="str">
        <f>IF(Contagem!B673=0,"",Contagem!B673)</f>
        <v/>
      </c>
      <c r="C675" s="242" t="str">
        <f>IF(Contagem!T673 &gt; 0,Contagem!T673,"")</f>
        <v/>
      </c>
      <c r="D675" s="207"/>
      <c r="E675" s="211" t="str">
        <f t="shared" si="100"/>
        <v/>
      </c>
      <c r="F675" s="207"/>
      <c r="G675" s="211" t="str">
        <f t="shared" si="101"/>
        <v/>
      </c>
      <c r="H675" s="207"/>
      <c r="I675" s="211" t="str">
        <f t="shared" si="102"/>
        <v/>
      </c>
      <c r="J675" s="207"/>
      <c r="K675" s="211" t="str">
        <f t="shared" si="103"/>
        <v/>
      </c>
      <c r="L675" s="207"/>
      <c r="M675" s="211" t="str">
        <f t="shared" si="104"/>
        <v/>
      </c>
      <c r="N675" s="207"/>
      <c r="O675" s="211" t="str">
        <f t="shared" si="105"/>
        <v/>
      </c>
      <c r="P675" s="207"/>
      <c r="Q675" s="211" t="str">
        <f t="shared" si="106"/>
        <v/>
      </c>
      <c r="R675" s="207"/>
      <c r="S675" s="211" t="str">
        <f t="shared" si="107"/>
        <v/>
      </c>
      <c r="T675" s="272" t="str">
        <f t="shared" si="108"/>
        <v/>
      </c>
      <c r="U675" s="212" t="str">
        <f t="shared" si="109"/>
        <v/>
      </c>
    </row>
    <row r="676" spans="2:21" x14ac:dyDescent="0.25">
      <c r="B676" s="241" t="str">
        <f>IF(Contagem!B674=0,"",Contagem!B674)</f>
        <v/>
      </c>
      <c r="C676" s="242" t="str">
        <f>IF(Contagem!T674 &gt; 0,Contagem!T674,"")</f>
        <v/>
      </c>
      <c r="D676" s="207"/>
      <c r="E676" s="211" t="str">
        <f t="shared" si="100"/>
        <v/>
      </c>
      <c r="F676" s="207"/>
      <c r="G676" s="211" t="str">
        <f t="shared" si="101"/>
        <v/>
      </c>
      <c r="H676" s="207"/>
      <c r="I676" s="211" t="str">
        <f t="shared" si="102"/>
        <v/>
      </c>
      <c r="J676" s="207"/>
      <c r="K676" s="211" t="str">
        <f t="shared" si="103"/>
        <v/>
      </c>
      <c r="L676" s="207"/>
      <c r="M676" s="211" t="str">
        <f t="shared" si="104"/>
        <v/>
      </c>
      <c r="N676" s="207"/>
      <c r="O676" s="211" t="str">
        <f t="shared" si="105"/>
        <v/>
      </c>
      <c r="P676" s="207"/>
      <c r="Q676" s="211" t="str">
        <f t="shared" si="106"/>
        <v/>
      </c>
      <c r="R676" s="207"/>
      <c r="S676" s="211" t="str">
        <f t="shared" si="107"/>
        <v/>
      </c>
      <c r="T676" s="272" t="str">
        <f t="shared" si="108"/>
        <v/>
      </c>
      <c r="U676" s="212" t="str">
        <f t="shared" si="109"/>
        <v/>
      </c>
    </row>
    <row r="677" spans="2:21" x14ac:dyDescent="0.25">
      <c r="B677" s="241" t="str">
        <f>IF(Contagem!B675=0,"",Contagem!B675)</f>
        <v/>
      </c>
      <c r="C677" s="242" t="str">
        <f>IF(Contagem!T675 &gt; 0,Contagem!T675,"")</f>
        <v/>
      </c>
      <c r="D677" s="207"/>
      <c r="E677" s="211" t="str">
        <f t="shared" si="100"/>
        <v/>
      </c>
      <c r="F677" s="207"/>
      <c r="G677" s="211" t="str">
        <f t="shared" si="101"/>
        <v/>
      </c>
      <c r="H677" s="207"/>
      <c r="I677" s="211" t="str">
        <f t="shared" si="102"/>
        <v/>
      </c>
      <c r="J677" s="207"/>
      <c r="K677" s="211" t="str">
        <f t="shared" si="103"/>
        <v/>
      </c>
      <c r="L677" s="207"/>
      <c r="M677" s="211" t="str">
        <f t="shared" si="104"/>
        <v/>
      </c>
      <c r="N677" s="207"/>
      <c r="O677" s="211" t="str">
        <f t="shared" si="105"/>
        <v/>
      </c>
      <c r="P677" s="207"/>
      <c r="Q677" s="211" t="str">
        <f t="shared" si="106"/>
        <v/>
      </c>
      <c r="R677" s="207"/>
      <c r="S677" s="211" t="str">
        <f t="shared" si="107"/>
        <v/>
      </c>
      <c r="T677" s="272" t="str">
        <f t="shared" si="108"/>
        <v/>
      </c>
      <c r="U677" s="212" t="str">
        <f t="shared" si="109"/>
        <v/>
      </c>
    </row>
    <row r="678" spans="2:21" x14ac:dyDescent="0.25">
      <c r="B678" s="241" t="str">
        <f>IF(Contagem!B676=0,"",Contagem!B676)</f>
        <v/>
      </c>
      <c r="C678" s="242" t="str">
        <f>IF(Contagem!T676 &gt; 0,Contagem!T676,"")</f>
        <v/>
      </c>
      <c r="D678" s="207"/>
      <c r="E678" s="211" t="str">
        <f t="shared" si="100"/>
        <v/>
      </c>
      <c r="F678" s="207"/>
      <c r="G678" s="211" t="str">
        <f t="shared" si="101"/>
        <v/>
      </c>
      <c r="H678" s="207"/>
      <c r="I678" s="211" t="str">
        <f t="shared" si="102"/>
        <v/>
      </c>
      <c r="J678" s="207"/>
      <c r="K678" s="211" t="str">
        <f t="shared" si="103"/>
        <v/>
      </c>
      <c r="L678" s="207"/>
      <c r="M678" s="211" t="str">
        <f t="shared" si="104"/>
        <v/>
      </c>
      <c r="N678" s="207"/>
      <c r="O678" s="211" t="str">
        <f t="shared" si="105"/>
        <v/>
      </c>
      <c r="P678" s="207"/>
      <c r="Q678" s="211" t="str">
        <f t="shared" si="106"/>
        <v/>
      </c>
      <c r="R678" s="207"/>
      <c r="S678" s="211" t="str">
        <f t="shared" si="107"/>
        <v/>
      </c>
      <c r="T678" s="272" t="str">
        <f t="shared" si="108"/>
        <v/>
      </c>
      <c r="U678" s="212" t="str">
        <f t="shared" si="109"/>
        <v/>
      </c>
    </row>
    <row r="679" spans="2:21" x14ac:dyDescent="0.25">
      <c r="B679" s="241" t="str">
        <f>IF(Contagem!B677=0,"",Contagem!B677)</f>
        <v/>
      </c>
      <c r="C679" s="242" t="str">
        <f>IF(Contagem!T677 &gt; 0,Contagem!T677,"")</f>
        <v/>
      </c>
      <c r="D679" s="207"/>
      <c r="E679" s="211" t="str">
        <f t="shared" si="100"/>
        <v/>
      </c>
      <c r="F679" s="207"/>
      <c r="G679" s="211" t="str">
        <f t="shared" si="101"/>
        <v/>
      </c>
      <c r="H679" s="207"/>
      <c r="I679" s="211" t="str">
        <f t="shared" si="102"/>
        <v/>
      </c>
      <c r="J679" s="207"/>
      <c r="K679" s="211" t="str">
        <f t="shared" si="103"/>
        <v/>
      </c>
      <c r="L679" s="207"/>
      <c r="M679" s="211" t="str">
        <f t="shared" si="104"/>
        <v/>
      </c>
      <c r="N679" s="207"/>
      <c r="O679" s="211" t="str">
        <f t="shared" si="105"/>
        <v/>
      </c>
      <c r="P679" s="207"/>
      <c r="Q679" s="211" t="str">
        <f t="shared" si="106"/>
        <v/>
      </c>
      <c r="R679" s="207"/>
      <c r="S679" s="211" t="str">
        <f t="shared" si="107"/>
        <v/>
      </c>
      <c r="T679" s="272" t="str">
        <f t="shared" si="108"/>
        <v/>
      </c>
      <c r="U679" s="212" t="str">
        <f t="shared" si="109"/>
        <v/>
      </c>
    </row>
    <row r="680" spans="2:21" x14ac:dyDescent="0.25">
      <c r="B680" s="241" t="str">
        <f>IF(Contagem!B678=0,"",Contagem!B678)</f>
        <v/>
      </c>
      <c r="C680" s="242" t="str">
        <f>IF(Contagem!T678 &gt; 0,Contagem!T678,"")</f>
        <v/>
      </c>
      <c r="D680" s="207"/>
      <c r="E680" s="211" t="str">
        <f t="shared" si="100"/>
        <v/>
      </c>
      <c r="F680" s="207"/>
      <c r="G680" s="211" t="str">
        <f t="shared" si="101"/>
        <v/>
      </c>
      <c r="H680" s="207"/>
      <c r="I680" s="211" t="str">
        <f t="shared" si="102"/>
        <v/>
      </c>
      <c r="J680" s="207"/>
      <c r="K680" s="211" t="str">
        <f t="shared" si="103"/>
        <v/>
      </c>
      <c r="L680" s="207"/>
      <c r="M680" s="211" t="str">
        <f t="shared" si="104"/>
        <v/>
      </c>
      <c r="N680" s="207"/>
      <c r="O680" s="211" t="str">
        <f t="shared" si="105"/>
        <v/>
      </c>
      <c r="P680" s="207"/>
      <c r="Q680" s="211" t="str">
        <f t="shared" si="106"/>
        <v/>
      </c>
      <c r="R680" s="207"/>
      <c r="S680" s="211" t="str">
        <f t="shared" si="107"/>
        <v/>
      </c>
      <c r="T680" s="272" t="str">
        <f t="shared" si="108"/>
        <v/>
      </c>
      <c r="U680" s="212" t="str">
        <f t="shared" si="109"/>
        <v/>
      </c>
    </row>
    <row r="681" spans="2:21" x14ac:dyDescent="0.25">
      <c r="B681" s="241" t="str">
        <f>IF(Contagem!B679=0,"",Contagem!B679)</f>
        <v/>
      </c>
      <c r="C681" s="242" t="str">
        <f>IF(Contagem!T679 &gt; 0,Contagem!T679,"")</f>
        <v/>
      </c>
      <c r="D681" s="207"/>
      <c r="E681" s="211" t="str">
        <f t="shared" si="100"/>
        <v/>
      </c>
      <c r="F681" s="207"/>
      <c r="G681" s="211" t="str">
        <f t="shared" si="101"/>
        <v/>
      </c>
      <c r="H681" s="207"/>
      <c r="I681" s="211" t="str">
        <f t="shared" si="102"/>
        <v/>
      </c>
      <c r="J681" s="207"/>
      <c r="K681" s="211" t="str">
        <f t="shared" si="103"/>
        <v/>
      </c>
      <c r="L681" s="207"/>
      <c r="M681" s="211" t="str">
        <f t="shared" si="104"/>
        <v/>
      </c>
      <c r="N681" s="207"/>
      <c r="O681" s="211" t="str">
        <f t="shared" si="105"/>
        <v/>
      </c>
      <c r="P681" s="207"/>
      <c r="Q681" s="211" t="str">
        <f t="shared" si="106"/>
        <v/>
      </c>
      <c r="R681" s="207"/>
      <c r="S681" s="211" t="str">
        <f t="shared" si="107"/>
        <v/>
      </c>
      <c r="T681" s="272" t="str">
        <f t="shared" si="108"/>
        <v/>
      </c>
      <c r="U681" s="212" t="str">
        <f t="shared" si="109"/>
        <v/>
      </c>
    </row>
    <row r="682" spans="2:21" x14ac:dyDescent="0.25">
      <c r="B682" s="241" t="str">
        <f>IF(Contagem!B680=0,"",Contagem!B680)</f>
        <v/>
      </c>
      <c r="C682" s="242" t="str">
        <f>IF(Contagem!T680 &gt; 0,Contagem!T680,"")</f>
        <v/>
      </c>
      <c r="D682" s="207"/>
      <c r="E682" s="211" t="str">
        <f t="shared" si="100"/>
        <v/>
      </c>
      <c r="F682" s="207"/>
      <c r="G682" s="211" t="str">
        <f t="shared" si="101"/>
        <v/>
      </c>
      <c r="H682" s="207"/>
      <c r="I682" s="211" t="str">
        <f t="shared" si="102"/>
        <v/>
      </c>
      <c r="J682" s="207"/>
      <c r="K682" s="211" t="str">
        <f t="shared" si="103"/>
        <v/>
      </c>
      <c r="L682" s="207"/>
      <c r="M682" s="211" t="str">
        <f t="shared" si="104"/>
        <v/>
      </c>
      <c r="N682" s="207"/>
      <c r="O682" s="211" t="str">
        <f t="shared" si="105"/>
        <v/>
      </c>
      <c r="P682" s="207"/>
      <c r="Q682" s="211" t="str">
        <f t="shared" si="106"/>
        <v/>
      </c>
      <c r="R682" s="207"/>
      <c r="S682" s="211" t="str">
        <f t="shared" si="107"/>
        <v/>
      </c>
      <c r="T682" s="272" t="str">
        <f t="shared" si="108"/>
        <v/>
      </c>
      <c r="U682" s="212" t="str">
        <f t="shared" si="109"/>
        <v/>
      </c>
    </row>
    <row r="683" spans="2:21" x14ac:dyDescent="0.25">
      <c r="B683" s="241" t="str">
        <f>IF(Contagem!B681=0,"",Contagem!B681)</f>
        <v/>
      </c>
      <c r="C683" s="242" t="str">
        <f>IF(Contagem!T681 &gt; 0,Contagem!T681,"")</f>
        <v/>
      </c>
      <c r="D683" s="207"/>
      <c r="E683" s="211" t="str">
        <f t="shared" si="100"/>
        <v/>
      </c>
      <c r="F683" s="207"/>
      <c r="G683" s="211" t="str">
        <f t="shared" si="101"/>
        <v/>
      </c>
      <c r="H683" s="207"/>
      <c r="I683" s="211" t="str">
        <f t="shared" si="102"/>
        <v/>
      </c>
      <c r="J683" s="207"/>
      <c r="K683" s="211" t="str">
        <f t="shared" si="103"/>
        <v/>
      </c>
      <c r="L683" s="207"/>
      <c r="M683" s="211" t="str">
        <f t="shared" si="104"/>
        <v/>
      </c>
      <c r="N683" s="207"/>
      <c r="O683" s="211" t="str">
        <f t="shared" si="105"/>
        <v/>
      </c>
      <c r="P683" s="207"/>
      <c r="Q683" s="211" t="str">
        <f t="shared" si="106"/>
        <v/>
      </c>
      <c r="R683" s="207"/>
      <c r="S683" s="211" t="str">
        <f t="shared" si="107"/>
        <v/>
      </c>
      <c r="T683" s="272" t="str">
        <f t="shared" si="108"/>
        <v/>
      </c>
      <c r="U683" s="212" t="str">
        <f t="shared" si="109"/>
        <v/>
      </c>
    </row>
    <row r="684" spans="2:21" x14ac:dyDescent="0.25">
      <c r="B684" s="241" t="str">
        <f>IF(Contagem!B682=0,"",Contagem!B682)</f>
        <v/>
      </c>
      <c r="C684" s="242" t="str">
        <f>IF(Contagem!T682 &gt; 0,Contagem!T682,"")</f>
        <v/>
      </c>
      <c r="D684" s="207"/>
      <c r="E684" s="211" t="str">
        <f t="shared" si="100"/>
        <v/>
      </c>
      <c r="F684" s="207"/>
      <c r="G684" s="211" t="str">
        <f t="shared" si="101"/>
        <v/>
      </c>
      <c r="H684" s="207"/>
      <c r="I684" s="211" t="str">
        <f t="shared" si="102"/>
        <v/>
      </c>
      <c r="J684" s="207"/>
      <c r="K684" s="211" t="str">
        <f t="shared" si="103"/>
        <v/>
      </c>
      <c r="L684" s="207"/>
      <c r="M684" s="211" t="str">
        <f t="shared" si="104"/>
        <v/>
      </c>
      <c r="N684" s="207"/>
      <c r="O684" s="211" t="str">
        <f t="shared" si="105"/>
        <v/>
      </c>
      <c r="P684" s="207"/>
      <c r="Q684" s="211" t="str">
        <f t="shared" si="106"/>
        <v/>
      </c>
      <c r="R684" s="207"/>
      <c r="S684" s="211" t="str">
        <f t="shared" si="107"/>
        <v/>
      </c>
      <c r="T684" s="272" t="str">
        <f t="shared" si="108"/>
        <v/>
      </c>
      <c r="U684" s="212" t="str">
        <f t="shared" si="109"/>
        <v/>
      </c>
    </row>
    <row r="685" spans="2:21" x14ac:dyDescent="0.25">
      <c r="B685" s="241" t="str">
        <f>IF(Contagem!B683=0,"",Contagem!B683)</f>
        <v/>
      </c>
      <c r="C685" s="242" t="str">
        <f>IF(Contagem!T683 &gt; 0,Contagem!T683,"")</f>
        <v/>
      </c>
      <c r="D685" s="207"/>
      <c r="E685" s="211" t="str">
        <f t="shared" si="100"/>
        <v/>
      </c>
      <c r="F685" s="207"/>
      <c r="G685" s="211" t="str">
        <f t="shared" si="101"/>
        <v/>
      </c>
      <c r="H685" s="207"/>
      <c r="I685" s="211" t="str">
        <f t="shared" si="102"/>
        <v/>
      </c>
      <c r="J685" s="207"/>
      <c r="K685" s="211" t="str">
        <f t="shared" si="103"/>
        <v/>
      </c>
      <c r="L685" s="207"/>
      <c r="M685" s="211" t="str">
        <f t="shared" si="104"/>
        <v/>
      </c>
      <c r="N685" s="207"/>
      <c r="O685" s="211" t="str">
        <f t="shared" si="105"/>
        <v/>
      </c>
      <c r="P685" s="207"/>
      <c r="Q685" s="211" t="str">
        <f t="shared" si="106"/>
        <v/>
      </c>
      <c r="R685" s="207"/>
      <c r="S685" s="211" t="str">
        <f t="shared" si="107"/>
        <v/>
      </c>
      <c r="T685" s="272" t="str">
        <f t="shared" si="108"/>
        <v/>
      </c>
      <c r="U685" s="212" t="str">
        <f t="shared" si="109"/>
        <v/>
      </c>
    </row>
    <row r="686" spans="2:21" x14ac:dyDescent="0.25">
      <c r="B686" s="241" t="str">
        <f>IF(Contagem!B684=0,"",Contagem!B684)</f>
        <v/>
      </c>
      <c r="C686" s="242" t="str">
        <f>IF(Contagem!T684 &gt; 0,Contagem!T684,"")</f>
        <v/>
      </c>
      <c r="D686" s="207"/>
      <c r="E686" s="211" t="str">
        <f t="shared" si="100"/>
        <v/>
      </c>
      <c r="F686" s="207"/>
      <c r="G686" s="211" t="str">
        <f t="shared" si="101"/>
        <v/>
      </c>
      <c r="H686" s="207"/>
      <c r="I686" s="211" t="str">
        <f t="shared" si="102"/>
        <v/>
      </c>
      <c r="J686" s="207"/>
      <c r="K686" s="211" t="str">
        <f t="shared" si="103"/>
        <v/>
      </c>
      <c r="L686" s="207"/>
      <c r="M686" s="211" t="str">
        <f t="shared" si="104"/>
        <v/>
      </c>
      <c r="N686" s="207"/>
      <c r="O686" s="211" t="str">
        <f t="shared" si="105"/>
        <v/>
      </c>
      <c r="P686" s="207"/>
      <c r="Q686" s="211" t="str">
        <f t="shared" si="106"/>
        <v/>
      </c>
      <c r="R686" s="207"/>
      <c r="S686" s="211" t="str">
        <f t="shared" si="107"/>
        <v/>
      </c>
      <c r="T686" s="272" t="str">
        <f t="shared" si="108"/>
        <v/>
      </c>
      <c r="U686" s="212" t="str">
        <f t="shared" si="109"/>
        <v/>
      </c>
    </row>
    <row r="687" spans="2:21" x14ac:dyDescent="0.25">
      <c r="B687" s="241" t="str">
        <f>IF(Contagem!B685=0,"",Contagem!B685)</f>
        <v/>
      </c>
      <c r="C687" s="242" t="str">
        <f>IF(Contagem!T685 &gt; 0,Contagem!T685,"")</f>
        <v/>
      </c>
      <c r="D687" s="207"/>
      <c r="E687" s="211" t="str">
        <f t="shared" si="100"/>
        <v/>
      </c>
      <c r="F687" s="207"/>
      <c r="G687" s="211" t="str">
        <f t="shared" si="101"/>
        <v/>
      </c>
      <c r="H687" s="207"/>
      <c r="I687" s="211" t="str">
        <f t="shared" si="102"/>
        <v/>
      </c>
      <c r="J687" s="207"/>
      <c r="K687" s="211" t="str">
        <f t="shared" si="103"/>
        <v/>
      </c>
      <c r="L687" s="207"/>
      <c r="M687" s="211" t="str">
        <f t="shared" si="104"/>
        <v/>
      </c>
      <c r="N687" s="207"/>
      <c r="O687" s="211" t="str">
        <f t="shared" si="105"/>
        <v/>
      </c>
      <c r="P687" s="207"/>
      <c r="Q687" s="211" t="str">
        <f t="shared" si="106"/>
        <v/>
      </c>
      <c r="R687" s="207"/>
      <c r="S687" s="211" t="str">
        <f t="shared" si="107"/>
        <v/>
      </c>
      <c r="T687" s="272" t="str">
        <f t="shared" si="108"/>
        <v/>
      </c>
      <c r="U687" s="212" t="str">
        <f t="shared" si="109"/>
        <v/>
      </c>
    </row>
    <row r="688" spans="2:21" x14ac:dyDescent="0.25">
      <c r="B688" s="241" t="str">
        <f>IF(Contagem!B686=0,"",Contagem!B686)</f>
        <v/>
      </c>
      <c r="C688" s="242" t="str">
        <f>IF(Contagem!T686 &gt; 0,Contagem!T686,"")</f>
        <v/>
      </c>
      <c r="D688" s="207"/>
      <c r="E688" s="211" t="str">
        <f t="shared" si="100"/>
        <v/>
      </c>
      <c r="F688" s="207"/>
      <c r="G688" s="211" t="str">
        <f t="shared" si="101"/>
        <v/>
      </c>
      <c r="H688" s="207"/>
      <c r="I688" s="211" t="str">
        <f t="shared" si="102"/>
        <v/>
      </c>
      <c r="J688" s="207"/>
      <c r="K688" s="211" t="str">
        <f t="shared" si="103"/>
        <v/>
      </c>
      <c r="L688" s="207"/>
      <c r="M688" s="211" t="str">
        <f t="shared" si="104"/>
        <v/>
      </c>
      <c r="N688" s="207"/>
      <c r="O688" s="211" t="str">
        <f t="shared" si="105"/>
        <v/>
      </c>
      <c r="P688" s="207"/>
      <c r="Q688" s="211" t="str">
        <f t="shared" si="106"/>
        <v/>
      </c>
      <c r="R688" s="207"/>
      <c r="S688" s="211" t="str">
        <f t="shared" si="107"/>
        <v/>
      </c>
      <c r="T688" s="272" t="str">
        <f t="shared" si="108"/>
        <v/>
      </c>
      <c r="U688" s="212" t="str">
        <f t="shared" si="109"/>
        <v/>
      </c>
    </row>
    <row r="689" spans="2:21" x14ac:dyDescent="0.25">
      <c r="B689" s="241" t="str">
        <f>IF(Contagem!B687=0,"",Contagem!B687)</f>
        <v/>
      </c>
      <c r="C689" s="242" t="str">
        <f>IF(Contagem!T687 &gt; 0,Contagem!T687,"")</f>
        <v/>
      </c>
      <c r="D689" s="207"/>
      <c r="E689" s="211" t="str">
        <f t="shared" si="100"/>
        <v/>
      </c>
      <c r="F689" s="207"/>
      <c r="G689" s="211" t="str">
        <f t="shared" si="101"/>
        <v/>
      </c>
      <c r="H689" s="207"/>
      <c r="I689" s="211" t="str">
        <f t="shared" si="102"/>
        <v/>
      </c>
      <c r="J689" s="207"/>
      <c r="K689" s="211" t="str">
        <f t="shared" si="103"/>
        <v/>
      </c>
      <c r="L689" s="207"/>
      <c r="M689" s="211" t="str">
        <f t="shared" si="104"/>
        <v/>
      </c>
      <c r="N689" s="207"/>
      <c r="O689" s="211" t="str">
        <f t="shared" si="105"/>
        <v/>
      </c>
      <c r="P689" s="207"/>
      <c r="Q689" s="211" t="str">
        <f t="shared" si="106"/>
        <v/>
      </c>
      <c r="R689" s="207"/>
      <c r="S689" s="211" t="str">
        <f t="shared" si="107"/>
        <v/>
      </c>
      <c r="T689" s="272" t="str">
        <f t="shared" si="108"/>
        <v/>
      </c>
      <c r="U689" s="212" t="str">
        <f t="shared" si="109"/>
        <v/>
      </c>
    </row>
    <row r="690" spans="2:21" x14ac:dyDescent="0.25">
      <c r="B690" s="241" t="str">
        <f>IF(Contagem!B688=0,"",Contagem!B688)</f>
        <v/>
      </c>
      <c r="C690" s="242" t="str">
        <f>IF(Contagem!T688 &gt; 0,Contagem!T688,"")</f>
        <v/>
      </c>
      <c r="D690" s="207"/>
      <c r="E690" s="211" t="str">
        <f t="shared" si="100"/>
        <v/>
      </c>
      <c r="F690" s="207"/>
      <c r="G690" s="211" t="str">
        <f t="shared" si="101"/>
        <v/>
      </c>
      <c r="H690" s="207"/>
      <c r="I690" s="211" t="str">
        <f t="shared" si="102"/>
        <v/>
      </c>
      <c r="J690" s="207"/>
      <c r="K690" s="211" t="str">
        <f t="shared" si="103"/>
        <v/>
      </c>
      <c r="L690" s="207"/>
      <c r="M690" s="211" t="str">
        <f t="shared" si="104"/>
        <v/>
      </c>
      <c r="N690" s="207"/>
      <c r="O690" s="211" t="str">
        <f t="shared" si="105"/>
        <v/>
      </c>
      <c r="P690" s="207"/>
      <c r="Q690" s="211" t="str">
        <f t="shared" si="106"/>
        <v/>
      </c>
      <c r="R690" s="207"/>
      <c r="S690" s="211" t="str">
        <f t="shared" si="107"/>
        <v/>
      </c>
      <c r="T690" s="272" t="str">
        <f t="shared" si="108"/>
        <v/>
      </c>
      <c r="U690" s="212" t="str">
        <f t="shared" si="109"/>
        <v/>
      </c>
    </row>
    <row r="691" spans="2:21" x14ac:dyDescent="0.25">
      <c r="B691" s="241" t="str">
        <f>IF(Contagem!B689=0,"",Contagem!B689)</f>
        <v/>
      </c>
      <c r="C691" s="242" t="str">
        <f>IF(Contagem!T689 &gt; 0,Contagem!T689,"")</f>
        <v/>
      </c>
      <c r="D691" s="207"/>
      <c r="E691" s="211" t="str">
        <f t="shared" si="100"/>
        <v/>
      </c>
      <c r="F691" s="207"/>
      <c r="G691" s="211" t="str">
        <f t="shared" si="101"/>
        <v/>
      </c>
      <c r="H691" s="207"/>
      <c r="I691" s="211" t="str">
        <f t="shared" si="102"/>
        <v/>
      </c>
      <c r="J691" s="207"/>
      <c r="K691" s="211" t="str">
        <f t="shared" si="103"/>
        <v/>
      </c>
      <c r="L691" s="207"/>
      <c r="M691" s="211" t="str">
        <f t="shared" si="104"/>
        <v/>
      </c>
      <c r="N691" s="207"/>
      <c r="O691" s="211" t="str">
        <f t="shared" si="105"/>
        <v/>
      </c>
      <c r="P691" s="207"/>
      <c r="Q691" s="211" t="str">
        <f t="shared" si="106"/>
        <v/>
      </c>
      <c r="R691" s="207"/>
      <c r="S691" s="211" t="str">
        <f t="shared" si="107"/>
        <v/>
      </c>
      <c r="T691" s="272" t="str">
        <f t="shared" si="108"/>
        <v/>
      </c>
      <c r="U691" s="212" t="str">
        <f t="shared" si="109"/>
        <v/>
      </c>
    </row>
    <row r="692" spans="2:21" x14ac:dyDescent="0.25">
      <c r="B692" s="241" t="str">
        <f>IF(Contagem!B690=0,"",Contagem!B690)</f>
        <v/>
      </c>
      <c r="C692" s="242" t="str">
        <f>IF(Contagem!T690 &gt; 0,Contagem!T690,"")</f>
        <v/>
      </c>
      <c r="D692" s="207"/>
      <c r="E692" s="211" t="str">
        <f t="shared" si="100"/>
        <v/>
      </c>
      <c r="F692" s="207"/>
      <c r="G692" s="211" t="str">
        <f t="shared" si="101"/>
        <v/>
      </c>
      <c r="H692" s="207"/>
      <c r="I692" s="211" t="str">
        <f t="shared" si="102"/>
        <v/>
      </c>
      <c r="J692" s="207"/>
      <c r="K692" s="211" t="str">
        <f t="shared" si="103"/>
        <v/>
      </c>
      <c r="L692" s="207"/>
      <c r="M692" s="211" t="str">
        <f t="shared" si="104"/>
        <v/>
      </c>
      <c r="N692" s="207"/>
      <c r="O692" s="211" t="str">
        <f t="shared" si="105"/>
        <v/>
      </c>
      <c r="P692" s="207"/>
      <c r="Q692" s="211" t="str">
        <f t="shared" si="106"/>
        <v/>
      </c>
      <c r="R692" s="207"/>
      <c r="S692" s="211" t="str">
        <f t="shared" si="107"/>
        <v/>
      </c>
      <c r="T692" s="272" t="str">
        <f t="shared" si="108"/>
        <v/>
      </c>
      <c r="U692" s="212" t="str">
        <f t="shared" si="109"/>
        <v/>
      </c>
    </row>
    <row r="693" spans="2:21" x14ac:dyDescent="0.25">
      <c r="B693" s="241" t="str">
        <f>IF(Contagem!B691=0,"",Contagem!B691)</f>
        <v/>
      </c>
      <c r="C693" s="242" t="str">
        <f>IF(Contagem!T691 &gt; 0,Contagem!T691,"")</f>
        <v/>
      </c>
      <c r="D693" s="207"/>
      <c r="E693" s="211" t="str">
        <f t="shared" si="100"/>
        <v/>
      </c>
      <c r="F693" s="207"/>
      <c r="G693" s="211" t="str">
        <f t="shared" si="101"/>
        <v/>
      </c>
      <c r="H693" s="207"/>
      <c r="I693" s="211" t="str">
        <f t="shared" si="102"/>
        <v/>
      </c>
      <c r="J693" s="207"/>
      <c r="K693" s="211" t="str">
        <f t="shared" si="103"/>
        <v/>
      </c>
      <c r="L693" s="207"/>
      <c r="M693" s="211" t="str">
        <f t="shared" si="104"/>
        <v/>
      </c>
      <c r="N693" s="207"/>
      <c r="O693" s="211" t="str">
        <f t="shared" si="105"/>
        <v/>
      </c>
      <c r="P693" s="207"/>
      <c r="Q693" s="211" t="str">
        <f t="shared" si="106"/>
        <v/>
      </c>
      <c r="R693" s="207"/>
      <c r="S693" s="211" t="str">
        <f t="shared" si="107"/>
        <v/>
      </c>
      <c r="T693" s="272" t="str">
        <f t="shared" si="108"/>
        <v/>
      </c>
      <c r="U693" s="212" t="str">
        <f t="shared" si="109"/>
        <v/>
      </c>
    </row>
    <row r="694" spans="2:21" x14ac:dyDescent="0.25">
      <c r="B694" s="241" t="str">
        <f>IF(Contagem!B692=0,"",Contagem!B692)</f>
        <v/>
      </c>
      <c r="C694" s="242" t="str">
        <f>IF(Contagem!T692 &gt; 0,Contagem!T692,"")</f>
        <v/>
      </c>
      <c r="D694" s="207"/>
      <c r="E694" s="211" t="str">
        <f t="shared" si="100"/>
        <v/>
      </c>
      <c r="F694" s="207"/>
      <c r="G694" s="211" t="str">
        <f t="shared" si="101"/>
        <v/>
      </c>
      <c r="H694" s="207"/>
      <c r="I694" s="211" t="str">
        <f t="shared" si="102"/>
        <v/>
      </c>
      <c r="J694" s="207"/>
      <c r="K694" s="211" t="str">
        <f t="shared" si="103"/>
        <v/>
      </c>
      <c r="L694" s="207"/>
      <c r="M694" s="211" t="str">
        <f t="shared" si="104"/>
        <v/>
      </c>
      <c r="N694" s="207"/>
      <c r="O694" s="211" t="str">
        <f t="shared" si="105"/>
        <v/>
      </c>
      <c r="P694" s="207"/>
      <c r="Q694" s="211" t="str">
        <f t="shared" si="106"/>
        <v/>
      </c>
      <c r="R694" s="207"/>
      <c r="S694" s="211" t="str">
        <f t="shared" si="107"/>
        <v/>
      </c>
      <c r="T694" s="272" t="str">
        <f t="shared" si="108"/>
        <v/>
      </c>
      <c r="U694" s="212" t="str">
        <f t="shared" si="109"/>
        <v/>
      </c>
    </row>
    <row r="695" spans="2:21" x14ac:dyDescent="0.25">
      <c r="B695" s="241" t="str">
        <f>IF(Contagem!B693=0,"",Contagem!B693)</f>
        <v/>
      </c>
      <c r="C695" s="242" t="str">
        <f>IF(Contagem!T693 &gt; 0,Contagem!T693,"")</f>
        <v/>
      </c>
      <c r="D695" s="207"/>
      <c r="E695" s="211" t="str">
        <f t="shared" si="100"/>
        <v/>
      </c>
      <c r="F695" s="207"/>
      <c r="G695" s="211" t="str">
        <f t="shared" si="101"/>
        <v/>
      </c>
      <c r="H695" s="207"/>
      <c r="I695" s="211" t="str">
        <f t="shared" si="102"/>
        <v/>
      </c>
      <c r="J695" s="207"/>
      <c r="K695" s="211" t="str">
        <f t="shared" si="103"/>
        <v/>
      </c>
      <c r="L695" s="207"/>
      <c r="M695" s="211" t="str">
        <f t="shared" si="104"/>
        <v/>
      </c>
      <c r="N695" s="207"/>
      <c r="O695" s="211" t="str">
        <f t="shared" si="105"/>
        <v/>
      </c>
      <c r="P695" s="207"/>
      <c r="Q695" s="211" t="str">
        <f t="shared" si="106"/>
        <v/>
      </c>
      <c r="R695" s="207"/>
      <c r="S695" s="211" t="str">
        <f t="shared" si="107"/>
        <v/>
      </c>
      <c r="T695" s="272" t="str">
        <f t="shared" si="108"/>
        <v/>
      </c>
      <c r="U695" s="212" t="str">
        <f t="shared" si="109"/>
        <v/>
      </c>
    </row>
    <row r="696" spans="2:21" x14ac:dyDescent="0.25">
      <c r="B696" s="241" t="str">
        <f>IF(Contagem!B694=0,"",Contagem!B694)</f>
        <v/>
      </c>
      <c r="C696" s="242" t="str">
        <f>IF(Contagem!T694 &gt; 0,Contagem!T694,"")</f>
        <v/>
      </c>
      <c r="D696" s="207"/>
      <c r="E696" s="211" t="str">
        <f t="shared" si="100"/>
        <v/>
      </c>
      <c r="F696" s="207"/>
      <c r="G696" s="211" t="str">
        <f t="shared" si="101"/>
        <v/>
      </c>
      <c r="H696" s="207"/>
      <c r="I696" s="211" t="str">
        <f t="shared" si="102"/>
        <v/>
      </c>
      <c r="J696" s="207"/>
      <c r="K696" s="211" t="str">
        <f t="shared" si="103"/>
        <v/>
      </c>
      <c r="L696" s="207"/>
      <c r="M696" s="211" t="str">
        <f t="shared" si="104"/>
        <v/>
      </c>
      <c r="N696" s="207"/>
      <c r="O696" s="211" t="str">
        <f t="shared" si="105"/>
        <v/>
      </c>
      <c r="P696" s="207"/>
      <c r="Q696" s="211" t="str">
        <f t="shared" si="106"/>
        <v/>
      </c>
      <c r="R696" s="207"/>
      <c r="S696" s="211" t="str">
        <f t="shared" si="107"/>
        <v/>
      </c>
      <c r="T696" s="272" t="str">
        <f t="shared" si="108"/>
        <v/>
      </c>
      <c r="U696" s="212" t="str">
        <f t="shared" si="109"/>
        <v/>
      </c>
    </row>
    <row r="697" spans="2:21" x14ac:dyDescent="0.25">
      <c r="B697" s="241" t="str">
        <f>IF(Contagem!B695=0,"",Contagem!B695)</f>
        <v/>
      </c>
      <c r="C697" s="242" t="str">
        <f>IF(Contagem!T695 &gt; 0,Contagem!T695,"")</f>
        <v/>
      </c>
      <c r="D697" s="207"/>
      <c r="E697" s="211" t="str">
        <f t="shared" si="100"/>
        <v/>
      </c>
      <c r="F697" s="207"/>
      <c r="G697" s="211" t="str">
        <f t="shared" si="101"/>
        <v/>
      </c>
      <c r="H697" s="207"/>
      <c r="I697" s="211" t="str">
        <f t="shared" si="102"/>
        <v/>
      </c>
      <c r="J697" s="207"/>
      <c r="K697" s="211" t="str">
        <f t="shared" si="103"/>
        <v/>
      </c>
      <c r="L697" s="207"/>
      <c r="M697" s="211" t="str">
        <f t="shared" si="104"/>
        <v/>
      </c>
      <c r="N697" s="207"/>
      <c r="O697" s="211" t="str">
        <f t="shared" si="105"/>
        <v/>
      </c>
      <c r="P697" s="207"/>
      <c r="Q697" s="211" t="str">
        <f t="shared" si="106"/>
        <v/>
      </c>
      <c r="R697" s="207"/>
      <c r="S697" s="211" t="str">
        <f t="shared" si="107"/>
        <v/>
      </c>
      <c r="T697" s="272" t="str">
        <f t="shared" si="108"/>
        <v/>
      </c>
      <c r="U697" s="212" t="str">
        <f t="shared" si="109"/>
        <v/>
      </c>
    </row>
    <row r="698" spans="2:21" x14ac:dyDescent="0.25">
      <c r="B698" s="241" t="str">
        <f>IF(Contagem!B696=0,"",Contagem!B696)</f>
        <v/>
      </c>
      <c r="C698" s="242" t="str">
        <f>IF(Contagem!T696 &gt; 0,Contagem!T696,"")</f>
        <v/>
      </c>
      <c r="D698" s="207"/>
      <c r="E698" s="211" t="str">
        <f t="shared" si="100"/>
        <v/>
      </c>
      <c r="F698" s="207"/>
      <c r="G698" s="211" t="str">
        <f t="shared" si="101"/>
        <v/>
      </c>
      <c r="H698" s="207"/>
      <c r="I698" s="211" t="str">
        <f t="shared" si="102"/>
        <v/>
      </c>
      <c r="J698" s="207"/>
      <c r="K698" s="211" t="str">
        <f t="shared" si="103"/>
        <v/>
      </c>
      <c r="L698" s="207"/>
      <c r="M698" s="211" t="str">
        <f t="shared" si="104"/>
        <v/>
      </c>
      <c r="N698" s="207"/>
      <c r="O698" s="211" t="str">
        <f t="shared" si="105"/>
        <v/>
      </c>
      <c r="P698" s="207"/>
      <c r="Q698" s="211" t="str">
        <f t="shared" si="106"/>
        <v/>
      </c>
      <c r="R698" s="207"/>
      <c r="S698" s="211" t="str">
        <f t="shared" si="107"/>
        <v/>
      </c>
      <c r="T698" s="272" t="str">
        <f t="shared" si="108"/>
        <v/>
      </c>
      <c r="U698" s="212" t="str">
        <f t="shared" si="109"/>
        <v/>
      </c>
    </row>
    <row r="699" spans="2:21" x14ac:dyDescent="0.25">
      <c r="B699" s="241" t="str">
        <f>IF(Contagem!B697=0,"",Contagem!B697)</f>
        <v/>
      </c>
      <c r="C699" s="242" t="str">
        <f>IF(Contagem!T697 &gt; 0,Contagem!T697,"")</f>
        <v/>
      </c>
      <c r="D699" s="207"/>
      <c r="E699" s="211" t="str">
        <f t="shared" si="100"/>
        <v/>
      </c>
      <c r="F699" s="207"/>
      <c r="G699" s="211" t="str">
        <f t="shared" si="101"/>
        <v/>
      </c>
      <c r="H699" s="207"/>
      <c r="I699" s="211" t="str">
        <f t="shared" si="102"/>
        <v/>
      </c>
      <c r="J699" s="207"/>
      <c r="K699" s="211" t="str">
        <f t="shared" si="103"/>
        <v/>
      </c>
      <c r="L699" s="207"/>
      <c r="M699" s="211" t="str">
        <f t="shared" si="104"/>
        <v/>
      </c>
      <c r="N699" s="207"/>
      <c r="O699" s="211" t="str">
        <f t="shared" si="105"/>
        <v/>
      </c>
      <c r="P699" s="207"/>
      <c r="Q699" s="211" t="str">
        <f t="shared" si="106"/>
        <v/>
      </c>
      <c r="R699" s="207"/>
      <c r="S699" s="211" t="str">
        <f t="shared" si="107"/>
        <v/>
      </c>
      <c r="T699" s="272" t="str">
        <f t="shared" si="108"/>
        <v/>
      </c>
      <c r="U699" s="212" t="str">
        <f t="shared" si="109"/>
        <v/>
      </c>
    </row>
    <row r="700" spans="2:21" x14ac:dyDescent="0.25">
      <c r="B700" s="241" t="str">
        <f>IF(Contagem!B698=0,"",Contagem!B698)</f>
        <v/>
      </c>
      <c r="C700" s="242" t="str">
        <f>IF(Contagem!T698 &gt; 0,Contagem!T698,"")</f>
        <v/>
      </c>
      <c r="D700" s="207"/>
      <c r="E700" s="211" t="str">
        <f t="shared" si="100"/>
        <v/>
      </c>
      <c r="F700" s="207"/>
      <c r="G700" s="211" t="str">
        <f t="shared" si="101"/>
        <v/>
      </c>
      <c r="H700" s="207"/>
      <c r="I700" s="211" t="str">
        <f t="shared" si="102"/>
        <v/>
      </c>
      <c r="J700" s="207"/>
      <c r="K700" s="211" t="str">
        <f t="shared" si="103"/>
        <v/>
      </c>
      <c r="L700" s="207"/>
      <c r="M700" s="211" t="str">
        <f t="shared" si="104"/>
        <v/>
      </c>
      <c r="N700" s="207"/>
      <c r="O700" s="211" t="str">
        <f t="shared" si="105"/>
        <v/>
      </c>
      <c r="P700" s="207"/>
      <c r="Q700" s="211" t="str">
        <f t="shared" si="106"/>
        <v/>
      </c>
      <c r="R700" s="207"/>
      <c r="S700" s="211" t="str">
        <f t="shared" si="107"/>
        <v/>
      </c>
      <c r="T700" s="272" t="str">
        <f t="shared" si="108"/>
        <v/>
      </c>
      <c r="U700" s="212" t="str">
        <f t="shared" si="109"/>
        <v/>
      </c>
    </row>
    <row r="701" spans="2:21" x14ac:dyDescent="0.25">
      <c r="B701" s="241" t="str">
        <f>IF(Contagem!B699=0,"",Contagem!B699)</f>
        <v/>
      </c>
      <c r="C701" s="242" t="str">
        <f>IF(Contagem!T699 &gt; 0,Contagem!T699,"")</f>
        <v/>
      </c>
      <c r="D701" s="207"/>
      <c r="E701" s="211" t="str">
        <f t="shared" si="100"/>
        <v/>
      </c>
      <c r="F701" s="207"/>
      <c r="G701" s="211" t="str">
        <f t="shared" si="101"/>
        <v/>
      </c>
      <c r="H701" s="207"/>
      <c r="I701" s="211" t="str">
        <f t="shared" si="102"/>
        <v/>
      </c>
      <c r="J701" s="207"/>
      <c r="K701" s="211" t="str">
        <f t="shared" si="103"/>
        <v/>
      </c>
      <c r="L701" s="207"/>
      <c r="M701" s="211" t="str">
        <f t="shared" si="104"/>
        <v/>
      </c>
      <c r="N701" s="207"/>
      <c r="O701" s="211" t="str">
        <f t="shared" si="105"/>
        <v/>
      </c>
      <c r="P701" s="207"/>
      <c r="Q701" s="211" t="str">
        <f t="shared" si="106"/>
        <v/>
      </c>
      <c r="R701" s="207"/>
      <c r="S701" s="211" t="str">
        <f t="shared" si="107"/>
        <v/>
      </c>
      <c r="T701" s="272" t="str">
        <f t="shared" si="108"/>
        <v/>
      </c>
      <c r="U701" s="212" t="str">
        <f t="shared" si="109"/>
        <v/>
      </c>
    </row>
    <row r="702" spans="2:21" x14ac:dyDescent="0.25">
      <c r="B702" s="241" t="str">
        <f>IF(Contagem!B700=0,"",Contagem!B700)</f>
        <v/>
      </c>
      <c r="C702" s="242" t="str">
        <f>IF(Contagem!T700 &gt; 0,Contagem!T700,"")</f>
        <v/>
      </c>
      <c r="D702" s="207"/>
      <c r="E702" s="211" t="str">
        <f t="shared" si="100"/>
        <v/>
      </c>
      <c r="F702" s="207"/>
      <c r="G702" s="211" t="str">
        <f t="shared" si="101"/>
        <v/>
      </c>
      <c r="H702" s="207"/>
      <c r="I702" s="211" t="str">
        <f t="shared" si="102"/>
        <v/>
      </c>
      <c r="J702" s="207"/>
      <c r="K702" s="211" t="str">
        <f t="shared" si="103"/>
        <v/>
      </c>
      <c r="L702" s="207"/>
      <c r="M702" s="211" t="str">
        <f t="shared" si="104"/>
        <v/>
      </c>
      <c r="N702" s="207"/>
      <c r="O702" s="211" t="str">
        <f t="shared" si="105"/>
        <v/>
      </c>
      <c r="P702" s="207"/>
      <c r="Q702" s="211" t="str">
        <f t="shared" si="106"/>
        <v/>
      </c>
      <c r="R702" s="207"/>
      <c r="S702" s="211" t="str">
        <f t="shared" si="107"/>
        <v/>
      </c>
      <c r="T702" s="272" t="str">
        <f t="shared" si="108"/>
        <v/>
      </c>
      <c r="U702" s="212" t="str">
        <f t="shared" si="109"/>
        <v/>
      </c>
    </row>
    <row r="703" spans="2:21" x14ac:dyDescent="0.25">
      <c r="B703" s="241" t="str">
        <f>IF(Contagem!B701=0,"",Contagem!B701)</f>
        <v/>
      </c>
      <c r="C703" s="242" t="str">
        <f>IF(Contagem!T701 &gt; 0,Contagem!T701,"")</f>
        <v/>
      </c>
      <c r="D703" s="207"/>
      <c r="E703" s="211" t="str">
        <f t="shared" si="100"/>
        <v/>
      </c>
      <c r="F703" s="207"/>
      <c r="G703" s="211" t="str">
        <f t="shared" si="101"/>
        <v/>
      </c>
      <c r="H703" s="207"/>
      <c r="I703" s="211" t="str">
        <f t="shared" si="102"/>
        <v/>
      </c>
      <c r="J703" s="207"/>
      <c r="K703" s="211" t="str">
        <f t="shared" si="103"/>
        <v/>
      </c>
      <c r="L703" s="207"/>
      <c r="M703" s="211" t="str">
        <f t="shared" si="104"/>
        <v/>
      </c>
      <c r="N703" s="207"/>
      <c r="O703" s="211" t="str">
        <f t="shared" si="105"/>
        <v/>
      </c>
      <c r="P703" s="207"/>
      <c r="Q703" s="211" t="str">
        <f t="shared" si="106"/>
        <v/>
      </c>
      <c r="R703" s="207"/>
      <c r="S703" s="211" t="str">
        <f t="shared" si="107"/>
        <v/>
      </c>
      <c r="T703" s="272" t="str">
        <f t="shared" si="108"/>
        <v/>
      </c>
      <c r="U703" s="212" t="str">
        <f t="shared" si="109"/>
        <v/>
      </c>
    </row>
    <row r="704" spans="2:21" x14ac:dyDescent="0.25">
      <c r="B704" s="241" t="str">
        <f>IF(Contagem!B702=0,"",Contagem!B702)</f>
        <v/>
      </c>
      <c r="C704" s="242" t="str">
        <f>IF(Contagem!T702 &gt; 0,Contagem!T702,"")</f>
        <v/>
      </c>
      <c r="D704" s="207"/>
      <c r="E704" s="211" t="str">
        <f t="shared" si="100"/>
        <v/>
      </c>
      <c r="F704" s="207"/>
      <c r="G704" s="211" t="str">
        <f t="shared" si="101"/>
        <v/>
      </c>
      <c r="H704" s="207"/>
      <c r="I704" s="211" t="str">
        <f t="shared" si="102"/>
        <v/>
      </c>
      <c r="J704" s="207"/>
      <c r="K704" s="211" t="str">
        <f t="shared" si="103"/>
        <v/>
      </c>
      <c r="L704" s="207"/>
      <c r="M704" s="211" t="str">
        <f t="shared" si="104"/>
        <v/>
      </c>
      <c r="N704" s="207"/>
      <c r="O704" s="211" t="str">
        <f t="shared" si="105"/>
        <v/>
      </c>
      <c r="P704" s="207"/>
      <c r="Q704" s="211" t="str">
        <f t="shared" si="106"/>
        <v/>
      </c>
      <c r="R704" s="207"/>
      <c r="S704" s="211" t="str">
        <f t="shared" si="107"/>
        <v/>
      </c>
      <c r="T704" s="272" t="str">
        <f t="shared" si="108"/>
        <v/>
      </c>
      <c r="U704" s="212" t="str">
        <f t="shared" si="109"/>
        <v/>
      </c>
    </row>
    <row r="705" spans="2:21" x14ac:dyDescent="0.25">
      <c r="B705" s="241" t="str">
        <f>IF(Contagem!B703=0,"",Contagem!B703)</f>
        <v/>
      </c>
      <c r="C705" s="242" t="str">
        <f>IF(Contagem!T703 &gt; 0,Contagem!T703,"")</f>
        <v/>
      </c>
      <c r="D705" s="207"/>
      <c r="E705" s="211" t="str">
        <f t="shared" si="100"/>
        <v/>
      </c>
      <c r="F705" s="207"/>
      <c r="G705" s="211" t="str">
        <f t="shared" si="101"/>
        <v/>
      </c>
      <c r="H705" s="207"/>
      <c r="I705" s="211" t="str">
        <f t="shared" si="102"/>
        <v/>
      </c>
      <c r="J705" s="207"/>
      <c r="K705" s="211" t="str">
        <f t="shared" si="103"/>
        <v/>
      </c>
      <c r="L705" s="207"/>
      <c r="M705" s="211" t="str">
        <f t="shared" si="104"/>
        <v/>
      </c>
      <c r="N705" s="207"/>
      <c r="O705" s="211" t="str">
        <f t="shared" si="105"/>
        <v/>
      </c>
      <c r="P705" s="207"/>
      <c r="Q705" s="211" t="str">
        <f t="shared" si="106"/>
        <v/>
      </c>
      <c r="R705" s="207"/>
      <c r="S705" s="211" t="str">
        <f t="shared" si="107"/>
        <v/>
      </c>
      <c r="T705" s="272" t="str">
        <f t="shared" si="108"/>
        <v/>
      </c>
      <c r="U705" s="212" t="str">
        <f t="shared" si="109"/>
        <v/>
      </c>
    </row>
    <row r="706" spans="2:21" x14ac:dyDescent="0.25">
      <c r="B706" s="241" t="str">
        <f>IF(Contagem!B704=0,"",Contagem!B704)</f>
        <v/>
      </c>
      <c r="C706" s="242" t="str">
        <f>IF(Contagem!T704 &gt; 0,Contagem!T704,"")</f>
        <v/>
      </c>
      <c r="D706" s="207"/>
      <c r="E706" s="211" t="str">
        <f t="shared" si="100"/>
        <v/>
      </c>
      <c r="F706" s="207"/>
      <c r="G706" s="211" t="str">
        <f t="shared" si="101"/>
        <v/>
      </c>
      <c r="H706" s="207"/>
      <c r="I706" s="211" t="str">
        <f t="shared" si="102"/>
        <v/>
      </c>
      <c r="J706" s="207"/>
      <c r="K706" s="211" t="str">
        <f t="shared" si="103"/>
        <v/>
      </c>
      <c r="L706" s="207"/>
      <c r="M706" s="211" t="str">
        <f t="shared" si="104"/>
        <v/>
      </c>
      <c r="N706" s="207"/>
      <c r="O706" s="211" t="str">
        <f t="shared" si="105"/>
        <v/>
      </c>
      <c r="P706" s="207"/>
      <c r="Q706" s="211" t="str">
        <f t="shared" si="106"/>
        <v/>
      </c>
      <c r="R706" s="207"/>
      <c r="S706" s="211" t="str">
        <f t="shared" si="107"/>
        <v/>
      </c>
      <c r="T706" s="272" t="str">
        <f t="shared" si="108"/>
        <v/>
      </c>
      <c r="U706" s="212" t="str">
        <f t="shared" si="109"/>
        <v/>
      </c>
    </row>
    <row r="707" spans="2:21" x14ac:dyDescent="0.25">
      <c r="B707" s="241" t="str">
        <f>IF(Contagem!B705=0,"",Contagem!B705)</f>
        <v/>
      </c>
      <c r="C707" s="242" t="str">
        <f>IF(Contagem!T705 &gt; 0,Contagem!T705,"")</f>
        <v/>
      </c>
      <c r="D707" s="207"/>
      <c r="E707" s="211" t="str">
        <f t="shared" si="100"/>
        <v/>
      </c>
      <c r="F707" s="207"/>
      <c r="G707" s="211" t="str">
        <f t="shared" si="101"/>
        <v/>
      </c>
      <c r="H707" s="207"/>
      <c r="I707" s="211" t="str">
        <f t="shared" si="102"/>
        <v/>
      </c>
      <c r="J707" s="207"/>
      <c r="K707" s="211" t="str">
        <f t="shared" si="103"/>
        <v/>
      </c>
      <c r="L707" s="207"/>
      <c r="M707" s="211" t="str">
        <f t="shared" si="104"/>
        <v/>
      </c>
      <c r="N707" s="207"/>
      <c r="O707" s="211" t="str">
        <f t="shared" si="105"/>
        <v/>
      </c>
      <c r="P707" s="207"/>
      <c r="Q707" s="211" t="str">
        <f t="shared" si="106"/>
        <v/>
      </c>
      <c r="R707" s="207"/>
      <c r="S707" s="211" t="str">
        <f t="shared" si="107"/>
        <v/>
      </c>
      <c r="T707" s="272" t="str">
        <f t="shared" si="108"/>
        <v/>
      </c>
      <c r="U707" s="212" t="str">
        <f t="shared" si="109"/>
        <v/>
      </c>
    </row>
    <row r="708" spans="2:21" x14ac:dyDescent="0.25">
      <c r="B708" s="241" t="str">
        <f>IF(Contagem!B706=0,"",Contagem!B706)</f>
        <v/>
      </c>
      <c r="C708" s="242" t="str">
        <f>IF(Contagem!T706 &gt; 0,Contagem!T706,"")</f>
        <v/>
      </c>
      <c r="D708" s="207"/>
      <c r="E708" s="211" t="str">
        <f t="shared" si="100"/>
        <v/>
      </c>
      <c r="F708" s="207"/>
      <c r="G708" s="211" t="str">
        <f t="shared" si="101"/>
        <v/>
      </c>
      <c r="H708" s="207"/>
      <c r="I708" s="211" t="str">
        <f t="shared" si="102"/>
        <v/>
      </c>
      <c r="J708" s="207"/>
      <c r="K708" s="211" t="str">
        <f t="shared" si="103"/>
        <v/>
      </c>
      <c r="L708" s="207"/>
      <c r="M708" s="211" t="str">
        <f t="shared" si="104"/>
        <v/>
      </c>
      <c r="N708" s="207"/>
      <c r="O708" s="211" t="str">
        <f t="shared" si="105"/>
        <v/>
      </c>
      <c r="P708" s="207"/>
      <c r="Q708" s="211" t="str">
        <f t="shared" si="106"/>
        <v/>
      </c>
      <c r="R708" s="207"/>
      <c r="S708" s="211" t="str">
        <f t="shared" si="107"/>
        <v/>
      </c>
      <c r="T708" s="272" t="str">
        <f t="shared" si="108"/>
        <v/>
      </c>
      <c r="U708" s="212" t="str">
        <f t="shared" si="109"/>
        <v/>
      </c>
    </row>
    <row r="709" spans="2:21" x14ac:dyDescent="0.25">
      <c r="B709" s="241" t="str">
        <f>IF(Contagem!B707=0,"",Contagem!B707)</f>
        <v/>
      </c>
      <c r="C709" s="242" t="str">
        <f>IF(Contagem!T707 &gt; 0,Contagem!T707,"")</f>
        <v/>
      </c>
      <c r="D709" s="207"/>
      <c r="E709" s="211" t="str">
        <f t="shared" si="100"/>
        <v/>
      </c>
      <c r="F709" s="207"/>
      <c r="G709" s="211" t="str">
        <f t="shared" si="101"/>
        <v/>
      </c>
      <c r="H709" s="207"/>
      <c r="I709" s="211" t="str">
        <f t="shared" si="102"/>
        <v/>
      </c>
      <c r="J709" s="207"/>
      <c r="K709" s="211" t="str">
        <f t="shared" si="103"/>
        <v/>
      </c>
      <c r="L709" s="207"/>
      <c r="M709" s="211" t="str">
        <f t="shared" si="104"/>
        <v/>
      </c>
      <c r="N709" s="207"/>
      <c r="O709" s="211" t="str">
        <f t="shared" si="105"/>
        <v/>
      </c>
      <c r="P709" s="207"/>
      <c r="Q709" s="211" t="str">
        <f t="shared" si="106"/>
        <v/>
      </c>
      <c r="R709" s="207"/>
      <c r="S709" s="211" t="str">
        <f t="shared" si="107"/>
        <v/>
      </c>
      <c r="T709" s="272" t="str">
        <f t="shared" si="108"/>
        <v/>
      </c>
      <c r="U709" s="212" t="str">
        <f t="shared" si="109"/>
        <v/>
      </c>
    </row>
    <row r="710" spans="2:21" x14ac:dyDescent="0.25">
      <c r="B710" s="241" t="str">
        <f>IF(Contagem!B708=0,"",Contagem!B708)</f>
        <v/>
      </c>
      <c r="C710" s="242" t="str">
        <f>IF(Contagem!T708 &gt; 0,Contagem!T708,"")</f>
        <v/>
      </c>
      <c r="D710" s="207"/>
      <c r="E710" s="211" t="str">
        <f t="shared" si="100"/>
        <v/>
      </c>
      <c r="F710" s="207"/>
      <c r="G710" s="211" t="str">
        <f t="shared" si="101"/>
        <v/>
      </c>
      <c r="H710" s="207"/>
      <c r="I710" s="211" t="str">
        <f t="shared" si="102"/>
        <v/>
      </c>
      <c r="J710" s="207"/>
      <c r="K710" s="211" t="str">
        <f t="shared" si="103"/>
        <v/>
      </c>
      <c r="L710" s="207"/>
      <c r="M710" s="211" t="str">
        <f t="shared" si="104"/>
        <v/>
      </c>
      <c r="N710" s="207"/>
      <c r="O710" s="211" t="str">
        <f t="shared" si="105"/>
        <v/>
      </c>
      <c r="P710" s="207"/>
      <c r="Q710" s="211" t="str">
        <f t="shared" si="106"/>
        <v/>
      </c>
      <c r="R710" s="207"/>
      <c r="S710" s="211" t="str">
        <f t="shared" si="107"/>
        <v/>
      </c>
      <c r="T710" s="272" t="str">
        <f t="shared" si="108"/>
        <v/>
      </c>
      <c r="U710" s="212" t="str">
        <f t="shared" si="109"/>
        <v/>
      </c>
    </row>
    <row r="711" spans="2:21" x14ac:dyDescent="0.25">
      <c r="B711" s="241" t="str">
        <f>IF(Contagem!B709=0,"",Contagem!B709)</f>
        <v/>
      </c>
      <c r="C711" s="242" t="str">
        <f>IF(Contagem!T709 &gt; 0,Contagem!T709,"")</f>
        <v/>
      </c>
      <c r="D711" s="207"/>
      <c r="E711" s="211" t="str">
        <f t="shared" ref="E711:E774" si="110">IFERROR(IF(AND($D$4&lt;&gt; 0,D711="Sim", $C711 &gt; 0),$C711*$D$4,""),0)</f>
        <v/>
      </c>
      <c r="F711" s="207"/>
      <c r="G711" s="211" t="str">
        <f t="shared" ref="G711:G774" si="111">IFERROR(IF(AND($F$4&lt;&gt; 0,F711="Sim", $C711 &gt; 0),$C711*$F$4,""),0)</f>
        <v/>
      </c>
      <c r="H711" s="207"/>
      <c r="I711" s="211" t="str">
        <f t="shared" ref="I711:I774" si="112">IFERROR(IF(AND($H$4&lt;&gt; 0,H711="Sim", $C711 &gt; 0),$C711*$H$4,""),0)</f>
        <v/>
      </c>
      <c r="J711" s="207"/>
      <c r="K711" s="211" t="str">
        <f t="shared" ref="K711:K774" si="113">IFERROR(IF(AND($J$4&lt;&gt; 0,J711="Sim", $C711 &gt; 0),$C711*$J$4,""),0)</f>
        <v/>
      </c>
      <c r="L711" s="207"/>
      <c r="M711" s="211" t="str">
        <f t="shared" ref="M711:M774" si="114">IFERROR(IF(AND($L$4&lt;&gt; 0,L711="Sim", $C711 &gt; 0),$C711*$L$4,""),0)</f>
        <v/>
      </c>
      <c r="N711" s="207"/>
      <c r="O711" s="211" t="str">
        <f t="shared" ref="O711:O774" si="115">IFERROR(IF(AND($N$4&lt;&gt; 0,N711="Sim", $C711 &gt; 0),$C711*$N$4,""),0)</f>
        <v/>
      </c>
      <c r="P711" s="207"/>
      <c r="Q711" s="211" t="str">
        <f t="shared" ref="Q711:Q774" si="116">IFERROR(IF(AND($P$4&lt;&gt; 0,P711="Sim", $C711 &gt; 0),$C711*$P$4,""),0)</f>
        <v/>
      </c>
      <c r="R711" s="207"/>
      <c r="S711" s="211" t="str">
        <f t="shared" ref="S711:S774" si="117">IFERROR(IF(AND($R$4&lt;&gt; 0,R711="Sim", $C711 &gt; 0),$C711*$R$4,""),0)</f>
        <v/>
      </c>
      <c r="T711" s="272" t="str">
        <f t="shared" ref="T711:T774" si="118">IFERROR(U711/C711,"")</f>
        <v/>
      </c>
      <c r="U711" s="212" t="str">
        <f t="shared" ref="U711:U774" si="119">IF(SUM(E711,G711,I711,K711,M711,O711,Q711,S711) &gt; 0,SUM(E711,G711,I711,K711,M711,O711,Q711,S711),"")</f>
        <v/>
      </c>
    </row>
    <row r="712" spans="2:21" x14ac:dyDescent="0.25">
      <c r="B712" s="241" t="str">
        <f>IF(Contagem!B710=0,"",Contagem!B710)</f>
        <v/>
      </c>
      <c r="C712" s="242" t="str">
        <f>IF(Contagem!T710 &gt; 0,Contagem!T710,"")</f>
        <v/>
      </c>
      <c r="D712" s="207"/>
      <c r="E712" s="211" t="str">
        <f t="shared" si="110"/>
        <v/>
      </c>
      <c r="F712" s="207"/>
      <c r="G712" s="211" t="str">
        <f t="shared" si="111"/>
        <v/>
      </c>
      <c r="H712" s="207"/>
      <c r="I712" s="211" t="str">
        <f t="shared" si="112"/>
        <v/>
      </c>
      <c r="J712" s="207"/>
      <c r="K712" s="211" t="str">
        <f t="shared" si="113"/>
        <v/>
      </c>
      <c r="L712" s="207"/>
      <c r="M712" s="211" t="str">
        <f t="shared" si="114"/>
        <v/>
      </c>
      <c r="N712" s="207"/>
      <c r="O712" s="211" t="str">
        <f t="shared" si="115"/>
        <v/>
      </c>
      <c r="P712" s="207"/>
      <c r="Q712" s="211" t="str">
        <f t="shared" si="116"/>
        <v/>
      </c>
      <c r="R712" s="207"/>
      <c r="S712" s="211" t="str">
        <f t="shared" si="117"/>
        <v/>
      </c>
      <c r="T712" s="272" t="str">
        <f t="shared" si="118"/>
        <v/>
      </c>
      <c r="U712" s="212" t="str">
        <f t="shared" si="119"/>
        <v/>
      </c>
    </row>
    <row r="713" spans="2:21" x14ac:dyDescent="0.25">
      <c r="B713" s="241" t="str">
        <f>IF(Contagem!B711=0,"",Contagem!B711)</f>
        <v/>
      </c>
      <c r="C713" s="242" t="str">
        <f>IF(Contagem!T711 &gt; 0,Contagem!T711,"")</f>
        <v/>
      </c>
      <c r="D713" s="207"/>
      <c r="E713" s="211" t="str">
        <f t="shared" si="110"/>
        <v/>
      </c>
      <c r="F713" s="207"/>
      <c r="G713" s="211" t="str">
        <f t="shared" si="111"/>
        <v/>
      </c>
      <c r="H713" s="207"/>
      <c r="I713" s="211" t="str">
        <f t="shared" si="112"/>
        <v/>
      </c>
      <c r="J713" s="207"/>
      <c r="K713" s="211" t="str">
        <f t="shared" si="113"/>
        <v/>
      </c>
      <c r="L713" s="207"/>
      <c r="M713" s="211" t="str">
        <f t="shared" si="114"/>
        <v/>
      </c>
      <c r="N713" s="207"/>
      <c r="O713" s="211" t="str">
        <f t="shared" si="115"/>
        <v/>
      </c>
      <c r="P713" s="207"/>
      <c r="Q713" s="211" t="str">
        <f t="shared" si="116"/>
        <v/>
      </c>
      <c r="R713" s="207"/>
      <c r="S713" s="211" t="str">
        <f t="shared" si="117"/>
        <v/>
      </c>
      <c r="T713" s="272" t="str">
        <f t="shared" si="118"/>
        <v/>
      </c>
      <c r="U713" s="212" t="str">
        <f t="shared" si="119"/>
        <v/>
      </c>
    </row>
    <row r="714" spans="2:21" x14ac:dyDescent="0.25">
      <c r="B714" s="241" t="str">
        <f>IF(Contagem!B712=0,"",Contagem!B712)</f>
        <v/>
      </c>
      <c r="C714" s="242" t="str">
        <f>IF(Contagem!T712 &gt; 0,Contagem!T712,"")</f>
        <v/>
      </c>
      <c r="D714" s="207"/>
      <c r="E714" s="211" t="str">
        <f t="shared" si="110"/>
        <v/>
      </c>
      <c r="F714" s="207"/>
      <c r="G714" s="211" t="str">
        <f t="shared" si="111"/>
        <v/>
      </c>
      <c r="H714" s="207"/>
      <c r="I714" s="211" t="str">
        <f t="shared" si="112"/>
        <v/>
      </c>
      <c r="J714" s="207"/>
      <c r="K714" s="211" t="str">
        <f t="shared" si="113"/>
        <v/>
      </c>
      <c r="L714" s="207"/>
      <c r="M714" s="211" t="str">
        <f t="shared" si="114"/>
        <v/>
      </c>
      <c r="N714" s="207"/>
      <c r="O714" s="211" t="str">
        <f t="shared" si="115"/>
        <v/>
      </c>
      <c r="P714" s="207"/>
      <c r="Q714" s="211" t="str">
        <f t="shared" si="116"/>
        <v/>
      </c>
      <c r="R714" s="207"/>
      <c r="S714" s="211" t="str">
        <f t="shared" si="117"/>
        <v/>
      </c>
      <c r="T714" s="272" t="str">
        <f t="shared" si="118"/>
        <v/>
      </c>
      <c r="U714" s="212" t="str">
        <f t="shared" si="119"/>
        <v/>
      </c>
    </row>
    <row r="715" spans="2:21" x14ac:dyDescent="0.25">
      <c r="B715" s="241" t="str">
        <f>IF(Contagem!B713=0,"",Contagem!B713)</f>
        <v/>
      </c>
      <c r="C715" s="242" t="str">
        <f>IF(Contagem!T713 &gt; 0,Contagem!T713,"")</f>
        <v/>
      </c>
      <c r="D715" s="207"/>
      <c r="E715" s="211" t="str">
        <f t="shared" si="110"/>
        <v/>
      </c>
      <c r="F715" s="207"/>
      <c r="G715" s="211" t="str">
        <f t="shared" si="111"/>
        <v/>
      </c>
      <c r="H715" s="207"/>
      <c r="I715" s="211" t="str">
        <f t="shared" si="112"/>
        <v/>
      </c>
      <c r="J715" s="207"/>
      <c r="K715" s="211" t="str">
        <f t="shared" si="113"/>
        <v/>
      </c>
      <c r="L715" s="207"/>
      <c r="M715" s="211" t="str">
        <f t="shared" si="114"/>
        <v/>
      </c>
      <c r="N715" s="207"/>
      <c r="O715" s="211" t="str">
        <f t="shared" si="115"/>
        <v/>
      </c>
      <c r="P715" s="207"/>
      <c r="Q715" s="211" t="str">
        <f t="shared" si="116"/>
        <v/>
      </c>
      <c r="R715" s="207"/>
      <c r="S715" s="211" t="str">
        <f t="shared" si="117"/>
        <v/>
      </c>
      <c r="T715" s="272" t="str">
        <f t="shared" si="118"/>
        <v/>
      </c>
      <c r="U715" s="212" t="str">
        <f t="shared" si="119"/>
        <v/>
      </c>
    </row>
    <row r="716" spans="2:21" x14ac:dyDescent="0.25">
      <c r="B716" s="241" t="str">
        <f>IF(Contagem!B714=0,"",Contagem!B714)</f>
        <v/>
      </c>
      <c r="C716" s="242" t="str">
        <f>IF(Contagem!T714 &gt; 0,Contagem!T714,"")</f>
        <v/>
      </c>
      <c r="D716" s="207"/>
      <c r="E716" s="211" t="str">
        <f t="shared" si="110"/>
        <v/>
      </c>
      <c r="F716" s="207"/>
      <c r="G716" s="211" t="str">
        <f t="shared" si="111"/>
        <v/>
      </c>
      <c r="H716" s="207"/>
      <c r="I716" s="211" t="str">
        <f t="shared" si="112"/>
        <v/>
      </c>
      <c r="J716" s="207"/>
      <c r="K716" s="211" t="str">
        <f t="shared" si="113"/>
        <v/>
      </c>
      <c r="L716" s="207"/>
      <c r="M716" s="211" t="str">
        <f t="shared" si="114"/>
        <v/>
      </c>
      <c r="N716" s="207"/>
      <c r="O716" s="211" t="str">
        <f t="shared" si="115"/>
        <v/>
      </c>
      <c r="P716" s="207"/>
      <c r="Q716" s="211" t="str">
        <f t="shared" si="116"/>
        <v/>
      </c>
      <c r="R716" s="207"/>
      <c r="S716" s="211" t="str">
        <f t="shared" si="117"/>
        <v/>
      </c>
      <c r="T716" s="272" t="str">
        <f t="shared" si="118"/>
        <v/>
      </c>
      <c r="U716" s="212" t="str">
        <f t="shared" si="119"/>
        <v/>
      </c>
    </row>
    <row r="717" spans="2:21" x14ac:dyDescent="0.25">
      <c r="B717" s="241" t="str">
        <f>IF(Contagem!B715=0,"",Contagem!B715)</f>
        <v/>
      </c>
      <c r="C717" s="242" t="str">
        <f>IF(Contagem!T715 &gt; 0,Contagem!T715,"")</f>
        <v/>
      </c>
      <c r="D717" s="207"/>
      <c r="E717" s="211" t="str">
        <f t="shared" si="110"/>
        <v/>
      </c>
      <c r="F717" s="207"/>
      <c r="G717" s="211" t="str">
        <f t="shared" si="111"/>
        <v/>
      </c>
      <c r="H717" s="207"/>
      <c r="I717" s="211" t="str">
        <f t="shared" si="112"/>
        <v/>
      </c>
      <c r="J717" s="207"/>
      <c r="K717" s="211" t="str">
        <f t="shared" si="113"/>
        <v/>
      </c>
      <c r="L717" s="207"/>
      <c r="M717" s="211" t="str">
        <f t="shared" si="114"/>
        <v/>
      </c>
      <c r="N717" s="207"/>
      <c r="O717" s="211" t="str">
        <f t="shared" si="115"/>
        <v/>
      </c>
      <c r="P717" s="207"/>
      <c r="Q717" s="211" t="str">
        <f t="shared" si="116"/>
        <v/>
      </c>
      <c r="R717" s="207"/>
      <c r="S717" s="211" t="str">
        <f t="shared" si="117"/>
        <v/>
      </c>
      <c r="T717" s="272" t="str">
        <f t="shared" si="118"/>
        <v/>
      </c>
      <c r="U717" s="212" t="str">
        <f t="shared" si="119"/>
        <v/>
      </c>
    </row>
    <row r="718" spans="2:21" x14ac:dyDescent="0.25">
      <c r="B718" s="241" t="str">
        <f>IF(Contagem!B716=0,"",Contagem!B716)</f>
        <v/>
      </c>
      <c r="C718" s="242" t="str">
        <f>IF(Contagem!T716 &gt; 0,Contagem!T716,"")</f>
        <v/>
      </c>
      <c r="D718" s="207"/>
      <c r="E718" s="211" t="str">
        <f t="shared" si="110"/>
        <v/>
      </c>
      <c r="F718" s="207"/>
      <c r="G718" s="211" t="str">
        <f t="shared" si="111"/>
        <v/>
      </c>
      <c r="H718" s="207"/>
      <c r="I718" s="211" t="str">
        <f t="shared" si="112"/>
        <v/>
      </c>
      <c r="J718" s="207"/>
      <c r="K718" s="211" t="str">
        <f t="shared" si="113"/>
        <v/>
      </c>
      <c r="L718" s="207"/>
      <c r="M718" s="211" t="str">
        <f t="shared" si="114"/>
        <v/>
      </c>
      <c r="N718" s="207"/>
      <c r="O718" s="211" t="str">
        <f t="shared" si="115"/>
        <v/>
      </c>
      <c r="P718" s="207"/>
      <c r="Q718" s="211" t="str">
        <f t="shared" si="116"/>
        <v/>
      </c>
      <c r="R718" s="207"/>
      <c r="S718" s="211" t="str">
        <f t="shared" si="117"/>
        <v/>
      </c>
      <c r="T718" s="272" t="str">
        <f t="shared" si="118"/>
        <v/>
      </c>
      <c r="U718" s="212" t="str">
        <f t="shared" si="119"/>
        <v/>
      </c>
    </row>
    <row r="719" spans="2:21" x14ac:dyDescent="0.25">
      <c r="B719" s="241" t="str">
        <f>IF(Contagem!B717=0,"",Contagem!B717)</f>
        <v/>
      </c>
      <c r="C719" s="242" t="str">
        <f>IF(Contagem!T717 &gt; 0,Contagem!T717,"")</f>
        <v/>
      </c>
      <c r="D719" s="207"/>
      <c r="E719" s="211" t="str">
        <f t="shared" si="110"/>
        <v/>
      </c>
      <c r="F719" s="207"/>
      <c r="G719" s="211" t="str">
        <f t="shared" si="111"/>
        <v/>
      </c>
      <c r="H719" s="207"/>
      <c r="I719" s="211" t="str">
        <f t="shared" si="112"/>
        <v/>
      </c>
      <c r="J719" s="207"/>
      <c r="K719" s="211" t="str">
        <f t="shared" si="113"/>
        <v/>
      </c>
      <c r="L719" s="207"/>
      <c r="M719" s="211" t="str">
        <f t="shared" si="114"/>
        <v/>
      </c>
      <c r="N719" s="207"/>
      <c r="O719" s="211" t="str">
        <f t="shared" si="115"/>
        <v/>
      </c>
      <c r="P719" s="207"/>
      <c r="Q719" s="211" t="str">
        <f t="shared" si="116"/>
        <v/>
      </c>
      <c r="R719" s="207"/>
      <c r="S719" s="211" t="str">
        <f t="shared" si="117"/>
        <v/>
      </c>
      <c r="T719" s="272" t="str">
        <f t="shared" si="118"/>
        <v/>
      </c>
      <c r="U719" s="212" t="str">
        <f t="shared" si="119"/>
        <v/>
      </c>
    </row>
    <row r="720" spans="2:21" x14ac:dyDescent="0.25">
      <c r="B720" s="241" t="str">
        <f>IF(Contagem!B718=0,"",Contagem!B718)</f>
        <v/>
      </c>
      <c r="C720" s="242" t="str">
        <f>IF(Contagem!T718 &gt; 0,Contagem!T718,"")</f>
        <v/>
      </c>
      <c r="D720" s="207"/>
      <c r="E720" s="211" t="str">
        <f t="shared" si="110"/>
        <v/>
      </c>
      <c r="F720" s="207"/>
      <c r="G720" s="211" t="str">
        <f t="shared" si="111"/>
        <v/>
      </c>
      <c r="H720" s="207"/>
      <c r="I720" s="211" t="str">
        <f t="shared" si="112"/>
        <v/>
      </c>
      <c r="J720" s="207"/>
      <c r="K720" s="211" t="str">
        <f t="shared" si="113"/>
        <v/>
      </c>
      <c r="L720" s="207"/>
      <c r="M720" s="211" t="str">
        <f t="shared" si="114"/>
        <v/>
      </c>
      <c r="N720" s="207"/>
      <c r="O720" s="211" t="str">
        <f t="shared" si="115"/>
        <v/>
      </c>
      <c r="P720" s="207"/>
      <c r="Q720" s="211" t="str">
        <f t="shared" si="116"/>
        <v/>
      </c>
      <c r="R720" s="207"/>
      <c r="S720" s="211" t="str">
        <f t="shared" si="117"/>
        <v/>
      </c>
      <c r="T720" s="272" t="str">
        <f t="shared" si="118"/>
        <v/>
      </c>
      <c r="U720" s="212" t="str">
        <f t="shared" si="119"/>
        <v/>
      </c>
    </row>
    <row r="721" spans="2:21" x14ac:dyDescent="0.25">
      <c r="B721" s="241" t="str">
        <f>IF(Contagem!B719=0,"",Contagem!B719)</f>
        <v/>
      </c>
      <c r="C721" s="242" t="str">
        <f>IF(Contagem!T719 &gt; 0,Contagem!T719,"")</f>
        <v/>
      </c>
      <c r="D721" s="207"/>
      <c r="E721" s="211" t="str">
        <f t="shared" si="110"/>
        <v/>
      </c>
      <c r="F721" s="207"/>
      <c r="G721" s="211" t="str">
        <f t="shared" si="111"/>
        <v/>
      </c>
      <c r="H721" s="207"/>
      <c r="I721" s="211" t="str">
        <f t="shared" si="112"/>
        <v/>
      </c>
      <c r="J721" s="207"/>
      <c r="K721" s="211" t="str">
        <f t="shared" si="113"/>
        <v/>
      </c>
      <c r="L721" s="207"/>
      <c r="M721" s="211" t="str">
        <f t="shared" si="114"/>
        <v/>
      </c>
      <c r="N721" s="207"/>
      <c r="O721" s="211" t="str">
        <f t="shared" si="115"/>
        <v/>
      </c>
      <c r="P721" s="207"/>
      <c r="Q721" s="211" t="str">
        <f t="shared" si="116"/>
        <v/>
      </c>
      <c r="R721" s="207"/>
      <c r="S721" s="211" t="str">
        <f t="shared" si="117"/>
        <v/>
      </c>
      <c r="T721" s="272" t="str">
        <f t="shared" si="118"/>
        <v/>
      </c>
      <c r="U721" s="212" t="str">
        <f t="shared" si="119"/>
        <v/>
      </c>
    </row>
    <row r="722" spans="2:21" x14ac:dyDescent="0.25">
      <c r="B722" s="241" t="str">
        <f>IF(Contagem!B720=0,"",Contagem!B720)</f>
        <v/>
      </c>
      <c r="C722" s="242" t="str">
        <f>IF(Contagem!T720 &gt; 0,Contagem!T720,"")</f>
        <v/>
      </c>
      <c r="D722" s="207"/>
      <c r="E722" s="211" t="str">
        <f t="shared" si="110"/>
        <v/>
      </c>
      <c r="F722" s="207"/>
      <c r="G722" s="211" t="str">
        <f t="shared" si="111"/>
        <v/>
      </c>
      <c r="H722" s="207"/>
      <c r="I722" s="211" t="str">
        <f t="shared" si="112"/>
        <v/>
      </c>
      <c r="J722" s="207"/>
      <c r="K722" s="211" t="str">
        <f t="shared" si="113"/>
        <v/>
      </c>
      <c r="L722" s="207"/>
      <c r="M722" s="211" t="str">
        <f t="shared" si="114"/>
        <v/>
      </c>
      <c r="N722" s="207"/>
      <c r="O722" s="211" t="str">
        <f t="shared" si="115"/>
        <v/>
      </c>
      <c r="P722" s="207"/>
      <c r="Q722" s="211" t="str">
        <f t="shared" si="116"/>
        <v/>
      </c>
      <c r="R722" s="207"/>
      <c r="S722" s="211" t="str">
        <f t="shared" si="117"/>
        <v/>
      </c>
      <c r="T722" s="272" t="str">
        <f t="shared" si="118"/>
        <v/>
      </c>
      <c r="U722" s="212" t="str">
        <f t="shared" si="119"/>
        <v/>
      </c>
    </row>
    <row r="723" spans="2:21" x14ac:dyDescent="0.25">
      <c r="B723" s="241" t="str">
        <f>IF(Contagem!B721=0,"",Contagem!B721)</f>
        <v/>
      </c>
      <c r="C723" s="242" t="str">
        <f>IF(Contagem!T721 &gt; 0,Contagem!T721,"")</f>
        <v/>
      </c>
      <c r="D723" s="207"/>
      <c r="E723" s="211" t="str">
        <f t="shared" si="110"/>
        <v/>
      </c>
      <c r="F723" s="207"/>
      <c r="G723" s="211" t="str">
        <f t="shared" si="111"/>
        <v/>
      </c>
      <c r="H723" s="207"/>
      <c r="I723" s="211" t="str">
        <f t="shared" si="112"/>
        <v/>
      </c>
      <c r="J723" s="207"/>
      <c r="K723" s="211" t="str">
        <f t="shared" si="113"/>
        <v/>
      </c>
      <c r="L723" s="207"/>
      <c r="M723" s="211" t="str">
        <f t="shared" si="114"/>
        <v/>
      </c>
      <c r="N723" s="207"/>
      <c r="O723" s="211" t="str">
        <f t="shared" si="115"/>
        <v/>
      </c>
      <c r="P723" s="207"/>
      <c r="Q723" s="211" t="str">
        <f t="shared" si="116"/>
        <v/>
      </c>
      <c r="R723" s="207"/>
      <c r="S723" s="211" t="str">
        <f t="shared" si="117"/>
        <v/>
      </c>
      <c r="T723" s="272" t="str">
        <f t="shared" si="118"/>
        <v/>
      </c>
      <c r="U723" s="212" t="str">
        <f t="shared" si="119"/>
        <v/>
      </c>
    </row>
    <row r="724" spans="2:21" x14ac:dyDescent="0.25">
      <c r="B724" s="241" t="str">
        <f>IF(Contagem!B722=0,"",Contagem!B722)</f>
        <v/>
      </c>
      <c r="C724" s="242" t="str">
        <f>IF(Contagem!T722 &gt; 0,Contagem!T722,"")</f>
        <v/>
      </c>
      <c r="D724" s="207"/>
      <c r="E724" s="211" t="str">
        <f t="shared" si="110"/>
        <v/>
      </c>
      <c r="F724" s="207"/>
      <c r="G724" s="211" t="str">
        <f t="shared" si="111"/>
        <v/>
      </c>
      <c r="H724" s="207"/>
      <c r="I724" s="211" t="str">
        <f t="shared" si="112"/>
        <v/>
      </c>
      <c r="J724" s="207"/>
      <c r="K724" s="211" t="str">
        <f t="shared" si="113"/>
        <v/>
      </c>
      <c r="L724" s="207"/>
      <c r="M724" s="211" t="str">
        <f t="shared" si="114"/>
        <v/>
      </c>
      <c r="N724" s="207"/>
      <c r="O724" s="211" t="str">
        <f t="shared" si="115"/>
        <v/>
      </c>
      <c r="P724" s="207"/>
      <c r="Q724" s="211" t="str">
        <f t="shared" si="116"/>
        <v/>
      </c>
      <c r="R724" s="207"/>
      <c r="S724" s="211" t="str">
        <f t="shared" si="117"/>
        <v/>
      </c>
      <c r="T724" s="272" t="str">
        <f t="shared" si="118"/>
        <v/>
      </c>
      <c r="U724" s="212" t="str">
        <f t="shared" si="119"/>
        <v/>
      </c>
    </row>
    <row r="725" spans="2:21" x14ac:dyDescent="0.25">
      <c r="B725" s="241" t="str">
        <f>IF(Contagem!B723=0,"",Contagem!B723)</f>
        <v/>
      </c>
      <c r="C725" s="242" t="str">
        <f>IF(Contagem!T723 &gt; 0,Contagem!T723,"")</f>
        <v/>
      </c>
      <c r="D725" s="207"/>
      <c r="E725" s="211" t="str">
        <f t="shared" si="110"/>
        <v/>
      </c>
      <c r="F725" s="207"/>
      <c r="G725" s="211" t="str">
        <f t="shared" si="111"/>
        <v/>
      </c>
      <c r="H725" s="207"/>
      <c r="I725" s="211" t="str">
        <f t="shared" si="112"/>
        <v/>
      </c>
      <c r="J725" s="207"/>
      <c r="K725" s="211" t="str">
        <f t="shared" si="113"/>
        <v/>
      </c>
      <c r="L725" s="207"/>
      <c r="M725" s="211" t="str">
        <f t="shared" si="114"/>
        <v/>
      </c>
      <c r="N725" s="207"/>
      <c r="O725" s="211" t="str">
        <f t="shared" si="115"/>
        <v/>
      </c>
      <c r="P725" s="207"/>
      <c r="Q725" s="211" t="str">
        <f t="shared" si="116"/>
        <v/>
      </c>
      <c r="R725" s="207"/>
      <c r="S725" s="211" t="str">
        <f t="shared" si="117"/>
        <v/>
      </c>
      <c r="T725" s="272" t="str">
        <f t="shared" si="118"/>
        <v/>
      </c>
      <c r="U725" s="212" t="str">
        <f t="shared" si="119"/>
        <v/>
      </c>
    </row>
    <row r="726" spans="2:21" x14ac:dyDescent="0.25">
      <c r="B726" s="241" t="str">
        <f>IF(Contagem!B724=0,"",Contagem!B724)</f>
        <v/>
      </c>
      <c r="C726" s="242" t="str">
        <f>IF(Contagem!T724 &gt; 0,Contagem!T724,"")</f>
        <v/>
      </c>
      <c r="D726" s="207"/>
      <c r="E726" s="211" t="str">
        <f t="shared" si="110"/>
        <v/>
      </c>
      <c r="F726" s="207"/>
      <c r="G726" s="211" t="str">
        <f t="shared" si="111"/>
        <v/>
      </c>
      <c r="H726" s="207"/>
      <c r="I726" s="211" t="str">
        <f t="shared" si="112"/>
        <v/>
      </c>
      <c r="J726" s="207"/>
      <c r="K726" s="211" t="str">
        <f t="shared" si="113"/>
        <v/>
      </c>
      <c r="L726" s="207"/>
      <c r="M726" s="211" t="str">
        <f t="shared" si="114"/>
        <v/>
      </c>
      <c r="N726" s="207"/>
      <c r="O726" s="211" t="str">
        <f t="shared" si="115"/>
        <v/>
      </c>
      <c r="P726" s="207"/>
      <c r="Q726" s="211" t="str">
        <f t="shared" si="116"/>
        <v/>
      </c>
      <c r="R726" s="207"/>
      <c r="S726" s="211" t="str">
        <f t="shared" si="117"/>
        <v/>
      </c>
      <c r="T726" s="272" t="str">
        <f t="shared" si="118"/>
        <v/>
      </c>
      <c r="U726" s="212" t="str">
        <f t="shared" si="119"/>
        <v/>
      </c>
    </row>
    <row r="727" spans="2:21" x14ac:dyDescent="0.25">
      <c r="B727" s="241" t="str">
        <f>IF(Contagem!B725=0,"",Contagem!B725)</f>
        <v/>
      </c>
      <c r="C727" s="242" t="str">
        <f>IF(Contagem!T725 &gt; 0,Contagem!T725,"")</f>
        <v/>
      </c>
      <c r="D727" s="207"/>
      <c r="E727" s="211" t="str">
        <f t="shared" si="110"/>
        <v/>
      </c>
      <c r="F727" s="207"/>
      <c r="G727" s="211" t="str">
        <f t="shared" si="111"/>
        <v/>
      </c>
      <c r="H727" s="207"/>
      <c r="I727" s="211" t="str">
        <f t="shared" si="112"/>
        <v/>
      </c>
      <c r="J727" s="207"/>
      <c r="K727" s="211" t="str">
        <f t="shared" si="113"/>
        <v/>
      </c>
      <c r="L727" s="207"/>
      <c r="M727" s="211" t="str">
        <f t="shared" si="114"/>
        <v/>
      </c>
      <c r="N727" s="207"/>
      <c r="O727" s="211" t="str">
        <f t="shared" si="115"/>
        <v/>
      </c>
      <c r="P727" s="207"/>
      <c r="Q727" s="211" t="str">
        <f t="shared" si="116"/>
        <v/>
      </c>
      <c r="R727" s="207"/>
      <c r="S727" s="211" t="str">
        <f t="shared" si="117"/>
        <v/>
      </c>
      <c r="T727" s="272" t="str">
        <f t="shared" si="118"/>
        <v/>
      </c>
      <c r="U727" s="212" t="str">
        <f t="shared" si="119"/>
        <v/>
      </c>
    </row>
    <row r="728" spans="2:21" x14ac:dyDescent="0.25">
      <c r="B728" s="241" t="str">
        <f>IF(Contagem!B726=0,"",Contagem!B726)</f>
        <v/>
      </c>
      <c r="C728" s="242" t="str">
        <f>IF(Contagem!T726 &gt; 0,Contagem!T726,"")</f>
        <v/>
      </c>
      <c r="D728" s="207"/>
      <c r="E728" s="211" t="str">
        <f t="shared" si="110"/>
        <v/>
      </c>
      <c r="F728" s="207"/>
      <c r="G728" s="211" t="str">
        <f t="shared" si="111"/>
        <v/>
      </c>
      <c r="H728" s="207"/>
      <c r="I728" s="211" t="str">
        <f t="shared" si="112"/>
        <v/>
      </c>
      <c r="J728" s="207"/>
      <c r="K728" s="211" t="str">
        <f t="shared" si="113"/>
        <v/>
      </c>
      <c r="L728" s="207"/>
      <c r="M728" s="211" t="str">
        <f t="shared" si="114"/>
        <v/>
      </c>
      <c r="N728" s="207"/>
      <c r="O728" s="211" t="str">
        <f t="shared" si="115"/>
        <v/>
      </c>
      <c r="P728" s="207"/>
      <c r="Q728" s="211" t="str">
        <f t="shared" si="116"/>
        <v/>
      </c>
      <c r="R728" s="207"/>
      <c r="S728" s="211" t="str">
        <f t="shared" si="117"/>
        <v/>
      </c>
      <c r="T728" s="272" t="str">
        <f t="shared" si="118"/>
        <v/>
      </c>
      <c r="U728" s="212" t="str">
        <f t="shared" si="119"/>
        <v/>
      </c>
    </row>
    <row r="729" spans="2:21" x14ac:dyDescent="0.25">
      <c r="B729" s="241" t="str">
        <f>IF(Contagem!B727=0,"",Contagem!B727)</f>
        <v/>
      </c>
      <c r="C729" s="242" t="str">
        <f>IF(Contagem!T727 &gt; 0,Contagem!T727,"")</f>
        <v/>
      </c>
      <c r="D729" s="207"/>
      <c r="E729" s="211" t="str">
        <f t="shared" si="110"/>
        <v/>
      </c>
      <c r="F729" s="207"/>
      <c r="G729" s="211" t="str">
        <f t="shared" si="111"/>
        <v/>
      </c>
      <c r="H729" s="207"/>
      <c r="I729" s="211" t="str">
        <f t="shared" si="112"/>
        <v/>
      </c>
      <c r="J729" s="207"/>
      <c r="K729" s="211" t="str">
        <f t="shared" si="113"/>
        <v/>
      </c>
      <c r="L729" s="207"/>
      <c r="M729" s="211" t="str">
        <f t="shared" si="114"/>
        <v/>
      </c>
      <c r="N729" s="207"/>
      <c r="O729" s="211" t="str">
        <f t="shared" si="115"/>
        <v/>
      </c>
      <c r="P729" s="207"/>
      <c r="Q729" s="211" t="str">
        <f t="shared" si="116"/>
        <v/>
      </c>
      <c r="R729" s="207"/>
      <c r="S729" s="211" t="str">
        <f t="shared" si="117"/>
        <v/>
      </c>
      <c r="T729" s="272" t="str">
        <f t="shared" si="118"/>
        <v/>
      </c>
      <c r="U729" s="212" t="str">
        <f t="shared" si="119"/>
        <v/>
      </c>
    </row>
    <row r="730" spans="2:21" x14ac:dyDescent="0.25">
      <c r="B730" s="241" t="str">
        <f>IF(Contagem!B728=0,"",Contagem!B728)</f>
        <v/>
      </c>
      <c r="C730" s="242" t="str">
        <f>IF(Contagem!T728 &gt; 0,Contagem!T728,"")</f>
        <v/>
      </c>
      <c r="D730" s="207"/>
      <c r="E730" s="211" t="str">
        <f t="shared" si="110"/>
        <v/>
      </c>
      <c r="F730" s="207"/>
      <c r="G730" s="211" t="str">
        <f t="shared" si="111"/>
        <v/>
      </c>
      <c r="H730" s="207"/>
      <c r="I730" s="211" t="str">
        <f t="shared" si="112"/>
        <v/>
      </c>
      <c r="J730" s="207"/>
      <c r="K730" s="211" t="str">
        <f t="shared" si="113"/>
        <v/>
      </c>
      <c r="L730" s="207"/>
      <c r="M730" s="211" t="str">
        <f t="shared" si="114"/>
        <v/>
      </c>
      <c r="N730" s="207"/>
      <c r="O730" s="211" t="str">
        <f t="shared" si="115"/>
        <v/>
      </c>
      <c r="P730" s="207"/>
      <c r="Q730" s="211" t="str">
        <f t="shared" si="116"/>
        <v/>
      </c>
      <c r="R730" s="207"/>
      <c r="S730" s="211" t="str">
        <f t="shared" si="117"/>
        <v/>
      </c>
      <c r="T730" s="272" t="str">
        <f t="shared" si="118"/>
        <v/>
      </c>
      <c r="U730" s="212" t="str">
        <f t="shared" si="119"/>
        <v/>
      </c>
    </row>
    <row r="731" spans="2:21" x14ac:dyDescent="0.25">
      <c r="B731" s="241" t="str">
        <f>IF(Contagem!B729=0,"",Contagem!B729)</f>
        <v/>
      </c>
      <c r="C731" s="242" t="str">
        <f>IF(Contagem!T729 &gt; 0,Contagem!T729,"")</f>
        <v/>
      </c>
      <c r="D731" s="207"/>
      <c r="E731" s="211" t="str">
        <f t="shared" si="110"/>
        <v/>
      </c>
      <c r="F731" s="207"/>
      <c r="G731" s="211" t="str">
        <f t="shared" si="111"/>
        <v/>
      </c>
      <c r="H731" s="207"/>
      <c r="I731" s="211" t="str">
        <f t="shared" si="112"/>
        <v/>
      </c>
      <c r="J731" s="207"/>
      <c r="K731" s="211" t="str">
        <f t="shared" si="113"/>
        <v/>
      </c>
      <c r="L731" s="207"/>
      <c r="M731" s="211" t="str">
        <f t="shared" si="114"/>
        <v/>
      </c>
      <c r="N731" s="207"/>
      <c r="O731" s="211" t="str">
        <f t="shared" si="115"/>
        <v/>
      </c>
      <c r="P731" s="207"/>
      <c r="Q731" s="211" t="str">
        <f t="shared" si="116"/>
        <v/>
      </c>
      <c r="R731" s="207"/>
      <c r="S731" s="211" t="str">
        <f t="shared" si="117"/>
        <v/>
      </c>
      <c r="T731" s="272" t="str">
        <f t="shared" si="118"/>
        <v/>
      </c>
      <c r="U731" s="212" t="str">
        <f t="shared" si="119"/>
        <v/>
      </c>
    </row>
    <row r="732" spans="2:21" x14ac:dyDescent="0.25">
      <c r="B732" s="241" t="str">
        <f>IF(Contagem!B730=0,"",Contagem!B730)</f>
        <v/>
      </c>
      <c r="C732" s="242" t="str">
        <f>IF(Contagem!T730 &gt; 0,Contagem!T730,"")</f>
        <v/>
      </c>
      <c r="D732" s="207"/>
      <c r="E732" s="211" t="str">
        <f t="shared" si="110"/>
        <v/>
      </c>
      <c r="F732" s="207"/>
      <c r="G732" s="211" t="str">
        <f t="shared" si="111"/>
        <v/>
      </c>
      <c r="H732" s="207"/>
      <c r="I732" s="211" t="str">
        <f t="shared" si="112"/>
        <v/>
      </c>
      <c r="J732" s="207"/>
      <c r="K732" s="211" t="str">
        <f t="shared" si="113"/>
        <v/>
      </c>
      <c r="L732" s="207"/>
      <c r="M732" s="211" t="str">
        <f t="shared" si="114"/>
        <v/>
      </c>
      <c r="N732" s="207"/>
      <c r="O732" s="211" t="str">
        <f t="shared" si="115"/>
        <v/>
      </c>
      <c r="P732" s="207"/>
      <c r="Q732" s="211" t="str">
        <f t="shared" si="116"/>
        <v/>
      </c>
      <c r="R732" s="207"/>
      <c r="S732" s="211" t="str">
        <f t="shared" si="117"/>
        <v/>
      </c>
      <c r="T732" s="272" t="str">
        <f t="shared" si="118"/>
        <v/>
      </c>
      <c r="U732" s="212" t="str">
        <f t="shared" si="119"/>
        <v/>
      </c>
    </row>
    <row r="733" spans="2:21" x14ac:dyDescent="0.25">
      <c r="B733" s="241" t="str">
        <f>IF(Contagem!B731=0,"",Contagem!B731)</f>
        <v/>
      </c>
      <c r="C733" s="242" t="str">
        <f>IF(Contagem!T731 &gt; 0,Contagem!T731,"")</f>
        <v/>
      </c>
      <c r="D733" s="207"/>
      <c r="E733" s="211" t="str">
        <f t="shared" si="110"/>
        <v/>
      </c>
      <c r="F733" s="207"/>
      <c r="G733" s="211" t="str">
        <f t="shared" si="111"/>
        <v/>
      </c>
      <c r="H733" s="207"/>
      <c r="I733" s="211" t="str">
        <f t="shared" si="112"/>
        <v/>
      </c>
      <c r="J733" s="207"/>
      <c r="K733" s="211" t="str">
        <f t="shared" si="113"/>
        <v/>
      </c>
      <c r="L733" s="207"/>
      <c r="M733" s="211" t="str">
        <f t="shared" si="114"/>
        <v/>
      </c>
      <c r="N733" s="207"/>
      <c r="O733" s="211" t="str">
        <f t="shared" si="115"/>
        <v/>
      </c>
      <c r="P733" s="207"/>
      <c r="Q733" s="211" t="str">
        <f t="shared" si="116"/>
        <v/>
      </c>
      <c r="R733" s="207"/>
      <c r="S733" s="211" t="str">
        <f t="shared" si="117"/>
        <v/>
      </c>
      <c r="T733" s="272" t="str">
        <f t="shared" si="118"/>
        <v/>
      </c>
      <c r="U733" s="212" t="str">
        <f t="shared" si="119"/>
        <v/>
      </c>
    </row>
    <row r="734" spans="2:21" x14ac:dyDescent="0.25">
      <c r="B734" s="241" t="str">
        <f>IF(Contagem!B732=0,"",Contagem!B732)</f>
        <v/>
      </c>
      <c r="C734" s="242" t="str">
        <f>IF(Contagem!T732 &gt; 0,Contagem!T732,"")</f>
        <v/>
      </c>
      <c r="D734" s="207"/>
      <c r="E734" s="211" t="str">
        <f t="shared" si="110"/>
        <v/>
      </c>
      <c r="F734" s="207"/>
      <c r="G734" s="211" t="str">
        <f t="shared" si="111"/>
        <v/>
      </c>
      <c r="H734" s="207"/>
      <c r="I734" s="211" t="str">
        <f t="shared" si="112"/>
        <v/>
      </c>
      <c r="J734" s="207"/>
      <c r="K734" s="211" t="str">
        <f t="shared" si="113"/>
        <v/>
      </c>
      <c r="L734" s="207"/>
      <c r="M734" s="211" t="str">
        <f t="shared" si="114"/>
        <v/>
      </c>
      <c r="N734" s="207"/>
      <c r="O734" s="211" t="str">
        <f t="shared" si="115"/>
        <v/>
      </c>
      <c r="P734" s="207"/>
      <c r="Q734" s="211" t="str">
        <f t="shared" si="116"/>
        <v/>
      </c>
      <c r="R734" s="207"/>
      <c r="S734" s="211" t="str">
        <f t="shared" si="117"/>
        <v/>
      </c>
      <c r="T734" s="272" t="str">
        <f t="shared" si="118"/>
        <v/>
      </c>
      <c r="U734" s="212" t="str">
        <f t="shared" si="119"/>
        <v/>
      </c>
    </row>
    <row r="735" spans="2:21" x14ac:dyDescent="0.25">
      <c r="B735" s="241" t="str">
        <f>IF(Contagem!B733=0,"",Contagem!B733)</f>
        <v/>
      </c>
      <c r="C735" s="242" t="str">
        <f>IF(Contagem!T733 &gt; 0,Contagem!T733,"")</f>
        <v/>
      </c>
      <c r="D735" s="207"/>
      <c r="E735" s="211" t="str">
        <f t="shared" si="110"/>
        <v/>
      </c>
      <c r="F735" s="207"/>
      <c r="G735" s="211" t="str">
        <f t="shared" si="111"/>
        <v/>
      </c>
      <c r="H735" s="207"/>
      <c r="I735" s="211" t="str">
        <f t="shared" si="112"/>
        <v/>
      </c>
      <c r="J735" s="207"/>
      <c r="K735" s="211" t="str">
        <f t="shared" si="113"/>
        <v/>
      </c>
      <c r="L735" s="207"/>
      <c r="M735" s="211" t="str">
        <f t="shared" si="114"/>
        <v/>
      </c>
      <c r="N735" s="207"/>
      <c r="O735" s="211" t="str">
        <f t="shared" si="115"/>
        <v/>
      </c>
      <c r="P735" s="207"/>
      <c r="Q735" s="211" t="str">
        <f t="shared" si="116"/>
        <v/>
      </c>
      <c r="R735" s="207"/>
      <c r="S735" s="211" t="str">
        <f t="shared" si="117"/>
        <v/>
      </c>
      <c r="T735" s="272" t="str">
        <f t="shared" si="118"/>
        <v/>
      </c>
      <c r="U735" s="212" t="str">
        <f t="shared" si="119"/>
        <v/>
      </c>
    </row>
    <row r="736" spans="2:21" x14ac:dyDescent="0.25">
      <c r="B736" s="241" t="str">
        <f>IF(Contagem!B734=0,"",Contagem!B734)</f>
        <v/>
      </c>
      <c r="C736" s="242" t="str">
        <f>IF(Contagem!T734 &gt; 0,Contagem!T734,"")</f>
        <v/>
      </c>
      <c r="D736" s="207"/>
      <c r="E736" s="211" t="str">
        <f t="shared" si="110"/>
        <v/>
      </c>
      <c r="F736" s="207"/>
      <c r="G736" s="211" t="str">
        <f t="shared" si="111"/>
        <v/>
      </c>
      <c r="H736" s="207"/>
      <c r="I736" s="211" t="str">
        <f t="shared" si="112"/>
        <v/>
      </c>
      <c r="J736" s="207"/>
      <c r="K736" s="211" t="str">
        <f t="shared" si="113"/>
        <v/>
      </c>
      <c r="L736" s="207"/>
      <c r="M736" s="211" t="str">
        <f t="shared" si="114"/>
        <v/>
      </c>
      <c r="N736" s="207"/>
      <c r="O736" s="211" t="str">
        <f t="shared" si="115"/>
        <v/>
      </c>
      <c r="P736" s="207"/>
      <c r="Q736" s="211" t="str">
        <f t="shared" si="116"/>
        <v/>
      </c>
      <c r="R736" s="207"/>
      <c r="S736" s="211" t="str">
        <f t="shared" si="117"/>
        <v/>
      </c>
      <c r="T736" s="272" t="str">
        <f t="shared" si="118"/>
        <v/>
      </c>
      <c r="U736" s="212" t="str">
        <f t="shared" si="119"/>
        <v/>
      </c>
    </row>
    <row r="737" spans="2:21" x14ac:dyDescent="0.25">
      <c r="B737" s="241" t="str">
        <f>IF(Contagem!B735=0,"",Contagem!B735)</f>
        <v/>
      </c>
      <c r="C737" s="242" t="str">
        <f>IF(Contagem!T735 &gt; 0,Contagem!T735,"")</f>
        <v/>
      </c>
      <c r="D737" s="207"/>
      <c r="E737" s="211" t="str">
        <f t="shared" si="110"/>
        <v/>
      </c>
      <c r="F737" s="207"/>
      <c r="G737" s="211" t="str">
        <f t="shared" si="111"/>
        <v/>
      </c>
      <c r="H737" s="207"/>
      <c r="I737" s="211" t="str">
        <f t="shared" si="112"/>
        <v/>
      </c>
      <c r="J737" s="207"/>
      <c r="K737" s="211" t="str">
        <f t="shared" si="113"/>
        <v/>
      </c>
      <c r="L737" s="207"/>
      <c r="M737" s="211" t="str">
        <f t="shared" si="114"/>
        <v/>
      </c>
      <c r="N737" s="207"/>
      <c r="O737" s="211" t="str">
        <f t="shared" si="115"/>
        <v/>
      </c>
      <c r="P737" s="207"/>
      <c r="Q737" s="211" t="str">
        <f t="shared" si="116"/>
        <v/>
      </c>
      <c r="R737" s="207"/>
      <c r="S737" s="211" t="str">
        <f t="shared" si="117"/>
        <v/>
      </c>
      <c r="T737" s="272" t="str">
        <f t="shared" si="118"/>
        <v/>
      </c>
      <c r="U737" s="212" t="str">
        <f t="shared" si="119"/>
        <v/>
      </c>
    </row>
    <row r="738" spans="2:21" x14ac:dyDescent="0.25">
      <c r="B738" s="241" t="str">
        <f>IF(Contagem!B736=0,"",Contagem!B736)</f>
        <v/>
      </c>
      <c r="C738" s="242" t="str">
        <f>IF(Contagem!T736 &gt; 0,Contagem!T736,"")</f>
        <v/>
      </c>
      <c r="D738" s="207"/>
      <c r="E738" s="211" t="str">
        <f t="shared" si="110"/>
        <v/>
      </c>
      <c r="F738" s="207"/>
      <c r="G738" s="211" t="str">
        <f t="shared" si="111"/>
        <v/>
      </c>
      <c r="H738" s="207"/>
      <c r="I738" s="211" t="str">
        <f t="shared" si="112"/>
        <v/>
      </c>
      <c r="J738" s="207"/>
      <c r="K738" s="211" t="str">
        <f t="shared" si="113"/>
        <v/>
      </c>
      <c r="L738" s="207"/>
      <c r="M738" s="211" t="str">
        <f t="shared" si="114"/>
        <v/>
      </c>
      <c r="N738" s="207"/>
      <c r="O738" s="211" t="str">
        <f t="shared" si="115"/>
        <v/>
      </c>
      <c r="P738" s="207"/>
      <c r="Q738" s="211" t="str">
        <f t="shared" si="116"/>
        <v/>
      </c>
      <c r="R738" s="207"/>
      <c r="S738" s="211" t="str">
        <f t="shared" si="117"/>
        <v/>
      </c>
      <c r="T738" s="272" t="str">
        <f t="shared" si="118"/>
        <v/>
      </c>
      <c r="U738" s="212" t="str">
        <f t="shared" si="119"/>
        <v/>
      </c>
    </row>
    <row r="739" spans="2:21" x14ac:dyDescent="0.25">
      <c r="B739" s="241" t="str">
        <f>IF(Contagem!B737=0,"",Contagem!B737)</f>
        <v/>
      </c>
      <c r="C739" s="242" t="str">
        <f>IF(Contagem!T737 &gt; 0,Contagem!T737,"")</f>
        <v/>
      </c>
      <c r="D739" s="207"/>
      <c r="E739" s="211" t="str">
        <f t="shared" si="110"/>
        <v/>
      </c>
      <c r="F739" s="207"/>
      <c r="G739" s="211" t="str">
        <f t="shared" si="111"/>
        <v/>
      </c>
      <c r="H739" s="207"/>
      <c r="I739" s="211" t="str">
        <f t="shared" si="112"/>
        <v/>
      </c>
      <c r="J739" s="207"/>
      <c r="K739" s="211" t="str">
        <f t="shared" si="113"/>
        <v/>
      </c>
      <c r="L739" s="207"/>
      <c r="M739" s="211" t="str">
        <f t="shared" si="114"/>
        <v/>
      </c>
      <c r="N739" s="207"/>
      <c r="O739" s="211" t="str">
        <f t="shared" si="115"/>
        <v/>
      </c>
      <c r="P739" s="207"/>
      <c r="Q739" s="211" t="str">
        <f t="shared" si="116"/>
        <v/>
      </c>
      <c r="R739" s="207"/>
      <c r="S739" s="211" t="str">
        <f t="shared" si="117"/>
        <v/>
      </c>
      <c r="T739" s="272" t="str">
        <f t="shared" si="118"/>
        <v/>
      </c>
      <c r="U739" s="212" t="str">
        <f t="shared" si="119"/>
        <v/>
      </c>
    </row>
    <row r="740" spans="2:21" x14ac:dyDescent="0.25">
      <c r="B740" s="241" t="str">
        <f>IF(Contagem!B738=0,"",Contagem!B738)</f>
        <v/>
      </c>
      <c r="C740" s="242" t="str">
        <f>IF(Contagem!T738 &gt; 0,Contagem!T738,"")</f>
        <v/>
      </c>
      <c r="D740" s="207"/>
      <c r="E740" s="211" t="str">
        <f t="shared" si="110"/>
        <v/>
      </c>
      <c r="F740" s="207"/>
      <c r="G740" s="211" t="str">
        <f t="shared" si="111"/>
        <v/>
      </c>
      <c r="H740" s="207"/>
      <c r="I740" s="211" t="str">
        <f t="shared" si="112"/>
        <v/>
      </c>
      <c r="J740" s="207"/>
      <c r="K740" s="211" t="str">
        <f t="shared" si="113"/>
        <v/>
      </c>
      <c r="L740" s="207"/>
      <c r="M740" s="211" t="str">
        <f t="shared" si="114"/>
        <v/>
      </c>
      <c r="N740" s="207"/>
      <c r="O740" s="211" t="str">
        <f t="shared" si="115"/>
        <v/>
      </c>
      <c r="P740" s="207"/>
      <c r="Q740" s="211" t="str">
        <f t="shared" si="116"/>
        <v/>
      </c>
      <c r="R740" s="207"/>
      <c r="S740" s="211" t="str">
        <f t="shared" si="117"/>
        <v/>
      </c>
      <c r="T740" s="272" t="str">
        <f t="shared" si="118"/>
        <v/>
      </c>
      <c r="U740" s="212" t="str">
        <f t="shared" si="119"/>
        <v/>
      </c>
    </row>
    <row r="741" spans="2:21" x14ac:dyDescent="0.25">
      <c r="B741" s="241" t="str">
        <f>IF(Contagem!B739=0,"",Contagem!B739)</f>
        <v/>
      </c>
      <c r="C741" s="242" t="str">
        <f>IF(Contagem!T739 &gt; 0,Contagem!T739,"")</f>
        <v/>
      </c>
      <c r="D741" s="207"/>
      <c r="E741" s="211" t="str">
        <f t="shared" si="110"/>
        <v/>
      </c>
      <c r="F741" s="207"/>
      <c r="G741" s="211" t="str">
        <f t="shared" si="111"/>
        <v/>
      </c>
      <c r="H741" s="207"/>
      <c r="I741" s="211" t="str">
        <f t="shared" si="112"/>
        <v/>
      </c>
      <c r="J741" s="207"/>
      <c r="K741" s="211" t="str">
        <f t="shared" si="113"/>
        <v/>
      </c>
      <c r="L741" s="207"/>
      <c r="M741" s="211" t="str">
        <f t="shared" si="114"/>
        <v/>
      </c>
      <c r="N741" s="207"/>
      <c r="O741" s="211" t="str">
        <f t="shared" si="115"/>
        <v/>
      </c>
      <c r="P741" s="207"/>
      <c r="Q741" s="211" t="str">
        <f t="shared" si="116"/>
        <v/>
      </c>
      <c r="R741" s="207"/>
      <c r="S741" s="211" t="str">
        <f t="shared" si="117"/>
        <v/>
      </c>
      <c r="T741" s="272" t="str">
        <f t="shared" si="118"/>
        <v/>
      </c>
      <c r="U741" s="212" t="str">
        <f t="shared" si="119"/>
        <v/>
      </c>
    </row>
    <row r="742" spans="2:21" x14ac:dyDescent="0.25">
      <c r="B742" s="241" t="str">
        <f>IF(Contagem!B740=0,"",Contagem!B740)</f>
        <v/>
      </c>
      <c r="C742" s="242" t="str">
        <f>IF(Contagem!T740 &gt; 0,Contagem!T740,"")</f>
        <v/>
      </c>
      <c r="D742" s="207"/>
      <c r="E742" s="211" t="str">
        <f t="shared" si="110"/>
        <v/>
      </c>
      <c r="F742" s="207"/>
      <c r="G742" s="211" t="str">
        <f t="shared" si="111"/>
        <v/>
      </c>
      <c r="H742" s="207"/>
      <c r="I742" s="211" t="str">
        <f t="shared" si="112"/>
        <v/>
      </c>
      <c r="J742" s="207"/>
      <c r="K742" s="211" t="str">
        <f t="shared" si="113"/>
        <v/>
      </c>
      <c r="L742" s="207"/>
      <c r="M742" s="211" t="str">
        <f t="shared" si="114"/>
        <v/>
      </c>
      <c r="N742" s="207"/>
      <c r="O742" s="211" t="str">
        <f t="shared" si="115"/>
        <v/>
      </c>
      <c r="P742" s="207"/>
      <c r="Q742" s="211" t="str">
        <f t="shared" si="116"/>
        <v/>
      </c>
      <c r="R742" s="207"/>
      <c r="S742" s="211" t="str">
        <f t="shared" si="117"/>
        <v/>
      </c>
      <c r="T742" s="272" t="str">
        <f t="shared" si="118"/>
        <v/>
      </c>
      <c r="U742" s="212" t="str">
        <f t="shared" si="119"/>
        <v/>
      </c>
    </row>
    <row r="743" spans="2:21" x14ac:dyDescent="0.25">
      <c r="B743" s="241" t="str">
        <f>IF(Contagem!B741=0,"",Contagem!B741)</f>
        <v/>
      </c>
      <c r="C743" s="242" t="str">
        <f>IF(Contagem!T741 &gt; 0,Contagem!T741,"")</f>
        <v/>
      </c>
      <c r="D743" s="207"/>
      <c r="E743" s="211" t="str">
        <f t="shared" si="110"/>
        <v/>
      </c>
      <c r="F743" s="207"/>
      <c r="G743" s="211" t="str">
        <f t="shared" si="111"/>
        <v/>
      </c>
      <c r="H743" s="207"/>
      <c r="I743" s="211" t="str">
        <f t="shared" si="112"/>
        <v/>
      </c>
      <c r="J743" s="207"/>
      <c r="K743" s="211" t="str">
        <f t="shared" si="113"/>
        <v/>
      </c>
      <c r="L743" s="207"/>
      <c r="M743" s="211" t="str">
        <f t="shared" si="114"/>
        <v/>
      </c>
      <c r="N743" s="207"/>
      <c r="O743" s="211" t="str">
        <f t="shared" si="115"/>
        <v/>
      </c>
      <c r="P743" s="207"/>
      <c r="Q743" s="211" t="str">
        <f t="shared" si="116"/>
        <v/>
      </c>
      <c r="R743" s="207"/>
      <c r="S743" s="211" t="str">
        <f t="shared" si="117"/>
        <v/>
      </c>
      <c r="T743" s="272" t="str">
        <f t="shared" si="118"/>
        <v/>
      </c>
      <c r="U743" s="212" t="str">
        <f t="shared" si="119"/>
        <v/>
      </c>
    </row>
    <row r="744" spans="2:21" x14ac:dyDescent="0.25">
      <c r="B744" s="241" t="str">
        <f>IF(Contagem!B742=0,"",Contagem!B742)</f>
        <v/>
      </c>
      <c r="C744" s="242" t="str">
        <f>IF(Contagem!T742 &gt; 0,Contagem!T742,"")</f>
        <v/>
      </c>
      <c r="D744" s="207"/>
      <c r="E744" s="211" t="str">
        <f t="shared" si="110"/>
        <v/>
      </c>
      <c r="F744" s="207"/>
      <c r="G744" s="211" t="str">
        <f t="shared" si="111"/>
        <v/>
      </c>
      <c r="H744" s="207"/>
      <c r="I744" s="211" t="str">
        <f t="shared" si="112"/>
        <v/>
      </c>
      <c r="J744" s="207"/>
      <c r="K744" s="211" t="str">
        <f t="shared" si="113"/>
        <v/>
      </c>
      <c r="L744" s="207"/>
      <c r="M744" s="211" t="str">
        <f t="shared" si="114"/>
        <v/>
      </c>
      <c r="N744" s="207"/>
      <c r="O744" s="211" t="str">
        <f t="shared" si="115"/>
        <v/>
      </c>
      <c r="P744" s="207"/>
      <c r="Q744" s="211" t="str">
        <f t="shared" si="116"/>
        <v/>
      </c>
      <c r="R744" s="207"/>
      <c r="S744" s="211" t="str">
        <f t="shared" si="117"/>
        <v/>
      </c>
      <c r="T744" s="272" t="str">
        <f t="shared" si="118"/>
        <v/>
      </c>
      <c r="U744" s="212" t="str">
        <f t="shared" si="119"/>
        <v/>
      </c>
    </row>
    <row r="745" spans="2:21" x14ac:dyDescent="0.25">
      <c r="B745" s="241" t="str">
        <f>IF(Contagem!B743=0,"",Contagem!B743)</f>
        <v/>
      </c>
      <c r="C745" s="242" t="str">
        <f>IF(Contagem!T743 &gt; 0,Contagem!T743,"")</f>
        <v/>
      </c>
      <c r="D745" s="207"/>
      <c r="E745" s="211" t="str">
        <f t="shared" si="110"/>
        <v/>
      </c>
      <c r="F745" s="207"/>
      <c r="G745" s="211" t="str">
        <f t="shared" si="111"/>
        <v/>
      </c>
      <c r="H745" s="207"/>
      <c r="I745" s="211" t="str">
        <f t="shared" si="112"/>
        <v/>
      </c>
      <c r="J745" s="207"/>
      <c r="K745" s="211" t="str">
        <f t="shared" si="113"/>
        <v/>
      </c>
      <c r="L745" s="207"/>
      <c r="M745" s="211" t="str">
        <f t="shared" si="114"/>
        <v/>
      </c>
      <c r="N745" s="207"/>
      <c r="O745" s="211" t="str">
        <f t="shared" si="115"/>
        <v/>
      </c>
      <c r="P745" s="207"/>
      <c r="Q745" s="211" t="str">
        <f t="shared" si="116"/>
        <v/>
      </c>
      <c r="R745" s="207"/>
      <c r="S745" s="211" t="str">
        <f t="shared" si="117"/>
        <v/>
      </c>
      <c r="T745" s="272" t="str">
        <f t="shared" si="118"/>
        <v/>
      </c>
      <c r="U745" s="212" t="str">
        <f t="shared" si="119"/>
        <v/>
      </c>
    </row>
    <row r="746" spans="2:21" x14ac:dyDescent="0.25">
      <c r="B746" s="241" t="str">
        <f>IF(Contagem!B744=0,"",Contagem!B744)</f>
        <v/>
      </c>
      <c r="C746" s="242" t="str">
        <f>IF(Contagem!T744 &gt; 0,Contagem!T744,"")</f>
        <v/>
      </c>
      <c r="D746" s="207"/>
      <c r="E746" s="211" t="str">
        <f t="shared" si="110"/>
        <v/>
      </c>
      <c r="F746" s="207"/>
      <c r="G746" s="211" t="str">
        <f t="shared" si="111"/>
        <v/>
      </c>
      <c r="H746" s="207"/>
      <c r="I746" s="211" t="str">
        <f t="shared" si="112"/>
        <v/>
      </c>
      <c r="J746" s="207"/>
      <c r="K746" s="211" t="str">
        <f t="shared" si="113"/>
        <v/>
      </c>
      <c r="L746" s="207"/>
      <c r="M746" s="211" t="str">
        <f t="shared" si="114"/>
        <v/>
      </c>
      <c r="N746" s="207"/>
      <c r="O746" s="211" t="str">
        <f t="shared" si="115"/>
        <v/>
      </c>
      <c r="P746" s="207"/>
      <c r="Q746" s="211" t="str">
        <f t="shared" si="116"/>
        <v/>
      </c>
      <c r="R746" s="207"/>
      <c r="S746" s="211" t="str">
        <f t="shared" si="117"/>
        <v/>
      </c>
      <c r="T746" s="272" t="str">
        <f t="shared" si="118"/>
        <v/>
      </c>
      <c r="U746" s="212" t="str">
        <f t="shared" si="119"/>
        <v/>
      </c>
    </row>
    <row r="747" spans="2:21" x14ac:dyDescent="0.25">
      <c r="B747" s="241" t="str">
        <f>IF(Contagem!B745=0,"",Contagem!B745)</f>
        <v/>
      </c>
      <c r="C747" s="242" t="str">
        <f>IF(Contagem!T745 &gt; 0,Contagem!T745,"")</f>
        <v/>
      </c>
      <c r="D747" s="207"/>
      <c r="E747" s="211" t="str">
        <f t="shared" si="110"/>
        <v/>
      </c>
      <c r="F747" s="207"/>
      <c r="G747" s="211" t="str">
        <f t="shared" si="111"/>
        <v/>
      </c>
      <c r="H747" s="207"/>
      <c r="I747" s="211" t="str">
        <f t="shared" si="112"/>
        <v/>
      </c>
      <c r="J747" s="207"/>
      <c r="K747" s="211" t="str">
        <f t="shared" si="113"/>
        <v/>
      </c>
      <c r="L747" s="207"/>
      <c r="M747" s="211" t="str">
        <f t="shared" si="114"/>
        <v/>
      </c>
      <c r="N747" s="207"/>
      <c r="O747" s="211" t="str">
        <f t="shared" si="115"/>
        <v/>
      </c>
      <c r="P747" s="207"/>
      <c r="Q747" s="211" t="str">
        <f t="shared" si="116"/>
        <v/>
      </c>
      <c r="R747" s="207"/>
      <c r="S747" s="211" t="str">
        <f t="shared" si="117"/>
        <v/>
      </c>
      <c r="T747" s="272" t="str">
        <f t="shared" si="118"/>
        <v/>
      </c>
      <c r="U747" s="212" t="str">
        <f t="shared" si="119"/>
        <v/>
      </c>
    </row>
    <row r="748" spans="2:21" x14ac:dyDescent="0.25">
      <c r="B748" s="241" t="str">
        <f>IF(Contagem!B746=0,"",Contagem!B746)</f>
        <v/>
      </c>
      <c r="C748" s="242" t="str">
        <f>IF(Contagem!T746 &gt; 0,Contagem!T746,"")</f>
        <v/>
      </c>
      <c r="D748" s="207"/>
      <c r="E748" s="211" t="str">
        <f t="shared" si="110"/>
        <v/>
      </c>
      <c r="F748" s="207"/>
      <c r="G748" s="211" t="str">
        <f t="shared" si="111"/>
        <v/>
      </c>
      <c r="H748" s="207"/>
      <c r="I748" s="211" t="str">
        <f t="shared" si="112"/>
        <v/>
      </c>
      <c r="J748" s="207"/>
      <c r="K748" s="211" t="str">
        <f t="shared" si="113"/>
        <v/>
      </c>
      <c r="L748" s="207"/>
      <c r="M748" s="211" t="str">
        <f t="shared" si="114"/>
        <v/>
      </c>
      <c r="N748" s="207"/>
      <c r="O748" s="211" t="str">
        <f t="shared" si="115"/>
        <v/>
      </c>
      <c r="P748" s="207"/>
      <c r="Q748" s="211" t="str">
        <f t="shared" si="116"/>
        <v/>
      </c>
      <c r="R748" s="207"/>
      <c r="S748" s="211" t="str">
        <f t="shared" si="117"/>
        <v/>
      </c>
      <c r="T748" s="272" t="str">
        <f t="shared" si="118"/>
        <v/>
      </c>
      <c r="U748" s="212" t="str">
        <f t="shared" si="119"/>
        <v/>
      </c>
    </row>
    <row r="749" spans="2:21" x14ac:dyDescent="0.25">
      <c r="B749" s="241" t="str">
        <f>IF(Contagem!B747=0,"",Contagem!B747)</f>
        <v/>
      </c>
      <c r="C749" s="242" t="str">
        <f>IF(Contagem!T747 &gt; 0,Contagem!T747,"")</f>
        <v/>
      </c>
      <c r="D749" s="207"/>
      <c r="E749" s="211" t="str">
        <f t="shared" si="110"/>
        <v/>
      </c>
      <c r="F749" s="207"/>
      <c r="G749" s="211" t="str">
        <f t="shared" si="111"/>
        <v/>
      </c>
      <c r="H749" s="207"/>
      <c r="I749" s="211" t="str">
        <f t="shared" si="112"/>
        <v/>
      </c>
      <c r="J749" s="207"/>
      <c r="K749" s="211" t="str">
        <f t="shared" si="113"/>
        <v/>
      </c>
      <c r="L749" s="207"/>
      <c r="M749" s="211" t="str">
        <f t="shared" si="114"/>
        <v/>
      </c>
      <c r="N749" s="207"/>
      <c r="O749" s="211" t="str">
        <f t="shared" si="115"/>
        <v/>
      </c>
      <c r="P749" s="207"/>
      <c r="Q749" s="211" t="str">
        <f t="shared" si="116"/>
        <v/>
      </c>
      <c r="R749" s="207"/>
      <c r="S749" s="211" t="str">
        <f t="shared" si="117"/>
        <v/>
      </c>
      <c r="T749" s="272" t="str">
        <f t="shared" si="118"/>
        <v/>
      </c>
      <c r="U749" s="212" t="str">
        <f t="shared" si="119"/>
        <v/>
      </c>
    </row>
    <row r="750" spans="2:21" x14ac:dyDescent="0.25">
      <c r="B750" s="241" t="str">
        <f>IF(Contagem!B748=0,"",Contagem!B748)</f>
        <v/>
      </c>
      <c r="C750" s="242" t="str">
        <f>IF(Contagem!T748 &gt; 0,Contagem!T748,"")</f>
        <v/>
      </c>
      <c r="D750" s="207"/>
      <c r="E750" s="211" t="str">
        <f t="shared" si="110"/>
        <v/>
      </c>
      <c r="F750" s="207"/>
      <c r="G750" s="211" t="str">
        <f t="shared" si="111"/>
        <v/>
      </c>
      <c r="H750" s="207"/>
      <c r="I750" s="211" t="str">
        <f t="shared" si="112"/>
        <v/>
      </c>
      <c r="J750" s="207"/>
      <c r="K750" s="211" t="str">
        <f t="shared" si="113"/>
        <v/>
      </c>
      <c r="L750" s="207"/>
      <c r="M750" s="211" t="str">
        <f t="shared" si="114"/>
        <v/>
      </c>
      <c r="N750" s="207"/>
      <c r="O750" s="211" t="str">
        <f t="shared" si="115"/>
        <v/>
      </c>
      <c r="P750" s="207"/>
      <c r="Q750" s="211" t="str">
        <f t="shared" si="116"/>
        <v/>
      </c>
      <c r="R750" s="207"/>
      <c r="S750" s="211" t="str">
        <f t="shared" si="117"/>
        <v/>
      </c>
      <c r="T750" s="272" t="str">
        <f t="shared" si="118"/>
        <v/>
      </c>
      <c r="U750" s="212" t="str">
        <f t="shared" si="119"/>
        <v/>
      </c>
    </row>
    <row r="751" spans="2:21" x14ac:dyDescent="0.25">
      <c r="B751" s="241" t="str">
        <f>IF(Contagem!B749=0,"",Contagem!B749)</f>
        <v/>
      </c>
      <c r="C751" s="242" t="str">
        <f>IF(Contagem!T749 &gt; 0,Contagem!T749,"")</f>
        <v/>
      </c>
      <c r="D751" s="207"/>
      <c r="E751" s="211" t="str">
        <f t="shared" si="110"/>
        <v/>
      </c>
      <c r="F751" s="207"/>
      <c r="G751" s="211" t="str">
        <f t="shared" si="111"/>
        <v/>
      </c>
      <c r="H751" s="207"/>
      <c r="I751" s="211" t="str">
        <f t="shared" si="112"/>
        <v/>
      </c>
      <c r="J751" s="207"/>
      <c r="K751" s="211" t="str">
        <f t="shared" si="113"/>
        <v/>
      </c>
      <c r="L751" s="207"/>
      <c r="M751" s="211" t="str">
        <f t="shared" si="114"/>
        <v/>
      </c>
      <c r="N751" s="207"/>
      <c r="O751" s="211" t="str">
        <f t="shared" si="115"/>
        <v/>
      </c>
      <c r="P751" s="207"/>
      <c r="Q751" s="211" t="str">
        <f t="shared" si="116"/>
        <v/>
      </c>
      <c r="R751" s="207"/>
      <c r="S751" s="211" t="str">
        <f t="shared" si="117"/>
        <v/>
      </c>
      <c r="T751" s="272" t="str">
        <f t="shared" si="118"/>
        <v/>
      </c>
      <c r="U751" s="212" t="str">
        <f t="shared" si="119"/>
        <v/>
      </c>
    </row>
    <row r="752" spans="2:21" x14ac:dyDescent="0.25">
      <c r="B752" s="241" t="str">
        <f>IF(Contagem!B750=0,"",Contagem!B750)</f>
        <v/>
      </c>
      <c r="C752" s="242" t="str">
        <f>IF(Contagem!T750 &gt; 0,Contagem!T750,"")</f>
        <v/>
      </c>
      <c r="D752" s="207"/>
      <c r="E752" s="211" t="str">
        <f t="shared" si="110"/>
        <v/>
      </c>
      <c r="F752" s="207"/>
      <c r="G752" s="211" t="str">
        <f t="shared" si="111"/>
        <v/>
      </c>
      <c r="H752" s="207"/>
      <c r="I752" s="211" t="str">
        <f t="shared" si="112"/>
        <v/>
      </c>
      <c r="J752" s="207"/>
      <c r="K752" s="211" t="str">
        <f t="shared" si="113"/>
        <v/>
      </c>
      <c r="L752" s="207"/>
      <c r="M752" s="211" t="str">
        <f t="shared" si="114"/>
        <v/>
      </c>
      <c r="N752" s="207"/>
      <c r="O752" s="211" t="str">
        <f t="shared" si="115"/>
        <v/>
      </c>
      <c r="P752" s="207"/>
      <c r="Q752" s="211" t="str">
        <f t="shared" si="116"/>
        <v/>
      </c>
      <c r="R752" s="207"/>
      <c r="S752" s="211" t="str">
        <f t="shared" si="117"/>
        <v/>
      </c>
      <c r="T752" s="272" t="str">
        <f t="shared" si="118"/>
        <v/>
      </c>
      <c r="U752" s="212" t="str">
        <f t="shared" si="119"/>
        <v/>
      </c>
    </row>
    <row r="753" spans="2:21" x14ac:dyDescent="0.25">
      <c r="B753" s="241" t="str">
        <f>IF(Contagem!B751=0,"",Contagem!B751)</f>
        <v/>
      </c>
      <c r="C753" s="242" t="str">
        <f>IF(Contagem!T751 &gt; 0,Contagem!T751,"")</f>
        <v/>
      </c>
      <c r="D753" s="207"/>
      <c r="E753" s="211" t="str">
        <f t="shared" si="110"/>
        <v/>
      </c>
      <c r="F753" s="207"/>
      <c r="G753" s="211" t="str">
        <f t="shared" si="111"/>
        <v/>
      </c>
      <c r="H753" s="207"/>
      <c r="I753" s="211" t="str">
        <f t="shared" si="112"/>
        <v/>
      </c>
      <c r="J753" s="207"/>
      <c r="K753" s="211" t="str">
        <f t="shared" si="113"/>
        <v/>
      </c>
      <c r="L753" s="207"/>
      <c r="M753" s="211" t="str">
        <f t="shared" si="114"/>
        <v/>
      </c>
      <c r="N753" s="207"/>
      <c r="O753" s="211" t="str">
        <f t="shared" si="115"/>
        <v/>
      </c>
      <c r="P753" s="207"/>
      <c r="Q753" s="211" t="str">
        <f t="shared" si="116"/>
        <v/>
      </c>
      <c r="R753" s="207"/>
      <c r="S753" s="211" t="str">
        <f t="shared" si="117"/>
        <v/>
      </c>
      <c r="T753" s="272" t="str">
        <f t="shared" si="118"/>
        <v/>
      </c>
      <c r="U753" s="212" t="str">
        <f t="shared" si="119"/>
        <v/>
      </c>
    </row>
    <row r="754" spans="2:21" x14ac:dyDescent="0.25">
      <c r="B754" s="241" t="str">
        <f>IF(Contagem!B752=0,"",Contagem!B752)</f>
        <v/>
      </c>
      <c r="C754" s="242" t="str">
        <f>IF(Contagem!T752 &gt; 0,Contagem!T752,"")</f>
        <v/>
      </c>
      <c r="D754" s="207"/>
      <c r="E754" s="211" t="str">
        <f t="shared" si="110"/>
        <v/>
      </c>
      <c r="F754" s="207"/>
      <c r="G754" s="211" t="str">
        <f t="shared" si="111"/>
        <v/>
      </c>
      <c r="H754" s="207"/>
      <c r="I754" s="211" t="str">
        <f t="shared" si="112"/>
        <v/>
      </c>
      <c r="J754" s="207"/>
      <c r="K754" s="211" t="str">
        <f t="shared" si="113"/>
        <v/>
      </c>
      <c r="L754" s="207"/>
      <c r="M754" s="211" t="str">
        <f t="shared" si="114"/>
        <v/>
      </c>
      <c r="N754" s="207"/>
      <c r="O754" s="211" t="str">
        <f t="shared" si="115"/>
        <v/>
      </c>
      <c r="P754" s="207"/>
      <c r="Q754" s="211" t="str">
        <f t="shared" si="116"/>
        <v/>
      </c>
      <c r="R754" s="207"/>
      <c r="S754" s="211" t="str">
        <f t="shared" si="117"/>
        <v/>
      </c>
      <c r="T754" s="272" t="str">
        <f t="shared" si="118"/>
        <v/>
      </c>
      <c r="U754" s="212" t="str">
        <f t="shared" si="119"/>
        <v/>
      </c>
    </row>
    <row r="755" spans="2:21" x14ac:dyDescent="0.25">
      <c r="B755" s="241" t="str">
        <f>IF(Contagem!B753=0,"",Contagem!B753)</f>
        <v/>
      </c>
      <c r="C755" s="242" t="str">
        <f>IF(Contagem!T753 &gt; 0,Contagem!T753,"")</f>
        <v/>
      </c>
      <c r="D755" s="207"/>
      <c r="E755" s="211" t="str">
        <f t="shared" si="110"/>
        <v/>
      </c>
      <c r="F755" s="207"/>
      <c r="G755" s="211" t="str">
        <f t="shared" si="111"/>
        <v/>
      </c>
      <c r="H755" s="207"/>
      <c r="I755" s="211" t="str">
        <f t="shared" si="112"/>
        <v/>
      </c>
      <c r="J755" s="207"/>
      <c r="K755" s="211" t="str">
        <f t="shared" si="113"/>
        <v/>
      </c>
      <c r="L755" s="207"/>
      <c r="M755" s="211" t="str">
        <f t="shared" si="114"/>
        <v/>
      </c>
      <c r="N755" s="207"/>
      <c r="O755" s="211" t="str">
        <f t="shared" si="115"/>
        <v/>
      </c>
      <c r="P755" s="207"/>
      <c r="Q755" s="211" t="str">
        <f t="shared" si="116"/>
        <v/>
      </c>
      <c r="R755" s="207"/>
      <c r="S755" s="211" t="str">
        <f t="shared" si="117"/>
        <v/>
      </c>
      <c r="T755" s="272" t="str">
        <f t="shared" si="118"/>
        <v/>
      </c>
      <c r="U755" s="212" t="str">
        <f t="shared" si="119"/>
        <v/>
      </c>
    </row>
    <row r="756" spans="2:21" x14ac:dyDescent="0.25">
      <c r="B756" s="241" t="str">
        <f>IF(Contagem!B754=0,"",Contagem!B754)</f>
        <v/>
      </c>
      <c r="C756" s="242" t="str">
        <f>IF(Contagem!T754 &gt; 0,Contagem!T754,"")</f>
        <v/>
      </c>
      <c r="D756" s="207"/>
      <c r="E756" s="211" t="str">
        <f t="shared" si="110"/>
        <v/>
      </c>
      <c r="F756" s="207"/>
      <c r="G756" s="211" t="str">
        <f t="shared" si="111"/>
        <v/>
      </c>
      <c r="H756" s="207"/>
      <c r="I756" s="211" t="str">
        <f t="shared" si="112"/>
        <v/>
      </c>
      <c r="J756" s="207"/>
      <c r="K756" s="211" t="str">
        <f t="shared" si="113"/>
        <v/>
      </c>
      <c r="L756" s="207"/>
      <c r="M756" s="211" t="str">
        <f t="shared" si="114"/>
        <v/>
      </c>
      <c r="N756" s="207"/>
      <c r="O756" s="211" t="str">
        <f t="shared" si="115"/>
        <v/>
      </c>
      <c r="P756" s="207"/>
      <c r="Q756" s="211" t="str">
        <f t="shared" si="116"/>
        <v/>
      </c>
      <c r="R756" s="207"/>
      <c r="S756" s="211" t="str">
        <f t="shared" si="117"/>
        <v/>
      </c>
      <c r="T756" s="272" t="str">
        <f t="shared" si="118"/>
        <v/>
      </c>
      <c r="U756" s="212" t="str">
        <f t="shared" si="119"/>
        <v/>
      </c>
    </row>
    <row r="757" spans="2:21" x14ac:dyDescent="0.25">
      <c r="B757" s="241" t="str">
        <f>IF(Contagem!B755=0,"",Contagem!B755)</f>
        <v/>
      </c>
      <c r="C757" s="242" t="str">
        <f>IF(Contagem!T755 &gt; 0,Contagem!T755,"")</f>
        <v/>
      </c>
      <c r="D757" s="207"/>
      <c r="E757" s="211" t="str">
        <f t="shared" si="110"/>
        <v/>
      </c>
      <c r="F757" s="207"/>
      <c r="G757" s="211" t="str">
        <f t="shared" si="111"/>
        <v/>
      </c>
      <c r="H757" s="207"/>
      <c r="I757" s="211" t="str">
        <f t="shared" si="112"/>
        <v/>
      </c>
      <c r="J757" s="207"/>
      <c r="K757" s="211" t="str">
        <f t="shared" si="113"/>
        <v/>
      </c>
      <c r="L757" s="207"/>
      <c r="M757" s="211" t="str">
        <f t="shared" si="114"/>
        <v/>
      </c>
      <c r="N757" s="207"/>
      <c r="O757" s="211" t="str">
        <f t="shared" si="115"/>
        <v/>
      </c>
      <c r="P757" s="207"/>
      <c r="Q757" s="211" t="str">
        <f t="shared" si="116"/>
        <v/>
      </c>
      <c r="R757" s="207"/>
      <c r="S757" s="211" t="str">
        <f t="shared" si="117"/>
        <v/>
      </c>
      <c r="T757" s="272" t="str">
        <f t="shared" si="118"/>
        <v/>
      </c>
      <c r="U757" s="212" t="str">
        <f t="shared" si="119"/>
        <v/>
      </c>
    </row>
    <row r="758" spans="2:21" x14ac:dyDescent="0.25">
      <c r="B758" s="241" t="str">
        <f>IF(Contagem!B756=0,"",Contagem!B756)</f>
        <v/>
      </c>
      <c r="C758" s="242" t="str">
        <f>IF(Contagem!T756 &gt; 0,Contagem!T756,"")</f>
        <v/>
      </c>
      <c r="D758" s="207"/>
      <c r="E758" s="211" t="str">
        <f t="shared" si="110"/>
        <v/>
      </c>
      <c r="F758" s="207"/>
      <c r="G758" s="211" t="str">
        <f t="shared" si="111"/>
        <v/>
      </c>
      <c r="H758" s="207"/>
      <c r="I758" s="211" t="str">
        <f t="shared" si="112"/>
        <v/>
      </c>
      <c r="J758" s="207"/>
      <c r="K758" s="211" t="str">
        <f t="shared" si="113"/>
        <v/>
      </c>
      <c r="L758" s="207"/>
      <c r="M758" s="211" t="str">
        <f t="shared" si="114"/>
        <v/>
      </c>
      <c r="N758" s="207"/>
      <c r="O758" s="211" t="str">
        <f t="shared" si="115"/>
        <v/>
      </c>
      <c r="P758" s="207"/>
      <c r="Q758" s="211" t="str">
        <f t="shared" si="116"/>
        <v/>
      </c>
      <c r="R758" s="207"/>
      <c r="S758" s="211" t="str">
        <f t="shared" si="117"/>
        <v/>
      </c>
      <c r="T758" s="272" t="str">
        <f t="shared" si="118"/>
        <v/>
      </c>
      <c r="U758" s="212" t="str">
        <f t="shared" si="119"/>
        <v/>
      </c>
    </row>
    <row r="759" spans="2:21" x14ac:dyDescent="0.25">
      <c r="B759" s="241" t="str">
        <f>IF(Contagem!B757=0,"",Contagem!B757)</f>
        <v/>
      </c>
      <c r="C759" s="242" t="str">
        <f>IF(Contagem!T757 &gt; 0,Contagem!T757,"")</f>
        <v/>
      </c>
      <c r="D759" s="207"/>
      <c r="E759" s="211" t="str">
        <f t="shared" si="110"/>
        <v/>
      </c>
      <c r="F759" s="207"/>
      <c r="G759" s="211" t="str">
        <f t="shared" si="111"/>
        <v/>
      </c>
      <c r="H759" s="207"/>
      <c r="I759" s="211" t="str">
        <f t="shared" si="112"/>
        <v/>
      </c>
      <c r="J759" s="207"/>
      <c r="K759" s="211" t="str">
        <f t="shared" si="113"/>
        <v/>
      </c>
      <c r="L759" s="207"/>
      <c r="M759" s="211" t="str">
        <f t="shared" si="114"/>
        <v/>
      </c>
      <c r="N759" s="207"/>
      <c r="O759" s="211" t="str">
        <f t="shared" si="115"/>
        <v/>
      </c>
      <c r="P759" s="207"/>
      <c r="Q759" s="211" t="str">
        <f t="shared" si="116"/>
        <v/>
      </c>
      <c r="R759" s="207"/>
      <c r="S759" s="211" t="str">
        <f t="shared" si="117"/>
        <v/>
      </c>
      <c r="T759" s="272" t="str">
        <f t="shared" si="118"/>
        <v/>
      </c>
      <c r="U759" s="212" t="str">
        <f t="shared" si="119"/>
        <v/>
      </c>
    </row>
    <row r="760" spans="2:21" x14ac:dyDescent="0.25">
      <c r="B760" s="241" t="str">
        <f>IF(Contagem!B758=0,"",Contagem!B758)</f>
        <v/>
      </c>
      <c r="C760" s="242" t="str">
        <f>IF(Contagem!T758 &gt; 0,Contagem!T758,"")</f>
        <v/>
      </c>
      <c r="D760" s="207"/>
      <c r="E760" s="211" t="str">
        <f t="shared" si="110"/>
        <v/>
      </c>
      <c r="F760" s="207"/>
      <c r="G760" s="211" t="str">
        <f t="shared" si="111"/>
        <v/>
      </c>
      <c r="H760" s="207"/>
      <c r="I760" s="211" t="str">
        <f t="shared" si="112"/>
        <v/>
      </c>
      <c r="J760" s="207"/>
      <c r="K760" s="211" t="str">
        <f t="shared" si="113"/>
        <v/>
      </c>
      <c r="L760" s="207"/>
      <c r="M760" s="211" t="str">
        <f t="shared" si="114"/>
        <v/>
      </c>
      <c r="N760" s="207"/>
      <c r="O760" s="211" t="str">
        <f t="shared" si="115"/>
        <v/>
      </c>
      <c r="P760" s="207"/>
      <c r="Q760" s="211" t="str">
        <f t="shared" si="116"/>
        <v/>
      </c>
      <c r="R760" s="207"/>
      <c r="S760" s="211" t="str">
        <f t="shared" si="117"/>
        <v/>
      </c>
      <c r="T760" s="272" t="str">
        <f t="shared" si="118"/>
        <v/>
      </c>
      <c r="U760" s="212" t="str">
        <f t="shared" si="119"/>
        <v/>
      </c>
    </row>
    <row r="761" spans="2:21" x14ac:dyDescent="0.25">
      <c r="B761" s="241" t="str">
        <f>IF(Contagem!B759=0,"",Contagem!B759)</f>
        <v/>
      </c>
      <c r="C761" s="242" t="str">
        <f>IF(Contagem!T759 &gt; 0,Contagem!T759,"")</f>
        <v/>
      </c>
      <c r="D761" s="207"/>
      <c r="E761" s="211" t="str">
        <f t="shared" si="110"/>
        <v/>
      </c>
      <c r="F761" s="207"/>
      <c r="G761" s="211" t="str">
        <f t="shared" si="111"/>
        <v/>
      </c>
      <c r="H761" s="207"/>
      <c r="I761" s="211" t="str">
        <f t="shared" si="112"/>
        <v/>
      </c>
      <c r="J761" s="207"/>
      <c r="K761" s="211" t="str">
        <f t="shared" si="113"/>
        <v/>
      </c>
      <c r="L761" s="207"/>
      <c r="M761" s="211" t="str">
        <f t="shared" si="114"/>
        <v/>
      </c>
      <c r="N761" s="207"/>
      <c r="O761" s="211" t="str">
        <f t="shared" si="115"/>
        <v/>
      </c>
      <c r="P761" s="207"/>
      <c r="Q761" s="211" t="str">
        <f t="shared" si="116"/>
        <v/>
      </c>
      <c r="R761" s="207"/>
      <c r="S761" s="211" t="str">
        <f t="shared" si="117"/>
        <v/>
      </c>
      <c r="T761" s="272" t="str">
        <f t="shared" si="118"/>
        <v/>
      </c>
      <c r="U761" s="212" t="str">
        <f t="shared" si="119"/>
        <v/>
      </c>
    </row>
    <row r="762" spans="2:21" x14ac:dyDescent="0.25">
      <c r="B762" s="241" t="str">
        <f>IF(Contagem!B760=0,"",Contagem!B760)</f>
        <v/>
      </c>
      <c r="C762" s="242" t="str">
        <f>IF(Contagem!T760 &gt; 0,Contagem!T760,"")</f>
        <v/>
      </c>
      <c r="D762" s="207"/>
      <c r="E762" s="211" t="str">
        <f t="shared" si="110"/>
        <v/>
      </c>
      <c r="F762" s="207"/>
      <c r="G762" s="211" t="str">
        <f t="shared" si="111"/>
        <v/>
      </c>
      <c r="H762" s="207"/>
      <c r="I762" s="211" t="str">
        <f t="shared" si="112"/>
        <v/>
      </c>
      <c r="J762" s="207"/>
      <c r="K762" s="211" t="str">
        <f t="shared" si="113"/>
        <v/>
      </c>
      <c r="L762" s="207"/>
      <c r="M762" s="211" t="str">
        <f t="shared" si="114"/>
        <v/>
      </c>
      <c r="N762" s="207"/>
      <c r="O762" s="211" t="str">
        <f t="shared" si="115"/>
        <v/>
      </c>
      <c r="P762" s="207"/>
      <c r="Q762" s="211" t="str">
        <f t="shared" si="116"/>
        <v/>
      </c>
      <c r="R762" s="207"/>
      <c r="S762" s="211" t="str">
        <f t="shared" si="117"/>
        <v/>
      </c>
      <c r="T762" s="272" t="str">
        <f t="shared" si="118"/>
        <v/>
      </c>
      <c r="U762" s="212" t="str">
        <f t="shared" si="119"/>
        <v/>
      </c>
    </row>
    <row r="763" spans="2:21" x14ac:dyDescent="0.25">
      <c r="B763" s="241" t="str">
        <f>IF(Contagem!B761=0,"",Contagem!B761)</f>
        <v/>
      </c>
      <c r="C763" s="242" t="str">
        <f>IF(Contagem!T761 &gt; 0,Contagem!T761,"")</f>
        <v/>
      </c>
      <c r="D763" s="207"/>
      <c r="E763" s="211" t="str">
        <f t="shared" si="110"/>
        <v/>
      </c>
      <c r="F763" s="207"/>
      <c r="G763" s="211" t="str">
        <f t="shared" si="111"/>
        <v/>
      </c>
      <c r="H763" s="207"/>
      <c r="I763" s="211" t="str">
        <f t="shared" si="112"/>
        <v/>
      </c>
      <c r="J763" s="207"/>
      <c r="K763" s="211" t="str">
        <f t="shared" si="113"/>
        <v/>
      </c>
      <c r="L763" s="207"/>
      <c r="M763" s="211" t="str">
        <f t="shared" si="114"/>
        <v/>
      </c>
      <c r="N763" s="207"/>
      <c r="O763" s="211" t="str">
        <f t="shared" si="115"/>
        <v/>
      </c>
      <c r="P763" s="207"/>
      <c r="Q763" s="211" t="str">
        <f t="shared" si="116"/>
        <v/>
      </c>
      <c r="R763" s="207"/>
      <c r="S763" s="211" t="str">
        <f t="shared" si="117"/>
        <v/>
      </c>
      <c r="T763" s="272" t="str">
        <f t="shared" si="118"/>
        <v/>
      </c>
      <c r="U763" s="212" t="str">
        <f t="shared" si="119"/>
        <v/>
      </c>
    </row>
    <row r="764" spans="2:21" x14ac:dyDescent="0.25">
      <c r="B764" s="241" t="str">
        <f>IF(Contagem!B762=0,"",Contagem!B762)</f>
        <v/>
      </c>
      <c r="C764" s="242" t="str">
        <f>IF(Contagem!T762 &gt; 0,Contagem!T762,"")</f>
        <v/>
      </c>
      <c r="D764" s="207"/>
      <c r="E764" s="211" t="str">
        <f t="shared" si="110"/>
        <v/>
      </c>
      <c r="F764" s="207"/>
      <c r="G764" s="211" t="str">
        <f t="shared" si="111"/>
        <v/>
      </c>
      <c r="H764" s="207"/>
      <c r="I764" s="211" t="str">
        <f t="shared" si="112"/>
        <v/>
      </c>
      <c r="J764" s="207"/>
      <c r="K764" s="211" t="str">
        <f t="shared" si="113"/>
        <v/>
      </c>
      <c r="L764" s="207"/>
      <c r="M764" s="211" t="str">
        <f t="shared" si="114"/>
        <v/>
      </c>
      <c r="N764" s="207"/>
      <c r="O764" s="211" t="str">
        <f t="shared" si="115"/>
        <v/>
      </c>
      <c r="P764" s="207"/>
      <c r="Q764" s="211" t="str">
        <f t="shared" si="116"/>
        <v/>
      </c>
      <c r="R764" s="207"/>
      <c r="S764" s="211" t="str">
        <f t="shared" si="117"/>
        <v/>
      </c>
      <c r="T764" s="272" t="str">
        <f t="shared" si="118"/>
        <v/>
      </c>
      <c r="U764" s="212" t="str">
        <f t="shared" si="119"/>
        <v/>
      </c>
    </row>
    <row r="765" spans="2:21" x14ac:dyDescent="0.25">
      <c r="B765" s="241" t="str">
        <f>IF(Contagem!B763=0,"",Contagem!B763)</f>
        <v/>
      </c>
      <c r="C765" s="242" t="str">
        <f>IF(Contagem!T763 &gt; 0,Contagem!T763,"")</f>
        <v/>
      </c>
      <c r="D765" s="207"/>
      <c r="E765" s="211" t="str">
        <f t="shared" si="110"/>
        <v/>
      </c>
      <c r="F765" s="207"/>
      <c r="G765" s="211" t="str">
        <f t="shared" si="111"/>
        <v/>
      </c>
      <c r="H765" s="207"/>
      <c r="I765" s="211" t="str">
        <f t="shared" si="112"/>
        <v/>
      </c>
      <c r="J765" s="207"/>
      <c r="K765" s="211" t="str">
        <f t="shared" si="113"/>
        <v/>
      </c>
      <c r="L765" s="207"/>
      <c r="M765" s="211" t="str">
        <f t="shared" si="114"/>
        <v/>
      </c>
      <c r="N765" s="207"/>
      <c r="O765" s="211" t="str">
        <f t="shared" si="115"/>
        <v/>
      </c>
      <c r="P765" s="207"/>
      <c r="Q765" s="211" t="str">
        <f t="shared" si="116"/>
        <v/>
      </c>
      <c r="R765" s="207"/>
      <c r="S765" s="211" t="str">
        <f t="shared" si="117"/>
        <v/>
      </c>
      <c r="T765" s="272" t="str">
        <f t="shared" si="118"/>
        <v/>
      </c>
      <c r="U765" s="212" t="str">
        <f t="shared" si="119"/>
        <v/>
      </c>
    </row>
    <row r="766" spans="2:21" x14ac:dyDescent="0.25">
      <c r="B766" s="241" t="str">
        <f>IF(Contagem!B764=0,"",Contagem!B764)</f>
        <v/>
      </c>
      <c r="C766" s="242" t="str">
        <f>IF(Contagem!T764 &gt; 0,Contagem!T764,"")</f>
        <v/>
      </c>
      <c r="D766" s="207"/>
      <c r="E766" s="211" t="str">
        <f t="shared" si="110"/>
        <v/>
      </c>
      <c r="F766" s="207"/>
      <c r="G766" s="211" t="str">
        <f t="shared" si="111"/>
        <v/>
      </c>
      <c r="H766" s="207"/>
      <c r="I766" s="211" t="str">
        <f t="shared" si="112"/>
        <v/>
      </c>
      <c r="J766" s="207"/>
      <c r="K766" s="211" t="str">
        <f t="shared" si="113"/>
        <v/>
      </c>
      <c r="L766" s="207"/>
      <c r="M766" s="211" t="str">
        <f t="shared" si="114"/>
        <v/>
      </c>
      <c r="N766" s="207"/>
      <c r="O766" s="211" t="str">
        <f t="shared" si="115"/>
        <v/>
      </c>
      <c r="P766" s="207"/>
      <c r="Q766" s="211" t="str">
        <f t="shared" si="116"/>
        <v/>
      </c>
      <c r="R766" s="207"/>
      <c r="S766" s="211" t="str">
        <f t="shared" si="117"/>
        <v/>
      </c>
      <c r="T766" s="272" t="str">
        <f t="shared" si="118"/>
        <v/>
      </c>
      <c r="U766" s="212" t="str">
        <f t="shared" si="119"/>
        <v/>
      </c>
    </row>
    <row r="767" spans="2:21" x14ac:dyDescent="0.25">
      <c r="B767" s="241" t="str">
        <f>IF(Contagem!B765=0,"",Contagem!B765)</f>
        <v/>
      </c>
      <c r="C767" s="242" t="str">
        <f>IF(Contagem!T765 &gt; 0,Contagem!T765,"")</f>
        <v/>
      </c>
      <c r="D767" s="207"/>
      <c r="E767" s="211" t="str">
        <f t="shared" si="110"/>
        <v/>
      </c>
      <c r="F767" s="207"/>
      <c r="G767" s="211" t="str">
        <f t="shared" si="111"/>
        <v/>
      </c>
      <c r="H767" s="207"/>
      <c r="I767" s="211" t="str">
        <f t="shared" si="112"/>
        <v/>
      </c>
      <c r="J767" s="207"/>
      <c r="K767" s="211" t="str">
        <f t="shared" si="113"/>
        <v/>
      </c>
      <c r="L767" s="207"/>
      <c r="M767" s="211" t="str">
        <f t="shared" si="114"/>
        <v/>
      </c>
      <c r="N767" s="207"/>
      <c r="O767" s="211" t="str">
        <f t="shared" si="115"/>
        <v/>
      </c>
      <c r="P767" s="207"/>
      <c r="Q767" s="211" t="str">
        <f t="shared" si="116"/>
        <v/>
      </c>
      <c r="R767" s="207"/>
      <c r="S767" s="211" t="str">
        <f t="shared" si="117"/>
        <v/>
      </c>
      <c r="T767" s="272" t="str">
        <f t="shared" si="118"/>
        <v/>
      </c>
      <c r="U767" s="212" t="str">
        <f t="shared" si="119"/>
        <v/>
      </c>
    </row>
    <row r="768" spans="2:21" x14ac:dyDescent="0.25">
      <c r="B768" s="241" t="str">
        <f>IF(Contagem!B766=0,"",Contagem!B766)</f>
        <v/>
      </c>
      <c r="C768" s="242" t="str">
        <f>IF(Contagem!T766 &gt; 0,Contagem!T766,"")</f>
        <v/>
      </c>
      <c r="D768" s="207"/>
      <c r="E768" s="211" t="str">
        <f t="shared" si="110"/>
        <v/>
      </c>
      <c r="F768" s="207"/>
      <c r="G768" s="211" t="str">
        <f t="shared" si="111"/>
        <v/>
      </c>
      <c r="H768" s="207"/>
      <c r="I768" s="211" t="str">
        <f t="shared" si="112"/>
        <v/>
      </c>
      <c r="J768" s="207"/>
      <c r="K768" s="211" t="str">
        <f t="shared" si="113"/>
        <v/>
      </c>
      <c r="L768" s="207"/>
      <c r="M768" s="211" t="str">
        <f t="shared" si="114"/>
        <v/>
      </c>
      <c r="N768" s="207"/>
      <c r="O768" s="211" t="str">
        <f t="shared" si="115"/>
        <v/>
      </c>
      <c r="P768" s="207"/>
      <c r="Q768" s="211" t="str">
        <f t="shared" si="116"/>
        <v/>
      </c>
      <c r="R768" s="207"/>
      <c r="S768" s="211" t="str">
        <f t="shared" si="117"/>
        <v/>
      </c>
      <c r="T768" s="272" t="str">
        <f t="shared" si="118"/>
        <v/>
      </c>
      <c r="U768" s="212" t="str">
        <f t="shared" si="119"/>
        <v/>
      </c>
    </row>
    <row r="769" spans="2:21" x14ac:dyDescent="0.25">
      <c r="B769" s="241" t="str">
        <f>IF(Contagem!B767=0,"",Contagem!B767)</f>
        <v/>
      </c>
      <c r="C769" s="242" t="str">
        <f>IF(Contagem!T767 &gt; 0,Contagem!T767,"")</f>
        <v/>
      </c>
      <c r="D769" s="207"/>
      <c r="E769" s="211" t="str">
        <f t="shared" si="110"/>
        <v/>
      </c>
      <c r="F769" s="207"/>
      <c r="G769" s="211" t="str">
        <f t="shared" si="111"/>
        <v/>
      </c>
      <c r="H769" s="207"/>
      <c r="I769" s="211" t="str">
        <f t="shared" si="112"/>
        <v/>
      </c>
      <c r="J769" s="207"/>
      <c r="K769" s="211" t="str">
        <f t="shared" si="113"/>
        <v/>
      </c>
      <c r="L769" s="207"/>
      <c r="M769" s="211" t="str">
        <f t="shared" si="114"/>
        <v/>
      </c>
      <c r="N769" s="207"/>
      <c r="O769" s="211" t="str">
        <f t="shared" si="115"/>
        <v/>
      </c>
      <c r="P769" s="207"/>
      <c r="Q769" s="211" t="str">
        <f t="shared" si="116"/>
        <v/>
      </c>
      <c r="R769" s="207"/>
      <c r="S769" s="211" t="str">
        <f t="shared" si="117"/>
        <v/>
      </c>
      <c r="T769" s="272" t="str">
        <f t="shared" si="118"/>
        <v/>
      </c>
      <c r="U769" s="212" t="str">
        <f t="shared" si="119"/>
        <v/>
      </c>
    </row>
    <row r="770" spans="2:21" x14ac:dyDescent="0.25">
      <c r="B770" s="241" t="str">
        <f>IF(Contagem!B768=0,"",Contagem!B768)</f>
        <v/>
      </c>
      <c r="C770" s="242" t="str">
        <f>IF(Contagem!T768 &gt; 0,Contagem!T768,"")</f>
        <v/>
      </c>
      <c r="D770" s="207"/>
      <c r="E770" s="211" t="str">
        <f t="shared" si="110"/>
        <v/>
      </c>
      <c r="F770" s="207"/>
      <c r="G770" s="211" t="str">
        <f t="shared" si="111"/>
        <v/>
      </c>
      <c r="H770" s="207"/>
      <c r="I770" s="211" t="str">
        <f t="shared" si="112"/>
        <v/>
      </c>
      <c r="J770" s="207"/>
      <c r="K770" s="211" t="str">
        <f t="shared" si="113"/>
        <v/>
      </c>
      <c r="L770" s="207"/>
      <c r="M770" s="211" t="str">
        <f t="shared" si="114"/>
        <v/>
      </c>
      <c r="N770" s="207"/>
      <c r="O770" s="211" t="str">
        <f t="shared" si="115"/>
        <v/>
      </c>
      <c r="P770" s="207"/>
      <c r="Q770" s="211" t="str">
        <f t="shared" si="116"/>
        <v/>
      </c>
      <c r="R770" s="207"/>
      <c r="S770" s="211" t="str">
        <f t="shared" si="117"/>
        <v/>
      </c>
      <c r="T770" s="272" t="str">
        <f t="shared" si="118"/>
        <v/>
      </c>
      <c r="U770" s="212" t="str">
        <f t="shared" si="119"/>
        <v/>
      </c>
    </row>
    <row r="771" spans="2:21" x14ac:dyDescent="0.25">
      <c r="B771" s="241" t="str">
        <f>IF(Contagem!B769=0,"",Contagem!B769)</f>
        <v/>
      </c>
      <c r="C771" s="242" t="str">
        <f>IF(Contagem!T769 &gt; 0,Contagem!T769,"")</f>
        <v/>
      </c>
      <c r="D771" s="207"/>
      <c r="E771" s="211" t="str">
        <f t="shared" si="110"/>
        <v/>
      </c>
      <c r="F771" s="207"/>
      <c r="G771" s="211" t="str">
        <f t="shared" si="111"/>
        <v/>
      </c>
      <c r="H771" s="207"/>
      <c r="I771" s="211" t="str">
        <f t="shared" si="112"/>
        <v/>
      </c>
      <c r="J771" s="207"/>
      <c r="K771" s="211" t="str">
        <f t="shared" si="113"/>
        <v/>
      </c>
      <c r="L771" s="207"/>
      <c r="M771" s="211" t="str">
        <f t="shared" si="114"/>
        <v/>
      </c>
      <c r="N771" s="207"/>
      <c r="O771" s="211" t="str">
        <f t="shared" si="115"/>
        <v/>
      </c>
      <c r="P771" s="207"/>
      <c r="Q771" s="211" t="str">
        <f t="shared" si="116"/>
        <v/>
      </c>
      <c r="R771" s="207"/>
      <c r="S771" s="211" t="str">
        <f t="shared" si="117"/>
        <v/>
      </c>
      <c r="T771" s="272" t="str">
        <f t="shared" si="118"/>
        <v/>
      </c>
      <c r="U771" s="212" t="str">
        <f t="shared" si="119"/>
        <v/>
      </c>
    </row>
    <row r="772" spans="2:21" x14ac:dyDescent="0.25">
      <c r="B772" s="241" t="str">
        <f>IF(Contagem!B770=0,"",Contagem!B770)</f>
        <v/>
      </c>
      <c r="C772" s="242" t="str">
        <f>IF(Contagem!T770 &gt; 0,Contagem!T770,"")</f>
        <v/>
      </c>
      <c r="D772" s="207"/>
      <c r="E772" s="211" t="str">
        <f t="shared" si="110"/>
        <v/>
      </c>
      <c r="F772" s="207"/>
      <c r="G772" s="211" t="str">
        <f t="shared" si="111"/>
        <v/>
      </c>
      <c r="H772" s="207"/>
      <c r="I772" s="211" t="str">
        <f t="shared" si="112"/>
        <v/>
      </c>
      <c r="J772" s="207"/>
      <c r="K772" s="211" t="str">
        <f t="shared" si="113"/>
        <v/>
      </c>
      <c r="L772" s="207"/>
      <c r="M772" s="211" t="str">
        <f t="shared" si="114"/>
        <v/>
      </c>
      <c r="N772" s="207"/>
      <c r="O772" s="211" t="str">
        <f t="shared" si="115"/>
        <v/>
      </c>
      <c r="P772" s="207"/>
      <c r="Q772" s="211" t="str">
        <f t="shared" si="116"/>
        <v/>
      </c>
      <c r="R772" s="207"/>
      <c r="S772" s="211" t="str">
        <f t="shared" si="117"/>
        <v/>
      </c>
      <c r="T772" s="272" t="str">
        <f t="shared" si="118"/>
        <v/>
      </c>
      <c r="U772" s="212" t="str">
        <f t="shared" si="119"/>
        <v/>
      </c>
    </row>
    <row r="773" spans="2:21" x14ac:dyDescent="0.25">
      <c r="B773" s="241" t="str">
        <f>IF(Contagem!B771=0,"",Contagem!B771)</f>
        <v/>
      </c>
      <c r="C773" s="242" t="str">
        <f>IF(Contagem!T771 &gt; 0,Contagem!T771,"")</f>
        <v/>
      </c>
      <c r="D773" s="207"/>
      <c r="E773" s="211" t="str">
        <f t="shared" si="110"/>
        <v/>
      </c>
      <c r="F773" s="207"/>
      <c r="G773" s="211" t="str">
        <f t="shared" si="111"/>
        <v/>
      </c>
      <c r="H773" s="207"/>
      <c r="I773" s="211" t="str">
        <f t="shared" si="112"/>
        <v/>
      </c>
      <c r="J773" s="207"/>
      <c r="K773" s="211" t="str">
        <f t="shared" si="113"/>
        <v/>
      </c>
      <c r="L773" s="207"/>
      <c r="M773" s="211" t="str">
        <f t="shared" si="114"/>
        <v/>
      </c>
      <c r="N773" s="207"/>
      <c r="O773" s="211" t="str">
        <f t="shared" si="115"/>
        <v/>
      </c>
      <c r="P773" s="207"/>
      <c r="Q773" s="211" t="str">
        <f t="shared" si="116"/>
        <v/>
      </c>
      <c r="R773" s="207"/>
      <c r="S773" s="211" t="str">
        <f t="shared" si="117"/>
        <v/>
      </c>
      <c r="T773" s="272" t="str">
        <f t="shared" si="118"/>
        <v/>
      </c>
      <c r="U773" s="212" t="str">
        <f t="shared" si="119"/>
        <v/>
      </c>
    </row>
    <row r="774" spans="2:21" x14ac:dyDescent="0.25">
      <c r="B774" s="241" t="str">
        <f>IF(Contagem!B772=0,"",Contagem!B772)</f>
        <v/>
      </c>
      <c r="C774" s="242" t="str">
        <f>IF(Contagem!T772 &gt; 0,Contagem!T772,"")</f>
        <v/>
      </c>
      <c r="D774" s="207"/>
      <c r="E774" s="211" t="str">
        <f t="shared" si="110"/>
        <v/>
      </c>
      <c r="F774" s="207"/>
      <c r="G774" s="211" t="str">
        <f t="shared" si="111"/>
        <v/>
      </c>
      <c r="H774" s="207"/>
      <c r="I774" s="211" t="str">
        <f t="shared" si="112"/>
        <v/>
      </c>
      <c r="J774" s="207"/>
      <c r="K774" s="211" t="str">
        <f t="shared" si="113"/>
        <v/>
      </c>
      <c r="L774" s="207"/>
      <c r="M774" s="211" t="str">
        <f t="shared" si="114"/>
        <v/>
      </c>
      <c r="N774" s="207"/>
      <c r="O774" s="211" t="str">
        <f t="shared" si="115"/>
        <v/>
      </c>
      <c r="P774" s="207"/>
      <c r="Q774" s="211" t="str">
        <f t="shared" si="116"/>
        <v/>
      </c>
      <c r="R774" s="207"/>
      <c r="S774" s="211" t="str">
        <f t="shared" si="117"/>
        <v/>
      </c>
      <c r="T774" s="272" t="str">
        <f t="shared" si="118"/>
        <v/>
      </c>
      <c r="U774" s="212" t="str">
        <f t="shared" si="119"/>
        <v/>
      </c>
    </row>
    <row r="775" spans="2:21" x14ac:dyDescent="0.25">
      <c r="B775" s="241" t="str">
        <f>IF(Contagem!B773=0,"",Contagem!B773)</f>
        <v/>
      </c>
      <c r="C775" s="242" t="str">
        <f>IF(Contagem!T773 &gt; 0,Contagem!T773,"")</f>
        <v/>
      </c>
      <c r="D775" s="207"/>
      <c r="E775" s="211" t="str">
        <f t="shared" ref="E775:E838" si="120">IFERROR(IF(AND($D$4&lt;&gt; 0,D775="Sim", $C775 &gt; 0),$C775*$D$4,""),0)</f>
        <v/>
      </c>
      <c r="F775" s="207"/>
      <c r="G775" s="211" t="str">
        <f t="shared" ref="G775:G838" si="121">IFERROR(IF(AND($F$4&lt;&gt; 0,F775="Sim", $C775 &gt; 0),$C775*$F$4,""),0)</f>
        <v/>
      </c>
      <c r="H775" s="207"/>
      <c r="I775" s="211" t="str">
        <f t="shared" ref="I775:I838" si="122">IFERROR(IF(AND($H$4&lt;&gt; 0,H775="Sim", $C775 &gt; 0),$C775*$H$4,""),0)</f>
        <v/>
      </c>
      <c r="J775" s="207"/>
      <c r="K775" s="211" t="str">
        <f t="shared" ref="K775:K838" si="123">IFERROR(IF(AND($J$4&lt;&gt; 0,J775="Sim", $C775 &gt; 0),$C775*$J$4,""),0)</f>
        <v/>
      </c>
      <c r="L775" s="207"/>
      <c r="M775" s="211" t="str">
        <f t="shared" ref="M775:M838" si="124">IFERROR(IF(AND($L$4&lt;&gt; 0,L775="Sim", $C775 &gt; 0),$C775*$L$4,""),0)</f>
        <v/>
      </c>
      <c r="N775" s="207"/>
      <c r="O775" s="211" t="str">
        <f t="shared" ref="O775:O838" si="125">IFERROR(IF(AND($N$4&lt;&gt; 0,N775="Sim", $C775 &gt; 0),$C775*$N$4,""),0)</f>
        <v/>
      </c>
      <c r="P775" s="207"/>
      <c r="Q775" s="211" t="str">
        <f t="shared" ref="Q775:Q838" si="126">IFERROR(IF(AND($P$4&lt;&gt; 0,P775="Sim", $C775 &gt; 0),$C775*$P$4,""),0)</f>
        <v/>
      </c>
      <c r="R775" s="207"/>
      <c r="S775" s="211" t="str">
        <f t="shared" ref="S775:S838" si="127">IFERROR(IF(AND($R$4&lt;&gt; 0,R775="Sim", $C775 &gt; 0),$C775*$R$4,""),0)</f>
        <v/>
      </c>
      <c r="T775" s="272" t="str">
        <f t="shared" ref="T775:T838" si="128">IFERROR(U775/C775,"")</f>
        <v/>
      </c>
      <c r="U775" s="212" t="str">
        <f t="shared" ref="U775:U838" si="129">IF(SUM(E775,G775,I775,K775,M775,O775,Q775,S775) &gt; 0,SUM(E775,G775,I775,K775,M775,O775,Q775,S775),"")</f>
        <v/>
      </c>
    </row>
    <row r="776" spans="2:21" x14ac:dyDescent="0.25">
      <c r="B776" s="241" t="str">
        <f>IF(Contagem!B774=0,"",Contagem!B774)</f>
        <v/>
      </c>
      <c r="C776" s="242" t="str">
        <f>IF(Contagem!T774 &gt; 0,Contagem!T774,"")</f>
        <v/>
      </c>
      <c r="D776" s="207"/>
      <c r="E776" s="211" t="str">
        <f t="shared" si="120"/>
        <v/>
      </c>
      <c r="F776" s="207"/>
      <c r="G776" s="211" t="str">
        <f t="shared" si="121"/>
        <v/>
      </c>
      <c r="H776" s="207"/>
      <c r="I776" s="211" t="str">
        <f t="shared" si="122"/>
        <v/>
      </c>
      <c r="J776" s="207"/>
      <c r="K776" s="211" t="str">
        <f t="shared" si="123"/>
        <v/>
      </c>
      <c r="L776" s="207"/>
      <c r="M776" s="211" t="str">
        <f t="shared" si="124"/>
        <v/>
      </c>
      <c r="N776" s="207"/>
      <c r="O776" s="211" t="str">
        <f t="shared" si="125"/>
        <v/>
      </c>
      <c r="P776" s="207"/>
      <c r="Q776" s="211" t="str">
        <f t="shared" si="126"/>
        <v/>
      </c>
      <c r="R776" s="207"/>
      <c r="S776" s="211" t="str">
        <f t="shared" si="127"/>
        <v/>
      </c>
      <c r="T776" s="272" t="str">
        <f t="shared" si="128"/>
        <v/>
      </c>
      <c r="U776" s="212" t="str">
        <f t="shared" si="129"/>
        <v/>
      </c>
    </row>
    <row r="777" spans="2:21" x14ac:dyDescent="0.25">
      <c r="B777" s="241" t="str">
        <f>IF(Contagem!B775=0,"",Contagem!B775)</f>
        <v/>
      </c>
      <c r="C777" s="242" t="str">
        <f>IF(Contagem!T775 &gt; 0,Contagem!T775,"")</f>
        <v/>
      </c>
      <c r="D777" s="207"/>
      <c r="E777" s="211" t="str">
        <f t="shared" si="120"/>
        <v/>
      </c>
      <c r="F777" s="207"/>
      <c r="G777" s="211" t="str">
        <f t="shared" si="121"/>
        <v/>
      </c>
      <c r="H777" s="207"/>
      <c r="I777" s="211" t="str">
        <f t="shared" si="122"/>
        <v/>
      </c>
      <c r="J777" s="207"/>
      <c r="K777" s="211" t="str">
        <f t="shared" si="123"/>
        <v/>
      </c>
      <c r="L777" s="207"/>
      <c r="M777" s="211" t="str">
        <f t="shared" si="124"/>
        <v/>
      </c>
      <c r="N777" s="207"/>
      <c r="O777" s="211" t="str">
        <f t="shared" si="125"/>
        <v/>
      </c>
      <c r="P777" s="207"/>
      <c r="Q777" s="211" t="str">
        <f t="shared" si="126"/>
        <v/>
      </c>
      <c r="R777" s="207"/>
      <c r="S777" s="211" t="str">
        <f t="shared" si="127"/>
        <v/>
      </c>
      <c r="T777" s="272" t="str">
        <f t="shared" si="128"/>
        <v/>
      </c>
      <c r="U777" s="212" t="str">
        <f t="shared" si="129"/>
        <v/>
      </c>
    </row>
    <row r="778" spans="2:21" x14ac:dyDescent="0.25">
      <c r="B778" s="241" t="str">
        <f>IF(Contagem!B776=0,"",Contagem!B776)</f>
        <v/>
      </c>
      <c r="C778" s="242" t="str">
        <f>IF(Contagem!T776 &gt; 0,Contagem!T776,"")</f>
        <v/>
      </c>
      <c r="D778" s="207"/>
      <c r="E778" s="211" t="str">
        <f t="shared" si="120"/>
        <v/>
      </c>
      <c r="F778" s="207"/>
      <c r="G778" s="211" t="str">
        <f t="shared" si="121"/>
        <v/>
      </c>
      <c r="H778" s="207"/>
      <c r="I778" s="211" t="str">
        <f t="shared" si="122"/>
        <v/>
      </c>
      <c r="J778" s="207"/>
      <c r="K778" s="211" t="str">
        <f t="shared" si="123"/>
        <v/>
      </c>
      <c r="L778" s="207"/>
      <c r="M778" s="211" t="str">
        <f t="shared" si="124"/>
        <v/>
      </c>
      <c r="N778" s="207"/>
      <c r="O778" s="211" t="str">
        <f t="shared" si="125"/>
        <v/>
      </c>
      <c r="P778" s="207"/>
      <c r="Q778" s="211" t="str">
        <f t="shared" si="126"/>
        <v/>
      </c>
      <c r="R778" s="207"/>
      <c r="S778" s="211" t="str">
        <f t="shared" si="127"/>
        <v/>
      </c>
      <c r="T778" s="272" t="str">
        <f t="shared" si="128"/>
        <v/>
      </c>
      <c r="U778" s="212" t="str">
        <f t="shared" si="129"/>
        <v/>
      </c>
    </row>
    <row r="779" spans="2:21" x14ac:dyDescent="0.25">
      <c r="B779" s="241" t="str">
        <f>IF(Contagem!B777=0,"",Contagem!B777)</f>
        <v/>
      </c>
      <c r="C779" s="242" t="str">
        <f>IF(Contagem!T777 &gt; 0,Contagem!T777,"")</f>
        <v/>
      </c>
      <c r="D779" s="207"/>
      <c r="E779" s="211" t="str">
        <f t="shared" si="120"/>
        <v/>
      </c>
      <c r="F779" s="207"/>
      <c r="G779" s="211" t="str">
        <f t="shared" si="121"/>
        <v/>
      </c>
      <c r="H779" s="207"/>
      <c r="I779" s="211" t="str">
        <f t="shared" si="122"/>
        <v/>
      </c>
      <c r="J779" s="207"/>
      <c r="K779" s="211" t="str">
        <f t="shared" si="123"/>
        <v/>
      </c>
      <c r="L779" s="207"/>
      <c r="M779" s="211" t="str">
        <f t="shared" si="124"/>
        <v/>
      </c>
      <c r="N779" s="207"/>
      <c r="O779" s="211" t="str">
        <f t="shared" si="125"/>
        <v/>
      </c>
      <c r="P779" s="207"/>
      <c r="Q779" s="211" t="str">
        <f t="shared" si="126"/>
        <v/>
      </c>
      <c r="R779" s="207"/>
      <c r="S779" s="211" t="str">
        <f t="shared" si="127"/>
        <v/>
      </c>
      <c r="T779" s="272" t="str">
        <f t="shared" si="128"/>
        <v/>
      </c>
      <c r="U779" s="212" t="str">
        <f t="shared" si="129"/>
        <v/>
      </c>
    </row>
    <row r="780" spans="2:21" x14ac:dyDescent="0.25">
      <c r="B780" s="241" t="str">
        <f>IF(Contagem!B778=0,"",Contagem!B778)</f>
        <v/>
      </c>
      <c r="C780" s="242" t="str">
        <f>IF(Contagem!T778 &gt; 0,Contagem!T778,"")</f>
        <v/>
      </c>
      <c r="D780" s="207"/>
      <c r="E780" s="211" t="str">
        <f t="shared" si="120"/>
        <v/>
      </c>
      <c r="F780" s="207"/>
      <c r="G780" s="211" t="str">
        <f t="shared" si="121"/>
        <v/>
      </c>
      <c r="H780" s="207"/>
      <c r="I780" s="211" t="str">
        <f t="shared" si="122"/>
        <v/>
      </c>
      <c r="J780" s="207"/>
      <c r="K780" s="211" t="str">
        <f t="shared" si="123"/>
        <v/>
      </c>
      <c r="L780" s="207"/>
      <c r="M780" s="211" t="str">
        <f t="shared" si="124"/>
        <v/>
      </c>
      <c r="N780" s="207"/>
      <c r="O780" s="211" t="str">
        <f t="shared" si="125"/>
        <v/>
      </c>
      <c r="P780" s="207"/>
      <c r="Q780" s="211" t="str">
        <f t="shared" si="126"/>
        <v/>
      </c>
      <c r="R780" s="207"/>
      <c r="S780" s="211" t="str">
        <f t="shared" si="127"/>
        <v/>
      </c>
      <c r="T780" s="272" t="str">
        <f t="shared" si="128"/>
        <v/>
      </c>
      <c r="U780" s="212" t="str">
        <f t="shared" si="129"/>
        <v/>
      </c>
    </row>
    <row r="781" spans="2:21" x14ac:dyDescent="0.25">
      <c r="B781" s="241" t="str">
        <f>IF(Contagem!B779=0,"",Contagem!B779)</f>
        <v/>
      </c>
      <c r="C781" s="242" t="str">
        <f>IF(Contagem!T779 &gt; 0,Contagem!T779,"")</f>
        <v/>
      </c>
      <c r="D781" s="207"/>
      <c r="E781" s="211" t="str">
        <f t="shared" si="120"/>
        <v/>
      </c>
      <c r="F781" s="207"/>
      <c r="G781" s="211" t="str">
        <f t="shared" si="121"/>
        <v/>
      </c>
      <c r="H781" s="207"/>
      <c r="I781" s="211" t="str">
        <f t="shared" si="122"/>
        <v/>
      </c>
      <c r="J781" s="207"/>
      <c r="K781" s="211" t="str">
        <f t="shared" si="123"/>
        <v/>
      </c>
      <c r="L781" s="207"/>
      <c r="M781" s="211" t="str">
        <f t="shared" si="124"/>
        <v/>
      </c>
      <c r="N781" s="207"/>
      <c r="O781" s="211" t="str">
        <f t="shared" si="125"/>
        <v/>
      </c>
      <c r="P781" s="207"/>
      <c r="Q781" s="211" t="str">
        <f t="shared" si="126"/>
        <v/>
      </c>
      <c r="R781" s="207"/>
      <c r="S781" s="211" t="str">
        <f t="shared" si="127"/>
        <v/>
      </c>
      <c r="T781" s="272" t="str">
        <f t="shared" si="128"/>
        <v/>
      </c>
      <c r="U781" s="212" t="str">
        <f t="shared" si="129"/>
        <v/>
      </c>
    </row>
    <row r="782" spans="2:21" x14ac:dyDescent="0.25">
      <c r="B782" s="241" t="str">
        <f>IF(Contagem!B780=0,"",Contagem!B780)</f>
        <v/>
      </c>
      <c r="C782" s="242" t="str">
        <f>IF(Contagem!T780 &gt; 0,Contagem!T780,"")</f>
        <v/>
      </c>
      <c r="D782" s="207"/>
      <c r="E782" s="211" t="str">
        <f t="shared" si="120"/>
        <v/>
      </c>
      <c r="F782" s="207"/>
      <c r="G782" s="211" t="str">
        <f t="shared" si="121"/>
        <v/>
      </c>
      <c r="H782" s="207"/>
      <c r="I782" s="211" t="str">
        <f t="shared" si="122"/>
        <v/>
      </c>
      <c r="J782" s="207"/>
      <c r="K782" s="211" t="str">
        <f t="shared" si="123"/>
        <v/>
      </c>
      <c r="L782" s="207"/>
      <c r="M782" s="211" t="str">
        <f t="shared" si="124"/>
        <v/>
      </c>
      <c r="N782" s="207"/>
      <c r="O782" s="211" t="str">
        <f t="shared" si="125"/>
        <v/>
      </c>
      <c r="P782" s="207"/>
      <c r="Q782" s="211" t="str">
        <f t="shared" si="126"/>
        <v/>
      </c>
      <c r="R782" s="207"/>
      <c r="S782" s="211" t="str">
        <f t="shared" si="127"/>
        <v/>
      </c>
      <c r="T782" s="272" t="str">
        <f t="shared" si="128"/>
        <v/>
      </c>
      <c r="U782" s="212" t="str">
        <f t="shared" si="129"/>
        <v/>
      </c>
    </row>
    <row r="783" spans="2:21" x14ac:dyDescent="0.25">
      <c r="B783" s="241" t="str">
        <f>IF(Contagem!B781=0,"",Contagem!B781)</f>
        <v/>
      </c>
      <c r="C783" s="242" t="str">
        <f>IF(Contagem!T781 &gt; 0,Contagem!T781,"")</f>
        <v/>
      </c>
      <c r="D783" s="207"/>
      <c r="E783" s="211" t="str">
        <f t="shared" si="120"/>
        <v/>
      </c>
      <c r="F783" s="207"/>
      <c r="G783" s="211" t="str">
        <f t="shared" si="121"/>
        <v/>
      </c>
      <c r="H783" s="207"/>
      <c r="I783" s="211" t="str">
        <f t="shared" si="122"/>
        <v/>
      </c>
      <c r="J783" s="207"/>
      <c r="K783" s="211" t="str">
        <f t="shared" si="123"/>
        <v/>
      </c>
      <c r="L783" s="207"/>
      <c r="M783" s="211" t="str">
        <f t="shared" si="124"/>
        <v/>
      </c>
      <c r="N783" s="207"/>
      <c r="O783" s="211" t="str">
        <f t="shared" si="125"/>
        <v/>
      </c>
      <c r="P783" s="207"/>
      <c r="Q783" s="211" t="str">
        <f t="shared" si="126"/>
        <v/>
      </c>
      <c r="R783" s="207"/>
      <c r="S783" s="211" t="str">
        <f t="shared" si="127"/>
        <v/>
      </c>
      <c r="T783" s="272" t="str">
        <f t="shared" si="128"/>
        <v/>
      </c>
      <c r="U783" s="212" t="str">
        <f t="shared" si="129"/>
        <v/>
      </c>
    </row>
    <row r="784" spans="2:21" x14ac:dyDescent="0.25">
      <c r="B784" s="241" t="str">
        <f>IF(Contagem!B782=0,"",Contagem!B782)</f>
        <v/>
      </c>
      <c r="C784" s="242" t="str">
        <f>IF(Contagem!T782 &gt; 0,Contagem!T782,"")</f>
        <v/>
      </c>
      <c r="D784" s="207"/>
      <c r="E784" s="211" t="str">
        <f t="shared" si="120"/>
        <v/>
      </c>
      <c r="F784" s="207"/>
      <c r="G784" s="211" t="str">
        <f t="shared" si="121"/>
        <v/>
      </c>
      <c r="H784" s="207"/>
      <c r="I784" s="211" t="str">
        <f t="shared" si="122"/>
        <v/>
      </c>
      <c r="J784" s="207"/>
      <c r="K784" s="211" t="str">
        <f t="shared" si="123"/>
        <v/>
      </c>
      <c r="L784" s="207"/>
      <c r="M784" s="211" t="str">
        <f t="shared" si="124"/>
        <v/>
      </c>
      <c r="N784" s="207"/>
      <c r="O784" s="211" t="str">
        <f t="shared" si="125"/>
        <v/>
      </c>
      <c r="P784" s="207"/>
      <c r="Q784" s="211" t="str">
        <f t="shared" si="126"/>
        <v/>
      </c>
      <c r="R784" s="207"/>
      <c r="S784" s="211" t="str">
        <f t="shared" si="127"/>
        <v/>
      </c>
      <c r="T784" s="272" t="str">
        <f t="shared" si="128"/>
        <v/>
      </c>
      <c r="U784" s="212" t="str">
        <f t="shared" si="129"/>
        <v/>
      </c>
    </row>
    <row r="785" spans="2:21" x14ac:dyDescent="0.25">
      <c r="B785" s="241" t="str">
        <f>IF(Contagem!B783=0,"",Contagem!B783)</f>
        <v/>
      </c>
      <c r="C785" s="242" t="str">
        <f>IF(Contagem!T783 &gt; 0,Contagem!T783,"")</f>
        <v/>
      </c>
      <c r="D785" s="207"/>
      <c r="E785" s="211" t="str">
        <f t="shared" si="120"/>
        <v/>
      </c>
      <c r="F785" s="207"/>
      <c r="G785" s="211" t="str">
        <f t="shared" si="121"/>
        <v/>
      </c>
      <c r="H785" s="207"/>
      <c r="I785" s="211" t="str">
        <f t="shared" si="122"/>
        <v/>
      </c>
      <c r="J785" s="207"/>
      <c r="K785" s="211" t="str">
        <f t="shared" si="123"/>
        <v/>
      </c>
      <c r="L785" s="207"/>
      <c r="M785" s="211" t="str">
        <f t="shared" si="124"/>
        <v/>
      </c>
      <c r="N785" s="207"/>
      <c r="O785" s="211" t="str">
        <f t="shared" si="125"/>
        <v/>
      </c>
      <c r="P785" s="207"/>
      <c r="Q785" s="211" t="str">
        <f t="shared" si="126"/>
        <v/>
      </c>
      <c r="R785" s="207"/>
      <c r="S785" s="211" t="str">
        <f t="shared" si="127"/>
        <v/>
      </c>
      <c r="T785" s="272" t="str">
        <f t="shared" si="128"/>
        <v/>
      </c>
      <c r="U785" s="212" t="str">
        <f t="shared" si="129"/>
        <v/>
      </c>
    </row>
    <row r="786" spans="2:21" x14ac:dyDescent="0.25">
      <c r="B786" s="241" t="str">
        <f>IF(Contagem!B784=0,"",Contagem!B784)</f>
        <v/>
      </c>
      <c r="C786" s="242" t="str">
        <f>IF(Contagem!T784 &gt; 0,Contagem!T784,"")</f>
        <v/>
      </c>
      <c r="D786" s="207"/>
      <c r="E786" s="211" t="str">
        <f t="shared" si="120"/>
        <v/>
      </c>
      <c r="F786" s="207"/>
      <c r="G786" s="211" t="str">
        <f t="shared" si="121"/>
        <v/>
      </c>
      <c r="H786" s="207"/>
      <c r="I786" s="211" t="str">
        <f t="shared" si="122"/>
        <v/>
      </c>
      <c r="J786" s="207"/>
      <c r="K786" s="211" t="str">
        <f t="shared" si="123"/>
        <v/>
      </c>
      <c r="L786" s="207"/>
      <c r="M786" s="211" t="str">
        <f t="shared" si="124"/>
        <v/>
      </c>
      <c r="N786" s="207"/>
      <c r="O786" s="211" t="str">
        <f t="shared" si="125"/>
        <v/>
      </c>
      <c r="P786" s="207"/>
      <c r="Q786" s="211" t="str">
        <f t="shared" si="126"/>
        <v/>
      </c>
      <c r="R786" s="207"/>
      <c r="S786" s="211" t="str">
        <f t="shared" si="127"/>
        <v/>
      </c>
      <c r="T786" s="272" t="str">
        <f t="shared" si="128"/>
        <v/>
      </c>
      <c r="U786" s="212" t="str">
        <f t="shared" si="129"/>
        <v/>
      </c>
    </row>
    <row r="787" spans="2:21" x14ac:dyDescent="0.25">
      <c r="B787" s="241" t="str">
        <f>IF(Contagem!B785=0,"",Contagem!B785)</f>
        <v/>
      </c>
      <c r="C787" s="242" t="str">
        <f>IF(Contagem!T785 &gt; 0,Contagem!T785,"")</f>
        <v/>
      </c>
      <c r="D787" s="207"/>
      <c r="E787" s="211" t="str">
        <f t="shared" si="120"/>
        <v/>
      </c>
      <c r="F787" s="207"/>
      <c r="G787" s="211" t="str">
        <f t="shared" si="121"/>
        <v/>
      </c>
      <c r="H787" s="207"/>
      <c r="I787" s="211" t="str">
        <f t="shared" si="122"/>
        <v/>
      </c>
      <c r="J787" s="207"/>
      <c r="K787" s="211" t="str">
        <f t="shared" si="123"/>
        <v/>
      </c>
      <c r="L787" s="207"/>
      <c r="M787" s="211" t="str">
        <f t="shared" si="124"/>
        <v/>
      </c>
      <c r="N787" s="207"/>
      <c r="O787" s="211" t="str">
        <f t="shared" si="125"/>
        <v/>
      </c>
      <c r="P787" s="207"/>
      <c r="Q787" s="211" t="str">
        <f t="shared" si="126"/>
        <v/>
      </c>
      <c r="R787" s="207"/>
      <c r="S787" s="211" t="str">
        <f t="shared" si="127"/>
        <v/>
      </c>
      <c r="T787" s="272" t="str">
        <f t="shared" si="128"/>
        <v/>
      </c>
      <c r="U787" s="212" t="str">
        <f t="shared" si="129"/>
        <v/>
      </c>
    </row>
    <row r="788" spans="2:21" x14ac:dyDescent="0.25">
      <c r="B788" s="241" t="str">
        <f>IF(Contagem!B786=0,"",Contagem!B786)</f>
        <v/>
      </c>
      <c r="C788" s="242" t="str">
        <f>IF(Contagem!T786 &gt; 0,Contagem!T786,"")</f>
        <v/>
      </c>
      <c r="D788" s="207"/>
      <c r="E788" s="211" t="str">
        <f t="shared" si="120"/>
        <v/>
      </c>
      <c r="F788" s="207"/>
      <c r="G788" s="211" t="str">
        <f t="shared" si="121"/>
        <v/>
      </c>
      <c r="H788" s="207"/>
      <c r="I788" s="211" t="str">
        <f t="shared" si="122"/>
        <v/>
      </c>
      <c r="J788" s="207"/>
      <c r="K788" s="211" t="str">
        <f t="shared" si="123"/>
        <v/>
      </c>
      <c r="L788" s="207"/>
      <c r="M788" s="211" t="str">
        <f t="shared" si="124"/>
        <v/>
      </c>
      <c r="N788" s="207"/>
      <c r="O788" s="211" t="str">
        <f t="shared" si="125"/>
        <v/>
      </c>
      <c r="P788" s="207"/>
      <c r="Q788" s="211" t="str">
        <f t="shared" si="126"/>
        <v/>
      </c>
      <c r="R788" s="207"/>
      <c r="S788" s="211" t="str">
        <f t="shared" si="127"/>
        <v/>
      </c>
      <c r="T788" s="272" t="str">
        <f t="shared" si="128"/>
        <v/>
      </c>
      <c r="U788" s="212" t="str">
        <f t="shared" si="129"/>
        <v/>
      </c>
    </row>
    <row r="789" spans="2:21" x14ac:dyDescent="0.25">
      <c r="B789" s="241" t="str">
        <f>IF(Contagem!B787=0,"",Contagem!B787)</f>
        <v/>
      </c>
      <c r="C789" s="242" t="str">
        <f>IF(Contagem!T787 &gt; 0,Contagem!T787,"")</f>
        <v/>
      </c>
      <c r="D789" s="207"/>
      <c r="E789" s="211" t="str">
        <f t="shared" si="120"/>
        <v/>
      </c>
      <c r="F789" s="207"/>
      <c r="G789" s="211" t="str">
        <f t="shared" si="121"/>
        <v/>
      </c>
      <c r="H789" s="207"/>
      <c r="I789" s="211" t="str">
        <f t="shared" si="122"/>
        <v/>
      </c>
      <c r="J789" s="207"/>
      <c r="K789" s="211" t="str">
        <f t="shared" si="123"/>
        <v/>
      </c>
      <c r="L789" s="207"/>
      <c r="M789" s="211" t="str">
        <f t="shared" si="124"/>
        <v/>
      </c>
      <c r="N789" s="207"/>
      <c r="O789" s="211" t="str">
        <f t="shared" si="125"/>
        <v/>
      </c>
      <c r="P789" s="207"/>
      <c r="Q789" s="211" t="str">
        <f t="shared" si="126"/>
        <v/>
      </c>
      <c r="R789" s="207"/>
      <c r="S789" s="211" t="str">
        <f t="shared" si="127"/>
        <v/>
      </c>
      <c r="T789" s="272" t="str">
        <f t="shared" si="128"/>
        <v/>
      </c>
      <c r="U789" s="212" t="str">
        <f t="shared" si="129"/>
        <v/>
      </c>
    </row>
    <row r="790" spans="2:21" x14ac:dyDescent="0.25">
      <c r="B790" s="241" t="str">
        <f>IF(Contagem!B788=0,"",Contagem!B788)</f>
        <v/>
      </c>
      <c r="C790" s="242" t="str">
        <f>IF(Contagem!T788 &gt; 0,Contagem!T788,"")</f>
        <v/>
      </c>
      <c r="D790" s="207"/>
      <c r="E790" s="211" t="str">
        <f t="shared" si="120"/>
        <v/>
      </c>
      <c r="F790" s="207"/>
      <c r="G790" s="211" t="str">
        <f t="shared" si="121"/>
        <v/>
      </c>
      <c r="H790" s="207"/>
      <c r="I790" s="211" t="str">
        <f t="shared" si="122"/>
        <v/>
      </c>
      <c r="J790" s="207"/>
      <c r="K790" s="211" t="str">
        <f t="shared" si="123"/>
        <v/>
      </c>
      <c r="L790" s="207"/>
      <c r="M790" s="211" t="str">
        <f t="shared" si="124"/>
        <v/>
      </c>
      <c r="N790" s="207"/>
      <c r="O790" s="211" t="str">
        <f t="shared" si="125"/>
        <v/>
      </c>
      <c r="P790" s="207"/>
      <c r="Q790" s="211" t="str">
        <f t="shared" si="126"/>
        <v/>
      </c>
      <c r="R790" s="207"/>
      <c r="S790" s="211" t="str">
        <f t="shared" si="127"/>
        <v/>
      </c>
      <c r="T790" s="272" t="str">
        <f t="shared" si="128"/>
        <v/>
      </c>
      <c r="U790" s="212" t="str">
        <f t="shared" si="129"/>
        <v/>
      </c>
    </row>
    <row r="791" spans="2:21" x14ac:dyDescent="0.25">
      <c r="B791" s="241" t="str">
        <f>IF(Contagem!B789=0,"",Contagem!B789)</f>
        <v/>
      </c>
      <c r="C791" s="242" t="str">
        <f>IF(Contagem!T789 &gt; 0,Contagem!T789,"")</f>
        <v/>
      </c>
      <c r="D791" s="207"/>
      <c r="E791" s="211" t="str">
        <f t="shared" si="120"/>
        <v/>
      </c>
      <c r="F791" s="207"/>
      <c r="G791" s="211" t="str">
        <f t="shared" si="121"/>
        <v/>
      </c>
      <c r="H791" s="207"/>
      <c r="I791" s="211" t="str">
        <f t="shared" si="122"/>
        <v/>
      </c>
      <c r="J791" s="207"/>
      <c r="K791" s="211" t="str">
        <f t="shared" si="123"/>
        <v/>
      </c>
      <c r="L791" s="207"/>
      <c r="M791" s="211" t="str">
        <f t="shared" si="124"/>
        <v/>
      </c>
      <c r="N791" s="207"/>
      <c r="O791" s="211" t="str">
        <f t="shared" si="125"/>
        <v/>
      </c>
      <c r="P791" s="207"/>
      <c r="Q791" s="211" t="str">
        <f t="shared" si="126"/>
        <v/>
      </c>
      <c r="R791" s="207"/>
      <c r="S791" s="211" t="str">
        <f t="shared" si="127"/>
        <v/>
      </c>
      <c r="T791" s="272" t="str">
        <f t="shared" si="128"/>
        <v/>
      </c>
      <c r="U791" s="212" t="str">
        <f t="shared" si="129"/>
        <v/>
      </c>
    </row>
    <row r="792" spans="2:21" x14ac:dyDescent="0.25">
      <c r="B792" s="241" t="str">
        <f>IF(Contagem!B790=0,"",Contagem!B790)</f>
        <v/>
      </c>
      <c r="C792" s="242" t="str">
        <f>IF(Contagem!T790 &gt; 0,Contagem!T790,"")</f>
        <v/>
      </c>
      <c r="D792" s="207"/>
      <c r="E792" s="211" t="str">
        <f t="shared" si="120"/>
        <v/>
      </c>
      <c r="F792" s="207"/>
      <c r="G792" s="211" t="str">
        <f t="shared" si="121"/>
        <v/>
      </c>
      <c r="H792" s="207"/>
      <c r="I792" s="211" t="str">
        <f t="shared" si="122"/>
        <v/>
      </c>
      <c r="J792" s="207"/>
      <c r="K792" s="211" t="str">
        <f t="shared" si="123"/>
        <v/>
      </c>
      <c r="L792" s="207"/>
      <c r="M792" s="211" t="str">
        <f t="shared" si="124"/>
        <v/>
      </c>
      <c r="N792" s="207"/>
      <c r="O792" s="211" t="str">
        <f t="shared" si="125"/>
        <v/>
      </c>
      <c r="P792" s="207"/>
      <c r="Q792" s="211" t="str">
        <f t="shared" si="126"/>
        <v/>
      </c>
      <c r="R792" s="207"/>
      <c r="S792" s="211" t="str">
        <f t="shared" si="127"/>
        <v/>
      </c>
      <c r="T792" s="272" t="str">
        <f t="shared" si="128"/>
        <v/>
      </c>
      <c r="U792" s="212" t="str">
        <f t="shared" si="129"/>
        <v/>
      </c>
    </row>
    <row r="793" spans="2:21" x14ac:dyDescent="0.25">
      <c r="B793" s="241" t="str">
        <f>IF(Contagem!B791=0,"",Contagem!B791)</f>
        <v/>
      </c>
      <c r="C793" s="242" t="str">
        <f>IF(Contagem!T791 &gt; 0,Contagem!T791,"")</f>
        <v/>
      </c>
      <c r="D793" s="207"/>
      <c r="E793" s="211" t="str">
        <f t="shared" si="120"/>
        <v/>
      </c>
      <c r="F793" s="207"/>
      <c r="G793" s="211" t="str">
        <f t="shared" si="121"/>
        <v/>
      </c>
      <c r="H793" s="207"/>
      <c r="I793" s="211" t="str">
        <f t="shared" si="122"/>
        <v/>
      </c>
      <c r="J793" s="207"/>
      <c r="K793" s="211" t="str">
        <f t="shared" si="123"/>
        <v/>
      </c>
      <c r="L793" s="207"/>
      <c r="M793" s="211" t="str">
        <f t="shared" si="124"/>
        <v/>
      </c>
      <c r="N793" s="207"/>
      <c r="O793" s="211" t="str">
        <f t="shared" si="125"/>
        <v/>
      </c>
      <c r="P793" s="207"/>
      <c r="Q793" s="211" t="str">
        <f t="shared" si="126"/>
        <v/>
      </c>
      <c r="R793" s="207"/>
      <c r="S793" s="211" t="str">
        <f t="shared" si="127"/>
        <v/>
      </c>
      <c r="T793" s="272" t="str">
        <f t="shared" si="128"/>
        <v/>
      </c>
      <c r="U793" s="212" t="str">
        <f t="shared" si="129"/>
        <v/>
      </c>
    </row>
    <row r="794" spans="2:21" x14ac:dyDescent="0.25">
      <c r="B794" s="241" t="str">
        <f>IF(Contagem!B792=0,"",Contagem!B792)</f>
        <v/>
      </c>
      <c r="C794" s="242" t="str">
        <f>IF(Contagem!T792 &gt; 0,Contagem!T792,"")</f>
        <v/>
      </c>
      <c r="D794" s="207"/>
      <c r="E794" s="211" t="str">
        <f t="shared" si="120"/>
        <v/>
      </c>
      <c r="F794" s="207"/>
      <c r="G794" s="211" t="str">
        <f t="shared" si="121"/>
        <v/>
      </c>
      <c r="H794" s="207"/>
      <c r="I794" s="211" t="str">
        <f t="shared" si="122"/>
        <v/>
      </c>
      <c r="J794" s="207"/>
      <c r="K794" s="211" t="str">
        <f t="shared" si="123"/>
        <v/>
      </c>
      <c r="L794" s="207"/>
      <c r="M794" s="211" t="str">
        <f t="shared" si="124"/>
        <v/>
      </c>
      <c r="N794" s="207"/>
      <c r="O794" s="211" t="str">
        <f t="shared" si="125"/>
        <v/>
      </c>
      <c r="P794" s="207"/>
      <c r="Q794" s="211" t="str">
        <f t="shared" si="126"/>
        <v/>
      </c>
      <c r="R794" s="207"/>
      <c r="S794" s="211" t="str">
        <f t="shared" si="127"/>
        <v/>
      </c>
      <c r="T794" s="272" t="str">
        <f t="shared" si="128"/>
        <v/>
      </c>
      <c r="U794" s="212" t="str">
        <f t="shared" si="129"/>
        <v/>
      </c>
    </row>
    <row r="795" spans="2:21" x14ac:dyDescent="0.25">
      <c r="B795" s="241" t="str">
        <f>IF(Contagem!B793=0,"",Contagem!B793)</f>
        <v/>
      </c>
      <c r="C795" s="242" t="str">
        <f>IF(Contagem!T793 &gt; 0,Contagem!T793,"")</f>
        <v/>
      </c>
      <c r="D795" s="207"/>
      <c r="E795" s="211" t="str">
        <f t="shared" si="120"/>
        <v/>
      </c>
      <c r="F795" s="207"/>
      <c r="G795" s="211" t="str">
        <f t="shared" si="121"/>
        <v/>
      </c>
      <c r="H795" s="207"/>
      <c r="I795" s="211" t="str">
        <f t="shared" si="122"/>
        <v/>
      </c>
      <c r="J795" s="207"/>
      <c r="K795" s="211" t="str">
        <f t="shared" si="123"/>
        <v/>
      </c>
      <c r="L795" s="207"/>
      <c r="M795" s="211" t="str">
        <f t="shared" si="124"/>
        <v/>
      </c>
      <c r="N795" s="207"/>
      <c r="O795" s="211" t="str">
        <f t="shared" si="125"/>
        <v/>
      </c>
      <c r="P795" s="207"/>
      <c r="Q795" s="211" t="str">
        <f t="shared" si="126"/>
        <v/>
      </c>
      <c r="R795" s="207"/>
      <c r="S795" s="211" t="str">
        <f t="shared" si="127"/>
        <v/>
      </c>
      <c r="T795" s="272" t="str">
        <f t="shared" si="128"/>
        <v/>
      </c>
      <c r="U795" s="212" t="str">
        <f t="shared" si="129"/>
        <v/>
      </c>
    </row>
    <row r="796" spans="2:21" x14ac:dyDescent="0.25">
      <c r="B796" s="241" t="str">
        <f>IF(Contagem!B794=0,"",Contagem!B794)</f>
        <v/>
      </c>
      <c r="C796" s="242" t="str">
        <f>IF(Contagem!T794 &gt; 0,Contagem!T794,"")</f>
        <v/>
      </c>
      <c r="D796" s="207"/>
      <c r="E796" s="211" t="str">
        <f t="shared" si="120"/>
        <v/>
      </c>
      <c r="F796" s="207"/>
      <c r="G796" s="211" t="str">
        <f t="shared" si="121"/>
        <v/>
      </c>
      <c r="H796" s="207"/>
      <c r="I796" s="211" t="str">
        <f t="shared" si="122"/>
        <v/>
      </c>
      <c r="J796" s="207"/>
      <c r="K796" s="211" t="str">
        <f t="shared" si="123"/>
        <v/>
      </c>
      <c r="L796" s="207"/>
      <c r="M796" s="211" t="str">
        <f t="shared" si="124"/>
        <v/>
      </c>
      <c r="N796" s="207"/>
      <c r="O796" s="211" t="str">
        <f t="shared" si="125"/>
        <v/>
      </c>
      <c r="P796" s="207"/>
      <c r="Q796" s="211" t="str">
        <f t="shared" si="126"/>
        <v/>
      </c>
      <c r="R796" s="207"/>
      <c r="S796" s="211" t="str">
        <f t="shared" si="127"/>
        <v/>
      </c>
      <c r="T796" s="272" t="str">
        <f t="shared" si="128"/>
        <v/>
      </c>
      <c r="U796" s="212" t="str">
        <f t="shared" si="129"/>
        <v/>
      </c>
    </row>
    <row r="797" spans="2:21" x14ac:dyDescent="0.25">
      <c r="B797" s="241" t="str">
        <f>IF(Contagem!B795=0,"",Contagem!B795)</f>
        <v/>
      </c>
      <c r="C797" s="242" t="str">
        <f>IF(Contagem!T795 &gt; 0,Contagem!T795,"")</f>
        <v/>
      </c>
      <c r="D797" s="207"/>
      <c r="E797" s="211" t="str">
        <f t="shared" si="120"/>
        <v/>
      </c>
      <c r="F797" s="207"/>
      <c r="G797" s="211" t="str">
        <f t="shared" si="121"/>
        <v/>
      </c>
      <c r="H797" s="207"/>
      <c r="I797" s="211" t="str">
        <f t="shared" si="122"/>
        <v/>
      </c>
      <c r="J797" s="207"/>
      <c r="K797" s="211" t="str">
        <f t="shared" si="123"/>
        <v/>
      </c>
      <c r="L797" s="207"/>
      <c r="M797" s="211" t="str">
        <f t="shared" si="124"/>
        <v/>
      </c>
      <c r="N797" s="207"/>
      <c r="O797" s="211" t="str">
        <f t="shared" si="125"/>
        <v/>
      </c>
      <c r="P797" s="207"/>
      <c r="Q797" s="211" t="str">
        <f t="shared" si="126"/>
        <v/>
      </c>
      <c r="R797" s="207"/>
      <c r="S797" s="211" t="str">
        <f t="shared" si="127"/>
        <v/>
      </c>
      <c r="T797" s="272" t="str">
        <f t="shared" si="128"/>
        <v/>
      </c>
      <c r="U797" s="212" t="str">
        <f t="shared" si="129"/>
        <v/>
      </c>
    </row>
    <row r="798" spans="2:21" x14ac:dyDescent="0.25">
      <c r="B798" s="241" t="str">
        <f>IF(Contagem!B796=0,"",Contagem!B796)</f>
        <v/>
      </c>
      <c r="C798" s="242" t="str">
        <f>IF(Contagem!T796 &gt; 0,Contagem!T796,"")</f>
        <v/>
      </c>
      <c r="D798" s="207"/>
      <c r="E798" s="211" t="str">
        <f t="shared" si="120"/>
        <v/>
      </c>
      <c r="F798" s="207"/>
      <c r="G798" s="211" t="str">
        <f t="shared" si="121"/>
        <v/>
      </c>
      <c r="H798" s="207"/>
      <c r="I798" s="211" t="str">
        <f t="shared" si="122"/>
        <v/>
      </c>
      <c r="J798" s="207"/>
      <c r="K798" s="211" t="str">
        <f t="shared" si="123"/>
        <v/>
      </c>
      <c r="L798" s="207"/>
      <c r="M798" s="211" t="str">
        <f t="shared" si="124"/>
        <v/>
      </c>
      <c r="N798" s="207"/>
      <c r="O798" s="211" t="str">
        <f t="shared" si="125"/>
        <v/>
      </c>
      <c r="P798" s="207"/>
      <c r="Q798" s="211" t="str">
        <f t="shared" si="126"/>
        <v/>
      </c>
      <c r="R798" s="207"/>
      <c r="S798" s="211" t="str">
        <f t="shared" si="127"/>
        <v/>
      </c>
      <c r="T798" s="272" t="str">
        <f t="shared" si="128"/>
        <v/>
      </c>
      <c r="U798" s="212" t="str">
        <f t="shared" si="129"/>
        <v/>
      </c>
    </row>
    <row r="799" spans="2:21" x14ac:dyDescent="0.25">
      <c r="B799" s="241" t="str">
        <f>IF(Contagem!B797=0,"",Contagem!B797)</f>
        <v/>
      </c>
      <c r="C799" s="242" t="str">
        <f>IF(Contagem!T797 &gt; 0,Contagem!T797,"")</f>
        <v/>
      </c>
      <c r="D799" s="207"/>
      <c r="E799" s="211" t="str">
        <f t="shared" si="120"/>
        <v/>
      </c>
      <c r="F799" s="207"/>
      <c r="G799" s="211" t="str">
        <f t="shared" si="121"/>
        <v/>
      </c>
      <c r="H799" s="207"/>
      <c r="I799" s="211" t="str">
        <f t="shared" si="122"/>
        <v/>
      </c>
      <c r="J799" s="207"/>
      <c r="K799" s="211" t="str">
        <f t="shared" si="123"/>
        <v/>
      </c>
      <c r="L799" s="207"/>
      <c r="M799" s="211" t="str">
        <f t="shared" si="124"/>
        <v/>
      </c>
      <c r="N799" s="207"/>
      <c r="O799" s="211" t="str">
        <f t="shared" si="125"/>
        <v/>
      </c>
      <c r="P799" s="207"/>
      <c r="Q799" s="211" t="str">
        <f t="shared" si="126"/>
        <v/>
      </c>
      <c r="R799" s="207"/>
      <c r="S799" s="211" t="str">
        <f t="shared" si="127"/>
        <v/>
      </c>
      <c r="T799" s="272" t="str">
        <f t="shared" si="128"/>
        <v/>
      </c>
      <c r="U799" s="212" t="str">
        <f t="shared" si="129"/>
        <v/>
      </c>
    </row>
    <row r="800" spans="2:21" x14ac:dyDescent="0.25">
      <c r="B800" s="241" t="str">
        <f>IF(Contagem!B798=0,"",Contagem!B798)</f>
        <v/>
      </c>
      <c r="C800" s="242" t="str">
        <f>IF(Contagem!T798 &gt; 0,Contagem!T798,"")</f>
        <v/>
      </c>
      <c r="D800" s="207"/>
      <c r="E800" s="211" t="str">
        <f t="shared" si="120"/>
        <v/>
      </c>
      <c r="F800" s="207"/>
      <c r="G800" s="211" t="str">
        <f t="shared" si="121"/>
        <v/>
      </c>
      <c r="H800" s="207"/>
      <c r="I800" s="211" t="str">
        <f t="shared" si="122"/>
        <v/>
      </c>
      <c r="J800" s="207"/>
      <c r="K800" s="211" t="str">
        <f t="shared" si="123"/>
        <v/>
      </c>
      <c r="L800" s="207"/>
      <c r="M800" s="211" t="str">
        <f t="shared" si="124"/>
        <v/>
      </c>
      <c r="N800" s="207"/>
      <c r="O800" s="211" t="str">
        <f t="shared" si="125"/>
        <v/>
      </c>
      <c r="P800" s="207"/>
      <c r="Q800" s="211" t="str">
        <f t="shared" si="126"/>
        <v/>
      </c>
      <c r="R800" s="207"/>
      <c r="S800" s="211" t="str">
        <f t="shared" si="127"/>
        <v/>
      </c>
      <c r="T800" s="272" t="str">
        <f t="shared" si="128"/>
        <v/>
      </c>
      <c r="U800" s="212" t="str">
        <f t="shared" si="129"/>
        <v/>
      </c>
    </row>
    <row r="801" spans="2:21" x14ac:dyDescent="0.25">
      <c r="B801" s="241" t="str">
        <f>IF(Contagem!B799=0,"",Contagem!B799)</f>
        <v/>
      </c>
      <c r="C801" s="242" t="str">
        <f>IF(Contagem!T799 &gt; 0,Contagem!T799,"")</f>
        <v/>
      </c>
      <c r="D801" s="207"/>
      <c r="E801" s="211" t="str">
        <f t="shared" si="120"/>
        <v/>
      </c>
      <c r="F801" s="207"/>
      <c r="G801" s="211" t="str">
        <f t="shared" si="121"/>
        <v/>
      </c>
      <c r="H801" s="207"/>
      <c r="I801" s="211" t="str">
        <f t="shared" si="122"/>
        <v/>
      </c>
      <c r="J801" s="207"/>
      <c r="K801" s="211" t="str">
        <f t="shared" si="123"/>
        <v/>
      </c>
      <c r="L801" s="207"/>
      <c r="M801" s="211" t="str">
        <f t="shared" si="124"/>
        <v/>
      </c>
      <c r="N801" s="207"/>
      <c r="O801" s="211" t="str">
        <f t="shared" si="125"/>
        <v/>
      </c>
      <c r="P801" s="207"/>
      <c r="Q801" s="211" t="str">
        <f t="shared" si="126"/>
        <v/>
      </c>
      <c r="R801" s="207"/>
      <c r="S801" s="211" t="str">
        <f t="shared" si="127"/>
        <v/>
      </c>
      <c r="T801" s="272" t="str">
        <f t="shared" si="128"/>
        <v/>
      </c>
      <c r="U801" s="212" t="str">
        <f t="shared" si="129"/>
        <v/>
      </c>
    </row>
    <row r="802" spans="2:21" x14ac:dyDescent="0.25">
      <c r="B802" s="241" t="str">
        <f>IF(Contagem!B800=0,"",Contagem!B800)</f>
        <v/>
      </c>
      <c r="C802" s="242" t="str">
        <f>IF(Contagem!T800 &gt; 0,Contagem!T800,"")</f>
        <v/>
      </c>
      <c r="D802" s="207"/>
      <c r="E802" s="211" t="str">
        <f t="shared" si="120"/>
        <v/>
      </c>
      <c r="F802" s="207"/>
      <c r="G802" s="211" t="str">
        <f t="shared" si="121"/>
        <v/>
      </c>
      <c r="H802" s="207"/>
      <c r="I802" s="211" t="str">
        <f t="shared" si="122"/>
        <v/>
      </c>
      <c r="J802" s="207"/>
      <c r="K802" s="211" t="str">
        <f t="shared" si="123"/>
        <v/>
      </c>
      <c r="L802" s="207"/>
      <c r="M802" s="211" t="str">
        <f t="shared" si="124"/>
        <v/>
      </c>
      <c r="N802" s="207"/>
      <c r="O802" s="211" t="str">
        <f t="shared" si="125"/>
        <v/>
      </c>
      <c r="P802" s="207"/>
      <c r="Q802" s="211" t="str">
        <f t="shared" si="126"/>
        <v/>
      </c>
      <c r="R802" s="207"/>
      <c r="S802" s="211" t="str">
        <f t="shared" si="127"/>
        <v/>
      </c>
      <c r="T802" s="272" t="str">
        <f t="shared" si="128"/>
        <v/>
      </c>
      <c r="U802" s="212" t="str">
        <f t="shared" si="129"/>
        <v/>
      </c>
    </row>
    <row r="803" spans="2:21" x14ac:dyDescent="0.25">
      <c r="B803" s="241" t="str">
        <f>IF(Contagem!B801=0,"",Contagem!B801)</f>
        <v/>
      </c>
      <c r="C803" s="242" t="str">
        <f>IF(Contagem!T801 &gt; 0,Contagem!T801,"")</f>
        <v/>
      </c>
      <c r="D803" s="207"/>
      <c r="E803" s="211" t="str">
        <f t="shared" si="120"/>
        <v/>
      </c>
      <c r="F803" s="207"/>
      <c r="G803" s="211" t="str">
        <f t="shared" si="121"/>
        <v/>
      </c>
      <c r="H803" s="207"/>
      <c r="I803" s="211" t="str">
        <f t="shared" si="122"/>
        <v/>
      </c>
      <c r="J803" s="207"/>
      <c r="K803" s="211" t="str">
        <f t="shared" si="123"/>
        <v/>
      </c>
      <c r="L803" s="207"/>
      <c r="M803" s="211" t="str">
        <f t="shared" si="124"/>
        <v/>
      </c>
      <c r="N803" s="207"/>
      <c r="O803" s="211" t="str">
        <f t="shared" si="125"/>
        <v/>
      </c>
      <c r="P803" s="207"/>
      <c r="Q803" s="211" t="str">
        <f t="shared" si="126"/>
        <v/>
      </c>
      <c r="R803" s="207"/>
      <c r="S803" s="211" t="str">
        <f t="shared" si="127"/>
        <v/>
      </c>
      <c r="T803" s="272" t="str">
        <f t="shared" si="128"/>
        <v/>
      </c>
      <c r="U803" s="212" t="str">
        <f t="shared" si="129"/>
        <v/>
      </c>
    </row>
    <row r="804" spans="2:21" x14ac:dyDescent="0.25">
      <c r="B804" s="241" t="str">
        <f>IF(Contagem!B802=0,"",Contagem!B802)</f>
        <v/>
      </c>
      <c r="C804" s="242" t="str">
        <f>IF(Contagem!T802 &gt; 0,Contagem!T802,"")</f>
        <v/>
      </c>
      <c r="D804" s="207"/>
      <c r="E804" s="211" t="str">
        <f t="shared" si="120"/>
        <v/>
      </c>
      <c r="F804" s="207"/>
      <c r="G804" s="211" t="str">
        <f t="shared" si="121"/>
        <v/>
      </c>
      <c r="H804" s="207"/>
      <c r="I804" s="211" t="str">
        <f t="shared" si="122"/>
        <v/>
      </c>
      <c r="J804" s="207"/>
      <c r="K804" s="211" t="str">
        <f t="shared" si="123"/>
        <v/>
      </c>
      <c r="L804" s="207"/>
      <c r="M804" s="211" t="str">
        <f t="shared" si="124"/>
        <v/>
      </c>
      <c r="N804" s="207"/>
      <c r="O804" s="211" t="str">
        <f t="shared" si="125"/>
        <v/>
      </c>
      <c r="P804" s="207"/>
      <c r="Q804" s="211" t="str">
        <f t="shared" si="126"/>
        <v/>
      </c>
      <c r="R804" s="207"/>
      <c r="S804" s="211" t="str">
        <f t="shared" si="127"/>
        <v/>
      </c>
      <c r="T804" s="272" t="str">
        <f t="shared" si="128"/>
        <v/>
      </c>
      <c r="U804" s="212" t="str">
        <f t="shared" si="129"/>
        <v/>
      </c>
    </row>
    <row r="805" spans="2:21" x14ac:dyDescent="0.25">
      <c r="B805" s="241" t="str">
        <f>IF(Contagem!B803=0,"",Contagem!B803)</f>
        <v/>
      </c>
      <c r="C805" s="242" t="str">
        <f>IF(Contagem!T803 &gt; 0,Contagem!T803,"")</f>
        <v/>
      </c>
      <c r="D805" s="207"/>
      <c r="E805" s="211" t="str">
        <f t="shared" si="120"/>
        <v/>
      </c>
      <c r="F805" s="207"/>
      <c r="G805" s="211" t="str">
        <f t="shared" si="121"/>
        <v/>
      </c>
      <c r="H805" s="207"/>
      <c r="I805" s="211" t="str">
        <f t="shared" si="122"/>
        <v/>
      </c>
      <c r="J805" s="207"/>
      <c r="K805" s="211" t="str">
        <f t="shared" si="123"/>
        <v/>
      </c>
      <c r="L805" s="207"/>
      <c r="M805" s="211" t="str">
        <f t="shared" si="124"/>
        <v/>
      </c>
      <c r="N805" s="207"/>
      <c r="O805" s="211" t="str">
        <f t="shared" si="125"/>
        <v/>
      </c>
      <c r="P805" s="207"/>
      <c r="Q805" s="211" t="str">
        <f t="shared" si="126"/>
        <v/>
      </c>
      <c r="R805" s="207"/>
      <c r="S805" s="211" t="str">
        <f t="shared" si="127"/>
        <v/>
      </c>
      <c r="T805" s="272" t="str">
        <f t="shared" si="128"/>
        <v/>
      </c>
      <c r="U805" s="212" t="str">
        <f t="shared" si="129"/>
        <v/>
      </c>
    </row>
    <row r="806" spans="2:21" x14ac:dyDescent="0.25">
      <c r="B806" s="241" t="str">
        <f>IF(Contagem!B804=0,"",Contagem!B804)</f>
        <v/>
      </c>
      <c r="C806" s="242" t="str">
        <f>IF(Contagem!T804 &gt; 0,Contagem!T804,"")</f>
        <v/>
      </c>
      <c r="D806" s="207"/>
      <c r="E806" s="211" t="str">
        <f t="shared" si="120"/>
        <v/>
      </c>
      <c r="F806" s="207"/>
      <c r="G806" s="211" t="str">
        <f t="shared" si="121"/>
        <v/>
      </c>
      <c r="H806" s="207"/>
      <c r="I806" s="211" t="str">
        <f t="shared" si="122"/>
        <v/>
      </c>
      <c r="J806" s="207"/>
      <c r="K806" s="211" t="str">
        <f t="shared" si="123"/>
        <v/>
      </c>
      <c r="L806" s="207"/>
      <c r="M806" s="211" t="str">
        <f t="shared" si="124"/>
        <v/>
      </c>
      <c r="N806" s="207"/>
      <c r="O806" s="211" t="str">
        <f t="shared" si="125"/>
        <v/>
      </c>
      <c r="P806" s="207"/>
      <c r="Q806" s="211" t="str">
        <f t="shared" si="126"/>
        <v/>
      </c>
      <c r="R806" s="207"/>
      <c r="S806" s="211" t="str">
        <f t="shared" si="127"/>
        <v/>
      </c>
      <c r="T806" s="272" t="str">
        <f t="shared" si="128"/>
        <v/>
      </c>
      <c r="U806" s="212" t="str">
        <f t="shared" si="129"/>
        <v/>
      </c>
    </row>
    <row r="807" spans="2:21" x14ac:dyDescent="0.25">
      <c r="B807" s="241" t="str">
        <f>IF(Contagem!B805=0,"",Contagem!B805)</f>
        <v/>
      </c>
      <c r="C807" s="242" t="str">
        <f>IF(Contagem!T805 &gt; 0,Contagem!T805,"")</f>
        <v/>
      </c>
      <c r="D807" s="207"/>
      <c r="E807" s="211" t="str">
        <f t="shared" si="120"/>
        <v/>
      </c>
      <c r="F807" s="207"/>
      <c r="G807" s="211" t="str">
        <f t="shared" si="121"/>
        <v/>
      </c>
      <c r="H807" s="207"/>
      <c r="I807" s="211" t="str">
        <f t="shared" si="122"/>
        <v/>
      </c>
      <c r="J807" s="207"/>
      <c r="K807" s="211" t="str">
        <f t="shared" si="123"/>
        <v/>
      </c>
      <c r="L807" s="207"/>
      <c r="M807" s="211" t="str">
        <f t="shared" si="124"/>
        <v/>
      </c>
      <c r="N807" s="207"/>
      <c r="O807" s="211" t="str">
        <f t="shared" si="125"/>
        <v/>
      </c>
      <c r="P807" s="207"/>
      <c r="Q807" s="211" t="str">
        <f t="shared" si="126"/>
        <v/>
      </c>
      <c r="R807" s="207"/>
      <c r="S807" s="211" t="str">
        <f t="shared" si="127"/>
        <v/>
      </c>
      <c r="T807" s="272" t="str">
        <f t="shared" si="128"/>
        <v/>
      </c>
      <c r="U807" s="212" t="str">
        <f t="shared" si="129"/>
        <v/>
      </c>
    </row>
    <row r="808" spans="2:21" x14ac:dyDescent="0.25">
      <c r="B808" s="241" t="str">
        <f>IF(Contagem!B806=0,"",Contagem!B806)</f>
        <v/>
      </c>
      <c r="C808" s="242" t="str">
        <f>IF(Contagem!T806 &gt; 0,Contagem!T806,"")</f>
        <v/>
      </c>
      <c r="D808" s="207"/>
      <c r="E808" s="211" t="str">
        <f t="shared" si="120"/>
        <v/>
      </c>
      <c r="F808" s="207"/>
      <c r="G808" s="211" t="str">
        <f t="shared" si="121"/>
        <v/>
      </c>
      <c r="H808" s="207"/>
      <c r="I808" s="211" t="str">
        <f t="shared" si="122"/>
        <v/>
      </c>
      <c r="J808" s="207"/>
      <c r="K808" s="211" t="str">
        <f t="shared" si="123"/>
        <v/>
      </c>
      <c r="L808" s="207"/>
      <c r="M808" s="211" t="str">
        <f t="shared" si="124"/>
        <v/>
      </c>
      <c r="N808" s="207"/>
      <c r="O808" s="211" t="str">
        <f t="shared" si="125"/>
        <v/>
      </c>
      <c r="P808" s="207"/>
      <c r="Q808" s="211" t="str">
        <f t="shared" si="126"/>
        <v/>
      </c>
      <c r="R808" s="207"/>
      <c r="S808" s="211" t="str">
        <f t="shared" si="127"/>
        <v/>
      </c>
      <c r="T808" s="272" t="str">
        <f t="shared" si="128"/>
        <v/>
      </c>
      <c r="U808" s="212" t="str">
        <f t="shared" si="129"/>
        <v/>
      </c>
    </row>
    <row r="809" spans="2:21" x14ac:dyDescent="0.25">
      <c r="B809" s="241" t="str">
        <f>IF(Contagem!B807=0,"",Contagem!B807)</f>
        <v/>
      </c>
      <c r="C809" s="242" t="str">
        <f>IF(Contagem!T807 &gt; 0,Contagem!T807,"")</f>
        <v/>
      </c>
      <c r="D809" s="207"/>
      <c r="E809" s="211" t="str">
        <f t="shared" si="120"/>
        <v/>
      </c>
      <c r="F809" s="207"/>
      <c r="G809" s="211" t="str">
        <f t="shared" si="121"/>
        <v/>
      </c>
      <c r="H809" s="207"/>
      <c r="I809" s="211" t="str">
        <f t="shared" si="122"/>
        <v/>
      </c>
      <c r="J809" s="207"/>
      <c r="K809" s="211" t="str">
        <f t="shared" si="123"/>
        <v/>
      </c>
      <c r="L809" s="207"/>
      <c r="M809" s="211" t="str">
        <f t="shared" si="124"/>
        <v/>
      </c>
      <c r="N809" s="207"/>
      <c r="O809" s="211" t="str">
        <f t="shared" si="125"/>
        <v/>
      </c>
      <c r="P809" s="207"/>
      <c r="Q809" s="211" t="str">
        <f t="shared" si="126"/>
        <v/>
      </c>
      <c r="R809" s="207"/>
      <c r="S809" s="211" t="str">
        <f t="shared" si="127"/>
        <v/>
      </c>
      <c r="T809" s="272" t="str">
        <f t="shared" si="128"/>
        <v/>
      </c>
      <c r="U809" s="212" t="str">
        <f t="shared" si="129"/>
        <v/>
      </c>
    </row>
    <row r="810" spans="2:21" x14ac:dyDescent="0.25">
      <c r="B810" s="241" t="str">
        <f>IF(Contagem!B808=0,"",Contagem!B808)</f>
        <v/>
      </c>
      <c r="C810" s="242" t="str">
        <f>IF(Contagem!T808 &gt; 0,Contagem!T808,"")</f>
        <v/>
      </c>
      <c r="D810" s="207"/>
      <c r="E810" s="211" t="str">
        <f t="shared" si="120"/>
        <v/>
      </c>
      <c r="F810" s="207"/>
      <c r="G810" s="211" t="str">
        <f t="shared" si="121"/>
        <v/>
      </c>
      <c r="H810" s="207"/>
      <c r="I810" s="211" t="str">
        <f t="shared" si="122"/>
        <v/>
      </c>
      <c r="J810" s="207"/>
      <c r="K810" s="211" t="str">
        <f t="shared" si="123"/>
        <v/>
      </c>
      <c r="L810" s="207"/>
      <c r="M810" s="211" t="str">
        <f t="shared" si="124"/>
        <v/>
      </c>
      <c r="N810" s="207"/>
      <c r="O810" s="211" t="str">
        <f t="shared" si="125"/>
        <v/>
      </c>
      <c r="P810" s="207"/>
      <c r="Q810" s="211" t="str">
        <f t="shared" si="126"/>
        <v/>
      </c>
      <c r="R810" s="207"/>
      <c r="S810" s="211" t="str">
        <f t="shared" si="127"/>
        <v/>
      </c>
      <c r="T810" s="272" t="str">
        <f t="shared" si="128"/>
        <v/>
      </c>
      <c r="U810" s="212" t="str">
        <f t="shared" si="129"/>
        <v/>
      </c>
    </row>
    <row r="811" spans="2:21" x14ac:dyDescent="0.25">
      <c r="B811" s="241" t="str">
        <f>IF(Contagem!B809=0,"",Contagem!B809)</f>
        <v/>
      </c>
      <c r="C811" s="242" t="str">
        <f>IF(Contagem!T809 &gt; 0,Contagem!T809,"")</f>
        <v/>
      </c>
      <c r="D811" s="207"/>
      <c r="E811" s="211" t="str">
        <f t="shared" si="120"/>
        <v/>
      </c>
      <c r="F811" s="207"/>
      <c r="G811" s="211" t="str">
        <f t="shared" si="121"/>
        <v/>
      </c>
      <c r="H811" s="207"/>
      <c r="I811" s="211" t="str">
        <f t="shared" si="122"/>
        <v/>
      </c>
      <c r="J811" s="207"/>
      <c r="K811" s="211" t="str">
        <f t="shared" si="123"/>
        <v/>
      </c>
      <c r="L811" s="207"/>
      <c r="M811" s="211" t="str">
        <f t="shared" si="124"/>
        <v/>
      </c>
      <c r="N811" s="207"/>
      <c r="O811" s="211" t="str">
        <f t="shared" si="125"/>
        <v/>
      </c>
      <c r="P811" s="207"/>
      <c r="Q811" s="211" t="str">
        <f t="shared" si="126"/>
        <v/>
      </c>
      <c r="R811" s="207"/>
      <c r="S811" s="211" t="str">
        <f t="shared" si="127"/>
        <v/>
      </c>
      <c r="T811" s="272" t="str">
        <f t="shared" si="128"/>
        <v/>
      </c>
      <c r="U811" s="212" t="str">
        <f t="shared" si="129"/>
        <v/>
      </c>
    </row>
    <row r="812" spans="2:21" x14ac:dyDescent="0.25">
      <c r="B812" s="241" t="str">
        <f>IF(Contagem!B810=0,"",Contagem!B810)</f>
        <v/>
      </c>
      <c r="C812" s="242" t="str">
        <f>IF(Contagem!T810 &gt; 0,Contagem!T810,"")</f>
        <v/>
      </c>
      <c r="D812" s="207"/>
      <c r="E812" s="211" t="str">
        <f t="shared" si="120"/>
        <v/>
      </c>
      <c r="F812" s="207"/>
      <c r="G812" s="211" t="str">
        <f t="shared" si="121"/>
        <v/>
      </c>
      <c r="H812" s="207"/>
      <c r="I812" s="211" t="str">
        <f t="shared" si="122"/>
        <v/>
      </c>
      <c r="J812" s="207"/>
      <c r="K812" s="211" t="str">
        <f t="shared" si="123"/>
        <v/>
      </c>
      <c r="L812" s="207"/>
      <c r="M812" s="211" t="str">
        <f t="shared" si="124"/>
        <v/>
      </c>
      <c r="N812" s="207"/>
      <c r="O812" s="211" t="str">
        <f t="shared" si="125"/>
        <v/>
      </c>
      <c r="P812" s="207"/>
      <c r="Q812" s="211" t="str">
        <f t="shared" si="126"/>
        <v/>
      </c>
      <c r="R812" s="207"/>
      <c r="S812" s="211" t="str">
        <f t="shared" si="127"/>
        <v/>
      </c>
      <c r="T812" s="272" t="str">
        <f t="shared" si="128"/>
        <v/>
      </c>
      <c r="U812" s="212" t="str">
        <f t="shared" si="129"/>
        <v/>
      </c>
    </row>
    <row r="813" spans="2:21" x14ac:dyDescent="0.25">
      <c r="B813" s="241" t="str">
        <f>IF(Contagem!B811=0,"",Contagem!B811)</f>
        <v/>
      </c>
      <c r="C813" s="242" t="str">
        <f>IF(Contagem!T811 &gt; 0,Contagem!T811,"")</f>
        <v/>
      </c>
      <c r="D813" s="207"/>
      <c r="E813" s="211" t="str">
        <f t="shared" si="120"/>
        <v/>
      </c>
      <c r="F813" s="207"/>
      <c r="G813" s="211" t="str">
        <f t="shared" si="121"/>
        <v/>
      </c>
      <c r="H813" s="207"/>
      <c r="I813" s="211" t="str">
        <f t="shared" si="122"/>
        <v/>
      </c>
      <c r="J813" s="207"/>
      <c r="K813" s="211" t="str">
        <f t="shared" si="123"/>
        <v/>
      </c>
      <c r="L813" s="207"/>
      <c r="M813" s="211" t="str">
        <f t="shared" si="124"/>
        <v/>
      </c>
      <c r="N813" s="207"/>
      <c r="O813" s="211" t="str">
        <f t="shared" si="125"/>
        <v/>
      </c>
      <c r="P813" s="207"/>
      <c r="Q813" s="211" t="str">
        <f t="shared" si="126"/>
        <v/>
      </c>
      <c r="R813" s="207"/>
      <c r="S813" s="211" t="str">
        <f t="shared" si="127"/>
        <v/>
      </c>
      <c r="T813" s="272" t="str">
        <f t="shared" si="128"/>
        <v/>
      </c>
      <c r="U813" s="212" t="str">
        <f t="shared" si="129"/>
        <v/>
      </c>
    </row>
    <row r="814" spans="2:21" x14ac:dyDescent="0.25">
      <c r="B814" s="241" t="str">
        <f>IF(Contagem!B812=0,"",Contagem!B812)</f>
        <v/>
      </c>
      <c r="C814" s="242" t="str">
        <f>IF(Contagem!T812 &gt; 0,Contagem!T812,"")</f>
        <v/>
      </c>
      <c r="D814" s="207"/>
      <c r="E814" s="211" t="str">
        <f t="shared" si="120"/>
        <v/>
      </c>
      <c r="F814" s="207"/>
      <c r="G814" s="211" t="str">
        <f t="shared" si="121"/>
        <v/>
      </c>
      <c r="H814" s="207"/>
      <c r="I814" s="211" t="str">
        <f t="shared" si="122"/>
        <v/>
      </c>
      <c r="J814" s="207"/>
      <c r="K814" s="211" t="str">
        <f t="shared" si="123"/>
        <v/>
      </c>
      <c r="L814" s="207"/>
      <c r="M814" s="211" t="str">
        <f t="shared" si="124"/>
        <v/>
      </c>
      <c r="N814" s="207"/>
      <c r="O814" s="211" t="str">
        <f t="shared" si="125"/>
        <v/>
      </c>
      <c r="P814" s="207"/>
      <c r="Q814" s="211" t="str">
        <f t="shared" si="126"/>
        <v/>
      </c>
      <c r="R814" s="207"/>
      <c r="S814" s="211" t="str">
        <f t="shared" si="127"/>
        <v/>
      </c>
      <c r="T814" s="272" t="str">
        <f t="shared" si="128"/>
        <v/>
      </c>
      <c r="U814" s="212" t="str">
        <f t="shared" si="129"/>
        <v/>
      </c>
    </row>
    <row r="815" spans="2:21" x14ac:dyDescent="0.25">
      <c r="B815" s="241" t="str">
        <f>IF(Contagem!B813=0,"",Contagem!B813)</f>
        <v/>
      </c>
      <c r="C815" s="242" t="str">
        <f>IF(Contagem!T813 &gt; 0,Contagem!T813,"")</f>
        <v/>
      </c>
      <c r="D815" s="207"/>
      <c r="E815" s="211" t="str">
        <f t="shared" si="120"/>
        <v/>
      </c>
      <c r="F815" s="207"/>
      <c r="G815" s="211" t="str">
        <f t="shared" si="121"/>
        <v/>
      </c>
      <c r="H815" s="207"/>
      <c r="I815" s="211" t="str">
        <f t="shared" si="122"/>
        <v/>
      </c>
      <c r="J815" s="207"/>
      <c r="K815" s="211" t="str">
        <f t="shared" si="123"/>
        <v/>
      </c>
      <c r="L815" s="207"/>
      <c r="M815" s="211" t="str">
        <f t="shared" si="124"/>
        <v/>
      </c>
      <c r="N815" s="207"/>
      <c r="O815" s="211" t="str">
        <f t="shared" si="125"/>
        <v/>
      </c>
      <c r="P815" s="207"/>
      <c r="Q815" s="211" t="str">
        <f t="shared" si="126"/>
        <v/>
      </c>
      <c r="R815" s="207"/>
      <c r="S815" s="211" t="str">
        <f t="shared" si="127"/>
        <v/>
      </c>
      <c r="T815" s="272" t="str">
        <f t="shared" si="128"/>
        <v/>
      </c>
      <c r="U815" s="212" t="str">
        <f t="shared" si="129"/>
        <v/>
      </c>
    </row>
    <row r="816" spans="2:21" x14ac:dyDescent="0.25">
      <c r="B816" s="241" t="str">
        <f>IF(Contagem!B814=0,"",Contagem!B814)</f>
        <v/>
      </c>
      <c r="C816" s="242" t="str">
        <f>IF(Contagem!T814 &gt; 0,Contagem!T814,"")</f>
        <v/>
      </c>
      <c r="D816" s="207"/>
      <c r="E816" s="211" t="str">
        <f t="shared" si="120"/>
        <v/>
      </c>
      <c r="F816" s="207"/>
      <c r="G816" s="211" t="str">
        <f t="shared" si="121"/>
        <v/>
      </c>
      <c r="H816" s="207"/>
      <c r="I816" s="211" t="str">
        <f t="shared" si="122"/>
        <v/>
      </c>
      <c r="J816" s="207"/>
      <c r="K816" s="211" t="str">
        <f t="shared" si="123"/>
        <v/>
      </c>
      <c r="L816" s="207"/>
      <c r="M816" s="211" t="str">
        <f t="shared" si="124"/>
        <v/>
      </c>
      <c r="N816" s="207"/>
      <c r="O816" s="211" t="str">
        <f t="shared" si="125"/>
        <v/>
      </c>
      <c r="P816" s="207"/>
      <c r="Q816" s="211" t="str">
        <f t="shared" si="126"/>
        <v/>
      </c>
      <c r="R816" s="207"/>
      <c r="S816" s="211" t="str">
        <f t="shared" si="127"/>
        <v/>
      </c>
      <c r="T816" s="272" t="str">
        <f t="shared" si="128"/>
        <v/>
      </c>
      <c r="U816" s="212" t="str">
        <f t="shared" si="129"/>
        <v/>
      </c>
    </row>
    <row r="817" spans="2:21" x14ac:dyDescent="0.25">
      <c r="B817" s="241" t="str">
        <f>IF(Contagem!B815=0,"",Contagem!B815)</f>
        <v/>
      </c>
      <c r="C817" s="242" t="str">
        <f>IF(Contagem!T815 &gt; 0,Contagem!T815,"")</f>
        <v/>
      </c>
      <c r="D817" s="207"/>
      <c r="E817" s="211" t="str">
        <f t="shared" si="120"/>
        <v/>
      </c>
      <c r="F817" s="207"/>
      <c r="G817" s="211" t="str">
        <f t="shared" si="121"/>
        <v/>
      </c>
      <c r="H817" s="207"/>
      <c r="I817" s="211" t="str">
        <f t="shared" si="122"/>
        <v/>
      </c>
      <c r="J817" s="207"/>
      <c r="K817" s="211" t="str">
        <f t="shared" si="123"/>
        <v/>
      </c>
      <c r="L817" s="207"/>
      <c r="M817" s="211" t="str">
        <f t="shared" si="124"/>
        <v/>
      </c>
      <c r="N817" s="207"/>
      <c r="O817" s="211" t="str">
        <f t="shared" si="125"/>
        <v/>
      </c>
      <c r="P817" s="207"/>
      <c r="Q817" s="211" t="str">
        <f t="shared" si="126"/>
        <v/>
      </c>
      <c r="R817" s="207"/>
      <c r="S817" s="211" t="str">
        <f t="shared" si="127"/>
        <v/>
      </c>
      <c r="T817" s="272" t="str">
        <f t="shared" si="128"/>
        <v/>
      </c>
      <c r="U817" s="212" t="str">
        <f t="shared" si="129"/>
        <v/>
      </c>
    </row>
    <row r="818" spans="2:21" x14ac:dyDescent="0.25">
      <c r="B818" s="241" t="str">
        <f>IF(Contagem!B816=0,"",Contagem!B816)</f>
        <v/>
      </c>
      <c r="C818" s="242" t="str">
        <f>IF(Contagem!T816 &gt; 0,Contagem!T816,"")</f>
        <v/>
      </c>
      <c r="D818" s="207"/>
      <c r="E818" s="211" t="str">
        <f t="shared" si="120"/>
        <v/>
      </c>
      <c r="F818" s="207"/>
      <c r="G818" s="211" t="str">
        <f t="shared" si="121"/>
        <v/>
      </c>
      <c r="H818" s="207"/>
      <c r="I818" s="211" t="str">
        <f t="shared" si="122"/>
        <v/>
      </c>
      <c r="J818" s="207"/>
      <c r="K818" s="211" t="str">
        <f t="shared" si="123"/>
        <v/>
      </c>
      <c r="L818" s="207"/>
      <c r="M818" s="211" t="str">
        <f t="shared" si="124"/>
        <v/>
      </c>
      <c r="N818" s="207"/>
      <c r="O818" s="211" t="str">
        <f t="shared" si="125"/>
        <v/>
      </c>
      <c r="P818" s="207"/>
      <c r="Q818" s="211" t="str">
        <f t="shared" si="126"/>
        <v/>
      </c>
      <c r="R818" s="207"/>
      <c r="S818" s="211" t="str">
        <f t="shared" si="127"/>
        <v/>
      </c>
      <c r="T818" s="272" t="str">
        <f t="shared" si="128"/>
        <v/>
      </c>
      <c r="U818" s="212" t="str">
        <f t="shared" si="129"/>
        <v/>
      </c>
    </row>
    <row r="819" spans="2:21" x14ac:dyDescent="0.25">
      <c r="B819" s="241" t="str">
        <f>IF(Contagem!B817=0,"",Contagem!B817)</f>
        <v/>
      </c>
      <c r="C819" s="242" t="str">
        <f>IF(Contagem!T817 &gt; 0,Contagem!T817,"")</f>
        <v/>
      </c>
      <c r="D819" s="207"/>
      <c r="E819" s="211" t="str">
        <f t="shared" si="120"/>
        <v/>
      </c>
      <c r="F819" s="207"/>
      <c r="G819" s="211" t="str">
        <f t="shared" si="121"/>
        <v/>
      </c>
      <c r="H819" s="207"/>
      <c r="I819" s="211" t="str">
        <f t="shared" si="122"/>
        <v/>
      </c>
      <c r="J819" s="207"/>
      <c r="K819" s="211" t="str">
        <f t="shared" si="123"/>
        <v/>
      </c>
      <c r="L819" s="207"/>
      <c r="M819" s="211" t="str">
        <f t="shared" si="124"/>
        <v/>
      </c>
      <c r="N819" s="207"/>
      <c r="O819" s="211" t="str">
        <f t="shared" si="125"/>
        <v/>
      </c>
      <c r="P819" s="207"/>
      <c r="Q819" s="211" t="str">
        <f t="shared" si="126"/>
        <v/>
      </c>
      <c r="R819" s="207"/>
      <c r="S819" s="211" t="str">
        <f t="shared" si="127"/>
        <v/>
      </c>
      <c r="T819" s="272" t="str">
        <f t="shared" si="128"/>
        <v/>
      </c>
      <c r="U819" s="212" t="str">
        <f t="shared" si="129"/>
        <v/>
      </c>
    </row>
    <row r="820" spans="2:21" x14ac:dyDescent="0.25">
      <c r="B820" s="241" t="str">
        <f>IF(Contagem!B818=0,"",Contagem!B818)</f>
        <v/>
      </c>
      <c r="C820" s="242" t="str">
        <f>IF(Contagem!T818 &gt; 0,Contagem!T818,"")</f>
        <v/>
      </c>
      <c r="D820" s="207"/>
      <c r="E820" s="211" t="str">
        <f t="shared" si="120"/>
        <v/>
      </c>
      <c r="F820" s="207"/>
      <c r="G820" s="211" t="str">
        <f t="shared" si="121"/>
        <v/>
      </c>
      <c r="H820" s="207"/>
      <c r="I820" s="211" t="str">
        <f t="shared" si="122"/>
        <v/>
      </c>
      <c r="J820" s="207"/>
      <c r="K820" s="211" t="str">
        <f t="shared" si="123"/>
        <v/>
      </c>
      <c r="L820" s="207"/>
      <c r="M820" s="211" t="str">
        <f t="shared" si="124"/>
        <v/>
      </c>
      <c r="N820" s="207"/>
      <c r="O820" s="211" t="str">
        <f t="shared" si="125"/>
        <v/>
      </c>
      <c r="P820" s="207"/>
      <c r="Q820" s="211" t="str">
        <f t="shared" si="126"/>
        <v/>
      </c>
      <c r="R820" s="207"/>
      <c r="S820" s="211" t="str">
        <f t="shared" si="127"/>
        <v/>
      </c>
      <c r="T820" s="272" t="str">
        <f t="shared" si="128"/>
        <v/>
      </c>
      <c r="U820" s="212" t="str">
        <f t="shared" si="129"/>
        <v/>
      </c>
    </row>
    <row r="821" spans="2:21" x14ac:dyDescent="0.25">
      <c r="B821" s="241" t="str">
        <f>IF(Contagem!B819=0,"",Contagem!B819)</f>
        <v/>
      </c>
      <c r="C821" s="242" t="str">
        <f>IF(Contagem!T819 &gt; 0,Contagem!T819,"")</f>
        <v/>
      </c>
      <c r="D821" s="207"/>
      <c r="E821" s="211" t="str">
        <f t="shared" si="120"/>
        <v/>
      </c>
      <c r="F821" s="207"/>
      <c r="G821" s="211" t="str">
        <f t="shared" si="121"/>
        <v/>
      </c>
      <c r="H821" s="207"/>
      <c r="I821" s="211" t="str">
        <f t="shared" si="122"/>
        <v/>
      </c>
      <c r="J821" s="207"/>
      <c r="K821" s="211" t="str">
        <f t="shared" si="123"/>
        <v/>
      </c>
      <c r="L821" s="207"/>
      <c r="M821" s="211" t="str">
        <f t="shared" si="124"/>
        <v/>
      </c>
      <c r="N821" s="207"/>
      <c r="O821" s="211" t="str">
        <f t="shared" si="125"/>
        <v/>
      </c>
      <c r="P821" s="207"/>
      <c r="Q821" s="211" t="str">
        <f t="shared" si="126"/>
        <v/>
      </c>
      <c r="R821" s="207"/>
      <c r="S821" s="211" t="str">
        <f t="shared" si="127"/>
        <v/>
      </c>
      <c r="T821" s="272" t="str">
        <f t="shared" si="128"/>
        <v/>
      </c>
      <c r="U821" s="212" t="str">
        <f t="shared" si="129"/>
        <v/>
      </c>
    </row>
    <row r="822" spans="2:21" x14ac:dyDescent="0.25">
      <c r="B822" s="241" t="str">
        <f>IF(Contagem!B820=0,"",Contagem!B820)</f>
        <v/>
      </c>
      <c r="C822" s="242" t="str">
        <f>IF(Contagem!T820 &gt; 0,Contagem!T820,"")</f>
        <v/>
      </c>
      <c r="D822" s="207"/>
      <c r="E822" s="211" t="str">
        <f t="shared" si="120"/>
        <v/>
      </c>
      <c r="F822" s="207"/>
      <c r="G822" s="211" t="str">
        <f t="shared" si="121"/>
        <v/>
      </c>
      <c r="H822" s="207"/>
      <c r="I822" s="211" t="str">
        <f t="shared" si="122"/>
        <v/>
      </c>
      <c r="J822" s="207"/>
      <c r="K822" s="211" t="str">
        <f t="shared" si="123"/>
        <v/>
      </c>
      <c r="L822" s="207"/>
      <c r="M822" s="211" t="str">
        <f t="shared" si="124"/>
        <v/>
      </c>
      <c r="N822" s="207"/>
      <c r="O822" s="211" t="str">
        <f t="shared" si="125"/>
        <v/>
      </c>
      <c r="P822" s="207"/>
      <c r="Q822" s="211" t="str">
        <f t="shared" si="126"/>
        <v/>
      </c>
      <c r="R822" s="207"/>
      <c r="S822" s="211" t="str">
        <f t="shared" si="127"/>
        <v/>
      </c>
      <c r="T822" s="272" t="str">
        <f t="shared" si="128"/>
        <v/>
      </c>
      <c r="U822" s="212" t="str">
        <f t="shared" si="129"/>
        <v/>
      </c>
    </row>
    <row r="823" spans="2:21" x14ac:dyDescent="0.25">
      <c r="B823" s="241" t="str">
        <f>IF(Contagem!B821=0,"",Contagem!B821)</f>
        <v/>
      </c>
      <c r="C823" s="242" t="str">
        <f>IF(Contagem!T821 &gt; 0,Contagem!T821,"")</f>
        <v/>
      </c>
      <c r="D823" s="207"/>
      <c r="E823" s="211" t="str">
        <f t="shared" si="120"/>
        <v/>
      </c>
      <c r="F823" s="207"/>
      <c r="G823" s="211" t="str">
        <f t="shared" si="121"/>
        <v/>
      </c>
      <c r="H823" s="207"/>
      <c r="I823" s="211" t="str">
        <f t="shared" si="122"/>
        <v/>
      </c>
      <c r="J823" s="207"/>
      <c r="K823" s="211" t="str">
        <f t="shared" si="123"/>
        <v/>
      </c>
      <c r="L823" s="207"/>
      <c r="M823" s="211" t="str">
        <f t="shared" si="124"/>
        <v/>
      </c>
      <c r="N823" s="207"/>
      <c r="O823" s="211" t="str">
        <f t="shared" si="125"/>
        <v/>
      </c>
      <c r="P823" s="207"/>
      <c r="Q823" s="211" t="str">
        <f t="shared" si="126"/>
        <v/>
      </c>
      <c r="R823" s="207"/>
      <c r="S823" s="211" t="str">
        <f t="shared" si="127"/>
        <v/>
      </c>
      <c r="T823" s="272" t="str">
        <f t="shared" si="128"/>
        <v/>
      </c>
      <c r="U823" s="212" t="str">
        <f t="shared" si="129"/>
        <v/>
      </c>
    </row>
    <row r="824" spans="2:21" x14ac:dyDescent="0.25">
      <c r="B824" s="241" t="str">
        <f>IF(Contagem!B822=0,"",Contagem!B822)</f>
        <v/>
      </c>
      <c r="C824" s="242" t="str">
        <f>IF(Contagem!T822 &gt; 0,Contagem!T822,"")</f>
        <v/>
      </c>
      <c r="D824" s="207"/>
      <c r="E824" s="211" t="str">
        <f t="shared" si="120"/>
        <v/>
      </c>
      <c r="F824" s="207"/>
      <c r="G824" s="211" t="str">
        <f t="shared" si="121"/>
        <v/>
      </c>
      <c r="H824" s="207"/>
      <c r="I824" s="211" t="str">
        <f t="shared" si="122"/>
        <v/>
      </c>
      <c r="J824" s="207"/>
      <c r="K824" s="211" t="str">
        <f t="shared" si="123"/>
        <v/>
      </c>
      <c r="L824" s="207"/>
      <c r="M824" s="211" t="str">
        <f t="shared" si="124"/>
        <v/>
      </c>
      <c r="N824" s="207"/>
      <c r="O824" s="211" t="str">
        <f t="shared" si="125"/>
        <v/>
      </c>
      <c r="P824" s="207"/>
      <c r="Q824" s="211" t="str">
        <f t="shared" si="126"/>
        <v/>
      </c>
      <c r="R824" s="207"/>
      <c r="S824" s="211" t="str">
        <f t="shared" si="127"/>
        <v/>
      </c>
      <c r="T824" s="272" t="str">
        <f t="shared" si="128"/>
        <v/>
      </c>
      <c r="U824" s="212" t="str">
        <f t="shared" si="129"/>
        <v/>
      </c>
    </row>
    <row r="825" spans="2:21" x14ac:dyDescent="0.25">
      <c r="B825" s="241" t="str">
        <f>IF(Contagem!B823=0,"",Contagem!B823)</f>
        <v/>
      </c>
      <c r="C825" s="242" t="str">
        <f>IF(Contagem!T823 &gt; 0,Contagem!T823,"")</f>
        <v/>
      </c>
      <c r="D825" s="207"/>
      <c r="E825" s="211" t="str">
        <f t="shared" si="120"/>
        <v/>
      </c>
      <c r="F825" s="207"/>
      <c r="G825" s="211" t="str">
        <f t="shared" si="121"/>
        <v/>
      </c>
      <c r="H825" s="207"/>
      <c r="I825" s="211" t="str">
        <f t="shared" si="122"/>
        <v/>
      </c>
      <c r="J825" s="207"/>
      <c r="K825" s="211" t="str">
        <f t="shared" si="123"/>
        <v/>
      </c>
      <c r="L825" s="207"/>
      <c r="M825" s="211" t="str">
        <f t="shared" si="124"/>
        <v/>
      </c>
      <c r="N825" s="207"/>
      <c r="O825" s="211" t="str">
        <f t="shared" si="125"/>
        <v/>
      </c>
      <c r="P825" s="207"/>
      <c r="Q825" s="211" t="str">
        <f t="shared" si="126"/>
        <v/>
      </c>
      <c r="R825" s="207"/>
      <c r="S825" s="211" t="str">
        <f t="shared" si="127"/>
        <v/>
      </c>
      <c r="T825" s="272" t="str">
        <f t="shared" si="128"/>
        <v/>
      </c>
      <c r="U825" s="212" t="str">
        <f t="shared" si="129"/>
        <v/>
      </c>
    </row>
    <row r="826" spans="2:21" x14ac:dyDescent="0.25">
      <c r="B826" s="241" t="str">
        <f>IF(Contagem!B824=0,"",Contagem!B824)</f>
        <v/>
      </c>
      <c r="C826" s="242" t="str">
        <f>IF(Contagem!T824 &gt; 0,Contagem!T824,"")</f>
        <v/>
      </c>
      <c r="D826" s="207"/>
      <c r="E826" s="211" t="str">
        <f t="shared" si="120"/>
        <v/>
      </c>
      <c r="F826" s="207"/>
      <c r="G826" s="211" t="str">
        <f t="shared" si="121"/>
        <v/>
      </c>
      <c r="H826" s="207"/>
      <c r="I826" s="211" t="str">
        <f t="shared" si="122"/>
        <v/>
      </c>
      <c r="J826" s="207"/>
      <c r="K826" s="211" t="str">
        <f t="shared" si="123"/>
        <v/>
      </c>
      <c r="L826" s="207"/>
      <c r="M826" s="211" t="str">
        <f t="shared" si="124"/>
        <v/>
      </c>
      <c r="N826" s="207"/>
      <c r="O826" s="211" t="str">
        <f t="shared" si="125"/>
        <v/>
      </c>
      <c r="P826" s="207"/>
      <c r="Q826" s="211" t="str">
        <f t="shared" si="126"/>
        <v/>
      </c>
      <c r="R826" s="207"/>
      <c r="S826" s="211" t="str">
        <f t="shared" si="127"/>
        <v/>
      </c>
      <c r="T826" s="272" t="str">
        <f t="shared" si="128"/>
        <v/>
      </c>
      <c r="U826" s="212" t="str">
        <f t="shared" si="129"/>
        <v/>
      </c>
    </row>
    <row r="827" spans="2:21" x14ac:dyDescent="0.25">
      <c r="B827" s="241" t="str">
        <f>IF(Contagem!B825=0,"",Contagem!B825)</f>
        <v/>
      </c>
      <c r="C827" s="242" t="str">
        <f>IF(Contagem!T825 &gt; 0,Contagem!T825,"")</f>
        <v/>
      </c>
      <c r="D827" s="207"/>
      <c r="E827" s="211" t="str">
        <f t="shared" si="120"/>
        <v/>
      </c>
      <c r="F827" s="207"/>
      <c r="G827" s="211" t="str">
        <f t="shared" si="121"/>
        <v/>
      </c>
      <c r="H827" s="207"/>
      <c r="I827" s="211" t="str">
        <f t="shared" si="122"/>
        <v/>
      </c>
      <c r="J827" s="207"/>
      <c r="K827" s="211" t="str">
        <f t="shared" si="123"/>
        <v/>
      </c>
      <c r="L827" s="207"/>
      <c r="M827" s="211" t="str">
        <f t="shared" si="124"/>
        <v/>
      </c>
      <c r="N827" s="207"/>
      <c r="O827" s="211" t="str">
        <f t="shared" si="125"/>
        <v/>
      </c>
      <c r="P827" s="207"/>
      <c r="Q827" s="211" t="str">
        <f t="shared" si="126"/>
        <v/>
      </c>
      <c r="R827" s="207"/>
      <c r="S827" s="211" t="str">
        <f t="shared" si="127"/>
        <v/>
      </c>
      <c r="T827" s="272" t="str">
        <f t="shared" si="128"/>
        <v/>
      </c>
      <c r="U827" s="212" t="str">
        <f t="shared" si="129"/>
        <v/>
      </c>
    </row>
    <row r="828" spans="2:21" x14ac:dyDescent="0.25">
      <c r="B828" s="241" t="str">
        <f>IF(Contagem!B826=0,"",Contagem!B826)</f>
        <v/>
      </c>
      <c r="C828" s="242" t="str">
        <f>IF(Contagem!T826 &gt; 0,Contagem!T826,"")</f>
        <v/>
      </c>
      <c r="D828" s="207"/>
      <c r="E828" s="211" t="str">
        <f t="shared" si="120"/>
        <v/>
      </c>
      <c r="F828" s="207"/>
      <c r="G828" s="211" t="str">
        <f t="shared" si="121"/>
        <v/>
      </c>
      <c r="H828" s="207"/>
      <c r="I828" s="211" t="str">
        <f t="shared" si="122"/>
        <v/>
      </c>
      <c r="J828" s="207"/>
      <c r="K828" s="211" t="str">
        <f t="shared" si="123"/>
        <v/>
      </c>
      <c r="L828" s="207"/>
      <c r="M828" s="211" t="str">
        <f t="shared" si="124"/>
        <v/>
      </c>
      <c r="N828" s="207"/>
      <c r="O828" s="211" t="str">
        <f t="shared" si="125"/>
        <v/>
      </c>
      <c r="P828" s="207"/>
      <c r="Q828" s="211" t="str">
        <f t="shared" si="126"/>
        <v/>
      </c>
      <c r="R828" s="207"/>
      <c r="S828" s="211" t="str">
        <f t="shared" si="127"/>
        <v/>
      </c>
      <c r="T828" s="272" t="str">
        <f t="shared" si="128"/>
        <v/>
      </c>
      <c r="U828" s="212" t="str">
        <f t="shared" si="129"/>
        <v/>
      </c>
    </row>
    <row r="829" spans="2:21" x14ac:dyDescent="0.25">
      <c r="B829" s="241" t="str">
        <f>IF(Contagem!B827=0,"",Contagem!B827)</f>
        <v/>
      </c>
      <c r="C829" s="242" t="str">
        <f>IF(Contagem!T827 &gt; 0,Contagem!T827,"")</f>
        <v/>
      </c>
      <c r="D829" s="207"/>
      <c r="E829" s="211" t="str">
        <f t="shared" si="120"/>
        <v/>
      </c>
      <c r="F829" s="207"/>
      <c r="G829" s="211" t="str">
        <f t="shared" si="121"/>
        <v/>
      </c>
      <c r="H829" s="207"/>
      <c r="I829" s="211" t="str">
        <f t="shared" si="122"/>
        <v/>
      </c>
      <c r="J829" s="207"/>
      <c r="K829" s="211" t="str">
        <f t="shared" si="123"/>
        <v/>
      </c>
      <c r="L829" s="207"/>
      <c r="M829" s="211" t="str">
        <f t="shared" si="124"/>
        <v/>
      </c>
      <c r="N829" s="207"/>
      <c r="O829" s="211" t="str">
        <f t="shared" si="125"/>
        <v/>
      </c>
      <c r="P829" s="207"/>
      <c r="Q829" s="211" t="str">
        <f t="shared" si="126"/>
        <v/>
      </c>
      <c r="R829" s="207"/>
      <c r="S829" s="211" t="str">
        <f t="shared" si="127"/>
        <v/>
      </c>
      <c r="T829" s="272" t="str">
        <f t="shared" si="128"/>
        <v/>
      </c>
      <c r="U829" s="212" t="str">
        <f t="shared" si="129"/>
        <v/>
      </c>
    </row>
    <row r="830" spans="2:21" x14ac:dyDescent="0.25">
      <c r="B830" s="241" t="str">
        <f>IF(Contagem!B828=0,"",Contagem!B828)</f>
        <v/>
      </c>
      <c r="C830" s="242" t="str">
        <f>IF(Contagem!T828 &gt; 0,Contagem!T828,"")</f>
        <v/>
      </c>
      <c r="D830" s="207"/>
      <c r="E830" s="211" t="str">
        <f t="shared" si="120"/>
        <v/>
      </c>
      <c r="F830" s="207"/>
      <c r="G830" s="211" t="str">
        <f t="shared" si="121"/>
        <v/>
      </c>
      <c r="H830" s="207"/>
      <c r="I830" s="211" t="str">
        <f t="shared" si="122"/>
        <v/>
      </c>
      <c r="J830" s="207"/>
      <c r="K830" s="211" t="str">
        <f t="shared" si="123"/>
        <v/>
      </c>
      <c r="L830" s="207"/>
      <c r="M830" s="211" t="str">
        <f t="shared" si="124"/>
        <v/>
      </c>
      <c r="N830" s="207"/>
      <c r="O830" s="211" t="str">
        <f t="shared" si="125"/>
        <v/>
      </c>
      <c r="P830" s="207"/>
      <c r="Q830" s="211" t="str">
        <f t="shared" si="126"/>
        <v/>
      </c>
      <c r="R830" s="207"/>
      <c r="S830" s="211" t="str">
        <f t="shared" si="127"/>
        <v/>
      </c>
      <c r="T830" s="272" t="str">
        <f t="shared" si="128"/>
        <v/>
      </c>
      <c r="U830" s="212" t="str">
        <f t="shared" si="129"/>
        <v/>
      </c>
    </row>
    <row r="831" spans="2:21" x14ac:dyDescent="0.25">
      <c r="B831" s="241" t="str">
        <f>IF(Contagem!B829=0,"",Contagem!B829)</f>
        <v/>
      </c>
      <c r="C831" s="242" t="str">
        <f>IF(Contagem!T829 &gt; 0,Contagem!T829,"")</f>
        <v/>
      </c>
      <c r="D831" s="207"/>
      <c r="E831" s="211" t="str">
        <f t="shared" si="120"/>
        <v/>
      </c>
      <c r="F831" s="207"/>
      <c r="G831" s="211" t="str">
        <f t="shared" si="121"/>
        <v/>
      </c>
      <c r="H831" s="207"/>
      <c r="I831" s="211" t="str">
        <f t="shared" si="122"/>
        <v/>
      </c>
      <c r="J831" s="207"/>
      <c r="K831" s="211" t="str">
        <f t="shared" si="123"/>
        <v/>
      </c>
      <c r="L831" s="207"/>
      <c r="M831" s="211" t="str">
        <f t="shared" si="124"/>
        <v/>
      </c>
      <c r="N831" s="207"/>
      <c r="O831" s="211" t="str">
        <f t="shared" si="125"/>
        <v/>
      </c>
      <c r="P831" s="207"/>
      <c r="Q831" s="211" t="str">
        <f t="shared" si="126"/>
        <v/>
      </c>
      <c r="R831" s="207"/>
      <c r="S831" s="211" t="str">
        <f t="shared" si="127"/>
        <v/>
      </c>
      <c r="T831" s="272" t="str">
        <f t="shared" si="128"/>
        <v/>
      </c>
      <c r="U831" s="212" t="str">
        <f t="shared" si="129"/>
        <v/>
      </c>
    </row>
    <row r="832" spans="2:21" x14ac:dyDescent="0.25">
      <c r="B832" s="241" t="str">
        <f>IF(Contagem!B830=0,"",Contagem!B830)</f>
        <v/>
      </c>
      <c r="C832" s="242" t="str">
        <f>IF(Contagem!T830 &gt; 0,Contagem!T830,"")</f>
        <v/>
      </c>
      <c r="D832" s="207"/>
      <c r="E832" s="211" t="str">
        <f t="shared" si="120"/>
        <v/>
      </c>
      <c r="F832" s="207"/>
      <c r="G832" s="211" t="str">
        <f t="shared" si="121"/>
        <v/>
      </c>
      <c r="H832" s="207"/>
      <c r="I832" s="211" t="str">
        <f t="shared" si="122"/>
        <v/>
      </c>
      <c r="J832" s="207"/>
      <c r="K832" s="211" t="str">
        <f t="shared" si="123"/>
        <v/>
      </c>
      <c r="L832" s="207"/>
      <c r="M832" s="211" t="str">
        <f t="shared" si="124"/>
        <v/>
      </c>
      <c r="N832" s="207"/>
      <c r="O832" s="211" t="str">
        <f t="shared" si="125"/>
        <v/>
      </c>
      <c r="P832" s="207"/>
      <c r="Q832" s="211" t="str">
        <f t="shared" si="126"/>
        <v/>
      </c>
      <c r="R832" s="207"/>
      <c r="S832" s="211" t="str">
        <f t="shared" si="127"/>
        <v/>
      </c>
      <c r="T832" s="272" t="str">
        <f t="shared" si="128"/>
        <v/>
      </c>
      <c r="U832" s="212" t="str">
        <f t="shared" si="129"/>
        <v/>
      </c>
    </row>
    <row r="833" spans="2:21" x14ac:dyDescent="0.25">
      <c r="B833" s="241" t="str">
        <f>IF(Contagem!B831=0,"",Contagem!B831)</f>
        <v/>
      </c>
      <c r="C833" s="242" t="str">
        <f>IF(Contagem!T831 &gt; 0,Contagem!T831,"")</f>
        <v/>
      </c>
      <c r="D833" s="207"/>
      <c r="E833" s="211" t="str">
        <f t="shared" si="120"/>
        <v/>
      </c>
      <c r="F833" s="207"/>
      <c r="G833" s="211" t="str">
        <f t="shared" si="121"/>
        <v/>
      </c>
      <c r="H833" s="207"/>
      <c r="I833" s="211" t="str">
        <f t="shared" si="122"/>
        <v/>
      </c>
      <c r="J833" s="207"/>
      <c r="K833" s="211" t="str">
        <f t="shared" si="123"/>
        <v/>
      </c>
      <c r="L833" s="207"/>
      <c r="M833" s="211" t="str">
        <f t="shared" si="124"/>
        <v/>
      </c>
      <c r="N833" s="207"/>
      <c r="O833" s="211" t="str">
        <f t="shared" si="125"/>
        <v/>
      </c>
      <c r="P833" s="207"/>
      <c r="Q833" s="211" t="str">
        <f t="shared" si="126"/>
        <v/>
      </c>
      <c r="R833" s="207"/>
      <c r="S833" s="211" t="str">
        <f t="shared" si="127"/>
        <v/>
      </c>
      <c r="T833" s="272" t="str">
        <f t="shared" si="128"/>
        <v/>
      </c>
      <c r="U833" s="212" t="str">
        <f t="shared" si="129"/>
        <v/>
      </c>
    </row>
    <row r="834" spans="2:21" x14ac:dyDescent="0.25">
      <c r="B834" s="241" t="str">
        <f>IF(Contagem!B832=0,"",Contagem!B832)</f>
        <v/>
      </c>
      <c r="C834" s="242" t="str">
        <f>IF(Contagem!T832 &gt; 0,Contagem!T832,"")</f>
        <v/>
      </c>
      <c r="D834" s="207"/>
      <c r="E834" s="211" t="str">
        <f t="shared" si="120"/>
        <v/>
      </c>
      <c r="F834" s="207"/>
      <c r="G834" s="211" t="str">
        <f t="shared" si="121"/>
        <v/>
      </c>
      <c r="H834" s="207"/>
      <c r="I834" s="211" t="str">
        <f t="shared" si="122"/>
        <v/>
      </c>
      <c r="J834" s="207"/>
      <c r="K834" s="211" t="str">
        <f t="shared" si="123"/>
        <v/>
      </c>
      <c r="L834" s="207"/>
      <c r="M834" s="211" t="str">
        <f t="shared" si="124"/>
        <v/>
      </c>
      <c r="N834" s="207"/>
      <c r="O834" s="211" t="str">
        <f t="shared" si="125"/>
        <v/>
      </c>
      <c r="P834" s="207"/>
      <c r="Q834" s="211" t="str">
        <f t="shared" si="126"/>
        <v/>
      </c>
      <c r="R834" s="207"/>
      <c r="S834" s="211" t="str">
        <f t="shared" si="127"/>
        <v/>
      </c>
      <c r="T834" s="272" t="str">
        <f t="shared" si="128"/>
        <v/>
      </c>
      <c r="U834" s="212" t="str">
        <f t="shared" si="129"/>
        <v/>
      </c>
    </row>
    <row r="835" spans="2:21" x14ac:dyDescent="0.25">
      <c r="B835" s="241" t="str">
        <f>IF(Contagem!B833=0,"",Contagem!B833)</f>
        <v/>
      </c>
      <c r="C835" s="242" t="str">
        <f>IF(Contagem!T833 &gt; 0,Contagem!T833,"")</f>
        <v/>
      </c>
      <c r="D835" s="207"/>
      <c r="E835" s="211" t="str">
        <f t="shared" si="120"/>
        <v/>
      </c>
      <c r="F835" s="207"/>
      <c r="G835" s="211" t="str">
        <f t="shared" si="121"/>
        <v/>
      </c>
      <c r="H835" s="207"/>
      <c r="I835" s="211" t="str">
        <f t="shared" si="122"/>
        <v/>
      </c>
      <c r="J835" s="207"/>
      <c r="K835" s="211" t="str">
        <f t="shared" si="123"/>
        <v/>
      </c>
      <c r="L835" s="207"/>
      <c r="M835" s="211" t="str">
        <f t="shared" si="124"/>
        <v/>
      </c>
      <c r="N835" s="207"/>
      <c r="O835" s="211" t="str">
        <f t="shared" si="125"/>
        <v/>
      </c>
      <c r="P835" s="207"/>
      <c r="Q835" s="211" t="str">
        <f t="shared" si="126"/>
        <v/>
      </c>
      <c r="R835" s="207"/>
      <c r="S835" s="211" t="str">
        <f t="shared" si="127"/>
        <v/>
      </c>
      <c r="T835" s="272" t="str">
        <f t="shared" si="128"/>
        <v/>
      </c>
      <c r="U835" s="212" t="str">
        <f t="shared" si="129"/>
        <v/>
      </c>
    </row>
    <row r="836" spans="2:21" x14ac:dyDescent="0.25">
      <c r="B836" s="241" t="str">
        <f>IF(Contagem!B834=0,"",Contagem!B834)</f>
        <v/>
      </c>
      <c r="C836" s="242" t="str">
        <f>IF(Contagem!T834 &gt; 0,Contagem!T834,"")</f>
        <v/>
      </c>
      <c r="D836" s="207"/>
      <c r="E836" s="211" t="str">
        <f t="shared" si="120"/>
        <v/>
      </c>
      <c r="F836" s="207"/>
      <c r="G836" s="211" t="str">
        <f t="shared" si="121"/>
        <v/>
      </c>
      <c r="H836" s="207"/>
      <c r="I836" s="211" t="str">
        <f t="shared" si="122"/>
        <v/>
      </c>
      <c r="J836" s="207"/>
      <c r="K836" s="211" t="str">
        <f t="shared" si="123"/>
        <v/>
      </c>
      <c r="L836" s="207"/>
      <c r="M836" s="211" t="str">
        <f t="shared" si="124"/>
        <v/>
      </c>
      <c r="N836" s="207"/>
      <c r="O836" s="211" t="str">
        <f t="shared" si="125"/>
        <v/>
      </c>
      <c r="P836" s="207"/>
      <c r="Q836" s="211" t="str">
        <f t="shared" si="126"/>
        <v/>
      </c>
      <c r="R836" s="207"/>
      <c r="S836" s="211" t="str">
        <f t="shared" si="127"/>
        <v/>
      </c>
      <c r="T836" s="272" t="str">
        <f t="shared" si="128"/>
        <v/>
      </c>
      <c r="U836" s="212" t="str">
        <f t="shared" si="129"/>
        <v/>
      </c>
    </row>
    <row r="837" spans="2:21" x14ac:dyDescent="0.25">
      <c r="B837" s="241" t="str">
        <f>IF(Contagem!B835=0,"",Contagem!B835)</f>
        <v/>
      </c>
      <c r="C837" s="242" t="str">
        <f>IF(Contagem!T835 &gt; 0,Contagem!T835,"")</f>
        <v/>
      </c>
      <c r="D837" s="207"/>
      <c r="E837" s="211" t="str">
        <f t="shared" si="120"/>
        <v/>
      </c>
      <c r="F837" s="207"/>
      <c r="G837" s="211" t="str">
        <f t="shared" si="121"/>
        <v/>
      </c>
      <c r="H837" s="207"/>
      <c r="I837" s="211" t="str">
        <f t="shared" si="122"/>
        <v/>
      </c>
      <c r="J837" s="207"/>
      <c r="K837" s="211" t="str">
        <f t="shared" si="123"/>
        <v/>
      </c>
      <c r="L837" s="207"/>
      <c r="M837" s="211" t="str">
        <f t="shared" si="124"/>
        <v/>
      </c>
      <c r="N837" s="207"/>
      <c r="O837" s="211" t="str">
        <f t="shared" si="125"/>
        <v/>
      </c>
      <c r="P837" s="207"/>
      <c r="Q837" s="211" t="str">
        <f t="shared" si="126"/>
        <v/>
      </c>
      <c r="R837" s="207"/>
      <c r="S837" s="211" t="str">
        <f t="shared" si="127"/>
        <v/>
      </c>
      <c r="T837" s="272" t="str">
        <f t="shared" si="128"/>
        <v/>
      </c>
      <c r="U837" s="212" t="str">
        <f t="shared" si="129"/>
        <v/>
      </c>
    </row>
    <row r="838" spans="2:21" x14ac:dyDescent="0.25">
      <c r="B838" s="241" t="str">
        <f>IF(Contagem!B836=0,"",Contagem!B836)</f>
        <v/>
      </c>
      <c r="C838" s="242" t="str">
        <f>IF(Contagem!T836 &gt; 0,Contagem!T836,"")</f>
        <v/>
      </c>
      <c r="D838" s="207"/>
      <c r="E838" s="211" t="str">
        <f t="shared" si="120"/>
        <v/>
      </c>
      <c r="F838" s="207"/>
      <c r="G838" s="211" t="str">
        <f t="shared" si="121"/>
        <v/>
      </c>
      <c r="H838" s="207"/>
      <c r="I838" s="211" t="str">
        <f t="shared" si="122"/>
        <v/>
      </c>
      <c r="J838" s="207"/>
      <c r="K838" s="211" t="str">
        <f t="shared" si="123"/>
        <v/>
      </c>
      <c r="L838" s="207"/>
      <c r="M838" s="211" t="str">
        <f t="shared" si="124"/>
        <v/>
      </c>
      <c r="N838" s="207"/>
      <c r="O838" s="211" t="str">
        <f t="shared" si="125"/>
        <v/>
      </c>
      <c r="P838" s="207"/>
      <c r="Q838" s="211" t="str">
        <f t="shared" si="126"/>
        <v/>
      </c>
      <c r="R838" s="207"/>
      <c r="S838" s="211" t="str">
        <f t="shared" si="127"/>
        <v/>
      </c>
      <c r="T838" s="272" t="str">
        <f t="shared" si="128"/>
        <v/>
      </c>
      <c r="U838" s="212" t="str">
        <f t="shared" si="129"/>
        <v/>
      </c>
    </row>
    <row r="839" spans="2:21" x14ac:dyDescent="0.25">
      <c r="B839" s="241" t="str">
        <f>IF(Contagem!B837=0,"",Contagem!B837)</f>
        <v/>
      </c>
      <c r="C839" s="242" t="str">
        <f>IF(Contagem!T837 &gt; 0,Contagem!T837,"")</f>
        <v/>
      </c>
      <c r="D839" s="207"/>
      <c r="E839" s="211" t="str">
        <f t="shared" ref="E839:E902" si="130">IFERROR(IF(AND($D$4&lt;&gt; 0,D839="Sim", $C839 &gt; 0),$C839*$D$4,""),0)</f>
        <v/>
      </c>
      <c r="F839" s="207"/>
      <c r="G839" s="211" t="str">
        <f t="shared" ref="G839:G902" si="131">IFERROR(IF(AND($F$4&lt;&gt; 0,F839="Sim", $C839 &gt; 0),$C839*$F$4,""),0)</f>
        <v/>
      </c>
      <c r="H839" s="207"/>
      <c r="I839" s="211" t="str">
        <f t="shared" ref="I839:I902" si="132">IFERROR(IF(AND($H$4&lt;&gt; 0,H839="Sim", $C839 &gt; 0),$C839*$H$4,""),0)</f>
        <v/>
      </c>
      <c r="J839" s="207"/>
      <c r="K839" s="211" t="str">
        <f t="shared" ref="K839:K902" si="133">IFERROR(IF(AND($J$4&lt;&gt; 0,J839="Sim", $C839 &gt; 0),$C839*$J$4,""),0)</f>
        <v/>
      </c>
      <c r="L839" s="207"/>
      <c r="M839" s="211" t="str">
        <f t="shared" ref="M839:M902" si="134">IFERROR(IF(AND($L$4&lt;&gt; 0,L839="Sim", $C839 &gt; 0),$C839*$L$4,""),0)</f>
        <v/>
      </c>
      <c r="N839" s="207"/>
      <c r="O839" s="211" t="str">
        <f t="shared" ref="O839:O902" si="135">IFERROR(IF(AND($N$4&lt;&gt; 0,N839="Sim", $C839 &gt; 0),$C839*$N$4,""),0)</f>
        <v/>
      </c>
      <c r="P839" s="207"/>
      <c r="Q839" s="211" t="str">
        <f t="shared" ref="Q839:Q902" si="136">IFERROR(IF(AND($P$4&lt;&gt; 0,P839="Sim", $C839 &gt; 0),$C839*$P$4,""),0)</f>
        <v/>
      </c>
      <c r="R839" s="207"/>
      <c r="S839" s="211" t="str">
        <f t="shared" ref="S839:S902" si="137">IFERROR(IF(AND($R$4&lt;&gt; 0,R839="Sim", $C839 &gt; 0),$C839*$R$4,""),0)</f>
        <v/>
      </c>
      <c r="T839" s="272" t="str">
        <f t="shared" ref="T839:T902" si="138">IFERROR(U839/C839,"")</f>
        <v/>
      </c>
      <c r="U839" s="212" t="str">
        <f t="shared" ref="U839:U902" si="139">IF(SUM(E839,G839,I839,K839,M839,O839,Q839,S839) &gt; 0,SUM(E839,G839,I839,K839,M839,O839,Q839,S839),"")</f>
        <v/>
      </c>
    </row>
    <row r="840" spans="2:21" x14ac:dyDescent="0.25">
      <c r="B840" s="241" t="str">
        <f>IF(Contagem!B838=0,"",Contagem!B838)</f>
        <v/>
      </c>
      <c r="C840" s="242" t="str">
        <f>IF(Contagem!T838 &gt; 0,Contagem!T838,"")</f>
        <v/>
      </c>
      <c r="D840" s="207"/>
      <c r="E840" s="211" t="str">
        <f t="shared" si="130"/>
        <v/>
      </c>
      <c r="F840" s="207"/>
      <c r="G840" s="211" t="str">
        <f t="shared" si="131"/>
        <v/>
      </c>
      <c r="H840" s="207"/>
      <c r="I840" s="211" t="str">
        <f t="shared" si="132"/>
        <v/>
      </c>
      <c r="J840" s="207"/>
      <c r="K840" s="211" t="str">
        <f t="shared" si="133"/>
        <v/>
      </c>
      <c r="L840" s="207"/>
      <c r="M840" s="211" t="str">
        <f t="shared" si="134"/>
        <v/>
      </c>
      <c r="N840" s="207"/>
      <c r="O840" s="211" t="str">
        <f t="shared" si="135"/>
        <v/>
      </c>
      <c r="P840" s="207"/>
      <c r="Q840" s="211" t="str">
        <f t="shared" si="136"/>
        <v/>
      </c>
      <c r="R840" s="207"/>
      <c r="S840" s="211" t="str">
        <f t="shared" si="137"/>
        <v/>
      </c>
      <c r="T840" s="272" t="str">
        <f t="shared" si="138"/>
        <v/>
      </c>
      <c r="U840" s="212" t="str">
        <f t="shared" si="139"/>
        <v/>
      </c>
    </row>
    <row r="841" spans="2:21" x14ac:dyDescent="0.25">
      <c r="B841" s="241" t="str">
        <f>IF(Contagem!B839=0,"",Contagem!B839)</f>
        <v/>
      </c>
      <c r="C841" s="242" t="str">
        <f>IF(Contagem!T839 &gt; 0,Contagem!T839,"")</f>
        <v/>
      </c>
      <c r="D841" s="207"/>
      <c r="E841" s="211" t="str">
        <f t="shared" si="130"/>
        <v/>
      </c>
      <c r="F841" s="207"/>
      <c r="G841" s="211" t="str">
        <f t="shared" si="131"/>
        <v/>
      </c>
      <c r="H841" s="207"/>
      <c r="I841" s="211" t="str">
        <f t="shared" si="132"/>
        <v/>
      </c>
      <c r="J841" s="207"/>
      <c r="K841" s="211" t="str">
        <f t="shared" si="133"/>
        <v/>
      </c>
      <c r="L841" s="207"/>
      <c r="M841" s="211" t="str">
        <f t="shared" si="134"/>
        <v/>
      </c>
      <c r="N841" s="207"/>
      <c r="O841" s="211" t="str">
        <f t="shared" si="135"/>
        <v/>
      </c>
      <c r="P841" s="207"/>
      <c r="Q841" s="211" t="str">
        <f t="shared" si="136"/>
        <v/>
      </c>
      <c r="R841" s="207"/>
      <c r="S841" s="211" t="str">
        <f t="shared" si="137"/>
        <v/>
      </c>
      <c r="T841" s="272" t="str">
        <f t="shared" si="138"/>
        <v/>
      </c>
      <c r="U841" s="212" t="str">
        <f t="shared" si="139"/>
        <v/>
      </c>
    </row>
    <row r="842" spans="2:21" x14ac:dyDescent="0.25">
      <c r="B842" s="241" t="str">
        <f>IF(Contagem!B840=0,"",Contagem!B840)</f>
        <v/>
      </c>
      <c r="C842" s="242" t="str">
        <f>IF(Contagem!T840 &gt; 0,Contagem!T840,"")</f>
        <v/>
      </c>
      <c r="D842" s="207"/>
      <c r="E842" s="211" t="str">
        <f t="shared" si="130"/>
        <v/>
      </c>
      <c r="F842" s="207"/>
      <c r="G842" s="211" t="str">
        <f t="shared" si="131"/>
        <v/>
      </c>
      <c r="H842" s="207"/>
      <c r="I842" s="211" t="str">
        <f t="shared" si="132"/>
        <v/>
      </c>
      <c r="J842" s="207"/>
      <c r="K842" s="211" t="str">
        <f t="shared" si="133"/>
        <v/>
      </c>
      <c r="L842" s="207"/>
      <c r="M842" s="211" t="str">
        <f t="shared" si="134"/>
        <v/>
      </c>
      <c r="N842" s="207"/>
      <c r="O842" s="211" t="str">
        <f t="shared" si="135"/>
        <v/>
      </c>
      <c r="P842" s="207"/>
      <c r="Q842" s="211" t="str">
        <f t="shared" si="136"/>
        <v/>
      </c>
      <c r="R842" s="207"/>
      <c r="S842" s="211" t="str">
        <f t="shared" si="137"/>
        <v/>
      </c>
      <c r="T842" s="272" t="str">
        <f t="shared" si="138"/>
        <v/>
      </c>
      <c r="U842" s="212" t="str">
        <f t="shared" si="139"/>
        <v/>
      </c>
    </row>
    <row r="843" spans="2:21" x14ac:dyDescent="0.25">
      <c r="B843" s="241" t="str">
        <f>IF(Contagem!B841=0,"",Contagem!B841)</f>
        <v/>
      </c>
      <c r="C843" s="242" t="str">
        <f>IF(Contagem!T841 &gt; 0,Contagem!T841,"")</f>
        <v/>
      </c>
      <c r="D843" s="207"/>
      <c r="E843" s="211" t="str">
        <f t="shared" si="130"/>
        <v/>
      </c>
      <c r="F843" s="207"/>
      <c r="G843" s="211" t="str">
        <f t="shared" si="131"/>
        <v/>
      </c>
      <c r="H843" s="207"/>
      <c r="I843" s="211" t="str">
        <f t="shared" si="132"/>
        <v/>
      </c>
      <c r="J843" s="207"/>
      <c r="K843" s="211" t="str">
        <f t="shared" si="133"/>
        <v/>
      </c>
      <c r="L843" s="207"/>
      <c r="M843" s="211" t="str">
        <f t="shared" si="134"/>
        <v/>
      </c>
      <c r="N843" s="207"/>
      <c r="O843" s="211" t="str">
        <f t="shared" si="135"/>
        <v/>
      </c>
      <c r="P843" s="207"/>
      <c r="Q843" s="211" t="str">
        <f t="shared" si="136"/>
        <v/>
      </c>
      <c r="R843" s="207"/>
      <c r="S843" s="211" t="str">
        <f t="shared" si="137"/>
        <v/>
      </c>
      <c r="T843" s="272" t="str">
        <f t="shared" si="138"/>
        <v/>
      </c>
      <c r="U843" s="212" t="str">
        <f t="shared" si="139"/>
        <v/>
      </c>
    </row>
    <row r="844" spans="2:21" x14ac:dyDescent="0.25">
      <c r="B844" s="241" t="str">
        <f>IF(Contagem!B842=0,"",Contagem!B842)</f>
        <v/>
      </c>
      <c r="C844" s="242" t="str">
        <f>IF(Contagem!T842 &gt; 0,Contagem!T842,"")</f>
        <v/>
      </c>
      <c r="D844" s="207"/>
      <c r="E844" s="211" t="str">
        <f t="shared" si="130"/>
        <v/>
      </c>
      <c r="F844" s="207"/>
      <c r="G844" s="211" t="str">
        <f t="shared" si="131"/>
        <v/>
      </c>
      <c r="H844" s="207"/>
      <c r="I844" s="211" t="str">
        <f t="shared" si="132"/>
        <v/>
      </c>
      <c r="J844" s="207"/>
      <c r="K844" s="211" t="str">
        <f t="shared" si="133"/>
        <v/>
      </c>
      <c r="L844" s="207"/>
      <c r="M844" s="211" t="str">
        <f t="shared" si="134"/>
        <v/>
      </c>
      <c r="N844" s="207"/>
      <c r="O844" s="211" t="str">
        <f t="shared" si="135"/>
        <v/>
      </c>
      <c r="P844" s="207"/>
      <c r="Q844" s="211" t="str">
        <f t="shared" si="136"/>
        <v/>
      </c>
      <c r="R844" s="207"/>
      <c r="S844" s="211" t="str">
        <f t="shared" si="137"/>
        <v/>
      </c>
      <c r="T844" s="272" t="str">
        <f t="shared" si="138"/>
        <v/>
      </c>
      <c r="U844" s="212" t="str">
        <f t="shared" si="139"/>
        <v/>
      </c>
    </row>
    <row r="845" spans="2:21" x14ac:dyDescent="0.25">
      <c r="B845" s="241" t="str">
        <f>IF(Contagem!B843=0,"",Contagem!B843)</f>
        <v/>
      </c>
      <c r="C845" s="242" t="str">
        <f>IF(Contagem!T843 &gt; 0,Contagem!T843,"")</f>
        <v/>
      </c>
      <c r="D845" s="207"/>
      <c r="E845" s="211" t="str">
        <f t="shared" si="130"/>
        <v/>
      </c>
      <c r="F845" s="207"/>
      <c r="G845" s="211" t="str">
        <f t="shared" si="131"/>
        <v/>
      </c>
      <c r="H845" s="207"/>
      <c r="I845" s="211" t="str">
        <f t="shared" si="132"/>
        <v/>
      </c>
      <c r="J845" s="207"/>
      <c r="K845" s="211" t="str">
        <f t="shared" si="133"/>
        <v/>
      </c>
      <c r="L845" s="207"/>
      <c r="M845" s="211" t="str">
        <f t="shared" si="134"/>
        <v/>
      </c>
      <c r="N845" s="207"/>
      <c r="O845" s="211" t="str">
        <f t="shared" si="135"/>
        <v/>
      </c>
      <c r="P845" s="207"/>
      <c r="Q845" s="211" t="str">
        <f t="shared" si="136"/>
        <v/>
      </c>
      <c r="R845" s="207"/>
      <c r="S845" s="211" t="str">
        <f t="shared" si="137"/>
        <v/>
      </c>
      <c r="T845" s="272" t="str">
        <f t="shared" si="138"/>
        <v/>
      </c>
      <c r="U845" s="212" t="str">
        <f t="shared" si="139"/>
        <v/>
      </c>
    </row>
    <row r="846" spans="2:21" x14ac:dyDescent="0.25">
      <c r="B846" s="241" t="str">
        <f>IF(Contagem!B844=0,"",Contagem!B844)</f>
        <v/>
      </c>
      <c r="C846" s="242" t="str">
        <f>IF(Contagem!T844 &gt; 0,Contagem!T844,"")</f>
        <v/>
      </c>
      <c r="D846" s="207"/>
      <c r="E846" s="211" t="str">
        <f t="shared" si="130"/>
        <v/>
      </c>
      <c r="F846" s="207"/>
      <c r="G846" s="211" t="str">
        <f t="shared" si="131"/>
        <v/>
      </c>
      <c r="H846" s="207"/>
      <c r="I846" s="211" t="str">
        <f t="shared" si="132"/>
        <v/>
      </c>
      <c r="J846" s="207"/>
      <c r="K846" s="211" t="str">
        <f t="shared" si="133"/>
        <v/>
      </c>
      <c r="L846" s="207"/>
      <c r="M846" s="211" t="str">
        <f t="shared" si="134"/>
        <v/>
      </c>
      <c r="N846" s="207"/>
      <c r="O846" s="211" t="str">
        <f t="shared" si="135"/>
        <v/>
      </c>
      <c r="P846" s="207"/>
      <c r="Q846" s="211" t="str">
        <f t="shared" si="136"/>
        <v/>
      </c>
      <c r="R846" s="207"/>
      <c r="S846" s="211" t="str">
        <f t="shared" si="137"/>
        <v/>
      </c>
      <c r="T846" s="272" t="str">
        <f t="shared" si="138"/>
        <v/>
      </c>
      <c r="U846" s="212" t="str">
        <f t="shared" si="139"/>
        <v/>
      </c>
    </row>
    <row r="847" spans="2:21" x14ac:dyDescent="0.25">
      <c r="B847" s="241" t="str">
        <f>IF(Contagem!B845=0,"",Contagem!B845)</f>
        <v/>
      </c>
      <c r="C847" s="242" t="str">
        <f>IF(Contagem!T845 &gt; 0,Contagem!T845,"")</f>
        <v/>
      </c>
      <c r="D847" s="207"/>
      <c r="E847" s="211" t="str">
        <f t="shared" si="130"/>
        <v/>
      </c>
      <c r="F847" s="207"/>
      <c r="G847" s="211" t="str">
        <f t="shared" si="131"/>
        <v/>
      </c>
      <c r="H847" s="207"/>
      <c r="I847" s="211" t="str">
        <f t="shared" si="132"/>
        <v/>
      </c>
      <c r="J847" s="207"/>
      <c r="K847" s="211" t="str">
        <f t="shared" si="133"/>
        <v/>
      </c>
      <c r="L847" s="207"/>
      <c r="M847" s="211" t="str">
        <f t="shared" si="134"/>
        <v/>
      </c>
      <c r="N847" s="207"/>
      <c r="O847" s="211" t="str">
        <f t="shared" si="135"/>
        <v/>
      </c>
      <c r="P847" s="207"/>
      <c r="Q847" s="211" t="str">
        <f t="shared" si="136"/>
        <v/>
      </c>
      <c r="R847" s="207"/>
      <c r="S847" s="211" t="str">
        <f t="shared" si="137"/>
        <v/>
      </c>
      <c r="T847" s="272" t="str">
        <f t="shared" si="138"/>
        <v/>
      </c>
      <c r="U847" s="212" t="str">
        <f t="shared" si="139"/>
        <v/>
      </c>
    </row>
    <row r="848" spans="2:21" x14ac:dyDescent="0.25">
      <c r="B848" s="241" t="str">
        <f>IF(Contagem!B846=0,"",Contagem!B846)</f>
        <v/>
      </c>
      <c r="C848" s="242" t="str">
        <f>IF(Contagem!T846 &gt; 0,Contagem!T846,"")</f>
        <v/>
      </c>
      <c r="D848" s="207"/>
      <c r="E848" s="211" t="str">
        <f t="shared" si="130"/>
        <v/>
      </c>
      <c r="F848" s="207"/>
      <c r="G848" s="211" t="str">
        <f t="shared" si="131"/>
        <v/>
      </c>
      <c r="H848" s="207"/>
      <c r="I848" s="211" t="str">
        <f t="shared" si="132"/>
        <v/>
      </c>
      <c r="J848" s="207"/>
      <c r="K848" s="211" t="str">
        <f t="shared" si="133"/>
        <v/>
      </c>
      <c r="L848" s="207"/>
      <c r="M848" s="211" t="str">
        <f t="shared" si="134"/>
        <v/>
      </c>
      <c r="N848" s="207"/>
      <c r="O848" s="211" t="str">
        <f t="shared" si="135"/>
        <v/>
      </c>
      <c r="P848" s="207"/>
      <c r="Q848" s="211" t="str">
        <f t="shared" si="136"/>
        <v/>
      </c>
      <c r="R848" s="207"/>
      <c r="S848" s="211" t="str">
        <f t="shared" si="137"/>
        <v/>
      </c>
      <c r="T848" s="272" t="str">
        <f t="shared" si="138"/>
        <v/>
      </c>
      <c r="U848" s="212" t="str">
        <f t="shared" si="139"/>
        <v/>
      </c>
    </row>
    <row r="849" spans="2:21" x14ac:dyDescent="0.25">
      <c r="B849" s="241" t="str">
        <f>IF(Contagem!B847=0,"",Contagem!B847)</f>
        <v/>
      </c>
      <c r="C849" s="242" t="str">
        <f>IF(Contagem!T847 &gt; 0,Contagem!T847,"")</f>
        <v/>
      </c>
      <c r="D849" s="207"/>
      <c r="E849" s="211" t="str">
        <f t="shared" si="130"/>
        <v/>
      </c>
      <c r="F849" s="207"/>
      <c r="G849" s="211" t="str">
        <f t="shared" si="131"/>
        <v/>
      </c>
      <c r="H849" s="207"/>
      <c r="I849" s="211" t="str">
        <f t="shared" si="132"/>
        <v/>
      </c>
      <c r="J849" s="207"/>
      <c r="K849" s="211" t="str">
        <f t="shared" si="133"/>
        <v/>
      </c>
      <c r="L849" s="207"/>
      <c r="M849" s="211" t="str">
        <f t="shared" si="134"/>
        <v/>
      </c>
      <c r="N849" s="207"/>
      <c r="O849" s="211" t="str">
        <f t="shared" si="135"/>
        <v/>
      </c>
      <c r="P849" s="207"/>
      <c r="Q849" s="211" t="str">
        <f t="shared" si="136"/>
        <v/>
      </c>
      <c r="R849" s="207"/>
      <c r="S849" s="211" t="str">
        <f t="shared" si="137"/>
        <v/>
      </c>
      <c r="T849" s="272" t="str">
        <f t="shared" si="138"/>
        <v/>
      </c>
      <c r="U849" s="212" t="str">
        <f t="shared" si="139"/>
        <v/>
      </c>
    </row>
    <row r="850" spans="2:21" x14ac:dyDescent="0.25">
      <c r="B850" s="241" t="str">
        <f>IF(Contagem!B848=0,"",Contagem!B848)</f>
        <v/>
      </c>
      <c r="C850" s="242" t="str">
        <f>IF(Contagem!T848 &gt; 0,Contagem!T848,"")</f>
        <v/>
      </c>
      <c r="D850" s="207"/>
      <c r="E850" s="211" t="str">
        <f t="shared" si="130"/>
        <v/>
      </c>
      <c r="F850" s="207"/>
      <c r="G850" s="211" t="str">
        <f t="shared" si="131"/>
        <v/>
      </c>
      <c r="H850" s="207"/>
      <c r="I850" s="211" t="str">
        <f t="shared" si="132"/>
        <v/>
      </c>
      <c r="J850" s="207"/>
      <c r="K850" s="211" t="str">
        <f t="shared" si="133"/>
        <v/>
      </c>
      <c r="L850" s="207"/>
      <c r="M850" s="211" t="str">
        <f t="shared" si="134"/>
        <v/>
      </c>
      <c r="N850" s="207"/>
      <c r="O850" s="211" t="str">
        <f t="shared" si="135"/>
        <v/>
      </c>
      <c r="P850" s="207"/>
      <c r="Q850" s="211" t="str">
        <f t="shared" si="136"/>
        <v/>
      </c>
      <c r="R850" s="207"/>
      <c r="S850" s="211" t="str">
        <f t="shared" si="137"/>
        <v/>
      </c>
      <c r="T850" s="272" t="str">
        <f t="shared" si="138"/>
        <v/>
      </c>
      <c r="U850" s="212" t="str">
        <f t="shared" si="139"/>
        <v/>
      </c>
    </row>
    <row r="851" spans="2:21" x14ac:dyDescent="0.25">
      <c r="B851" s="241" t="str">
        <f>IF(Contagem!B849=0,"",Contagem!B849)</f>
        <v/>
      </c>
      <c r="C851" s="242" t="str">
        <f>IF(Contagem!T849 &gt; 0,Contagem!T849,"")</f>
        <v/>
      </c>
      <c r="D851" s="207"/>
      <c r="E851" s="211" t="str">
        <f t="shared" si="130"/>
        <v/>
      </c>
      <c r="F851" s="207"/>
      <c r="G851" s="211" t="str">
        <f t="shared" si="131"/>
        <v/>
      </c>
      <c r="H851" s="207"/>
      <c r="I851" s="211" t="str">
        <f t="shared" si="132"/>
        <v/>
      </c>
      <c r="J851" s="207"/>
      <c r="K851" s="211" t="str">
        <f t="shared" si="133"/>
        <v/>
      </c>
      <c r="L851" s="207"/>
      <c r="M851" s="211" t="str">
        <f t="shared" si="134"/>
        <v/>
      </c>
      <c r="N851" s="207"/>
      <c r="O851" s="211" t="str">
        <f t="shared" si="135"/>
        <v/>
      </c>
      <c r="P851" s="207"/>
      <c r="Q851" s="211" t="str">
        <f t="shared" si="136"/>
        <v/>
      </c>
      <c r="R851" s="207"/>
      <c r="S851" s="211" t="str">
        <f t="shared" si="137"/>
        <v/>
      </c>
      <c r="T851" s="272" t="str">
        <f t="shared" si="138"/>
        <v/>
      </c>
      <c r="U851" s="212" t="str">
        <f t="shared" si="139"/>
        <v/>
      </c>
    </row>
    <row r="852" spans="2:21" x14ac:dyDescent="0.25">
      <c r="B852" s="241" t="str">
        <f>IF(Contagem!B850=0,"",Contagem!B850)</f>
        <v/>
      </c>
      <c r="C852" s="242" t="str">
        <f>IF(Contagem!T850 &gt; 0,Contagem!T850,"")</f>
        <v/>
      </c>
      <c r="D852" s="207"/>
      <c r="E852" s="211" t="str">
        <f t="shared" si="130"/>
        <v/>
      </c>
      <c r="F852" s="207"/>
      <c r="G852" s="211" t="str">
        <f t="shared" si="131"/>
        <v/>
      </c>
      <c r="H852" s="207"/>
      <c r="I852" s="211" t="str">
        <f t="shared" si="132"/>
        <v/>
      </c>
      <c r="J852" s="207"/>
      <c r="K852" s="211" t="str">
        <f t="shared" si="133"/>
        <v/>
      </c>
      <c r="L852" s="207"/>
      <c r="M852" s="211" t="str">
        <f t="shared" si="134"/>
        <v/>
      </c>
      <c r="N852" s="207"/>
      <c r="O852" s="211" t="str">
        <f t="shared" si="135"/>
        <v/>
      </c>
      <c r="P852" s="207"/>
      <c r="Q852" s="211" t="str">
        <f t="shared" si="136"/>
        <v/>
      </c>
      <c r="R852" s="207"/>
      <c r="S852" s="211" t="str">
        <f t="shared" si="137"/>
        <v/>
      </c>
      <c r="T852" s="272" t="str">
        <f t="shared" si="138"/>
        <v/>
      </c>
      <c r="U852" s="212" t="str">
        <f t="shared" si="139"/>
        <v/>
      </c>
    </row>
    <row r="853" spans="2:21" x14ac:dyDescent="0.25">
      <c r="B853" s="241" t="str">
        <f>IF(Contagem!B851=0,"",Contagem!B851)</f>
        <v/>
      </c>
      <c r="C853" s="242" t="str">
        <f>IF(Contagem!T851 &gt; 0,Contagem!T851,"")</f>
        <v/>
      </c>
      <c r="D853" s="207"/>
      <c r="E853" s="211" t="str">
        <f t="shared" si="130"/>
        <v/>
      </c>
      <c r="F853" s="207"/>
      <c r="G853" s="211" t="str">
        <f t="shared" si="131"/>
        <v/>
      </c>
      <c r="H853" s="207"/>
      <c r="I853" s="211" t="str">
        <f t="shared" si="132"/>
        <v/>
      </c>
      <c r="J853" s="207"/>
      <c r="K853" s="211" t="str">
        <f t="shared" si="133"/>
        <v/>
      </c>
      <c r="L853" s="207"/>
      <c r="M853" s="211" t="str">
        <f t="shared" si="134"/>
        <v/>
      </c>
      <c r="N853" s="207"/>
      <c r="O853" s="211" t="str">
        <f t="shared" si="135"/>
        <v/>
      </c>
      <c r="P853" s="207"/>
      <c r="Q853" s="211" t="str">
        <f t="shared" si="136"/>
        <v/>
      </c>
      <c r="R853" s="207"/>
      <c r="S853" s="211" t="str">
        <f t="shared" si="137"/>
        <v/>
      </c>
      <c r="T853" s="272" t="str">
        <f t="shared" si="138"/>
        <v/>
      </c>
      <c r="U853" s="212" t="str">
        <f t="shared" si="139"/>
        <v/>
      </c>
    </row>
    <row r="854" spans="2:21" x14ac:dyDescent="0.25">
      <c r="B854" s="241" t="str">
        <f>IF(Contagem!B852=0,"",Contagem!B852)</f>
        <v/>
      </c>
      <c r="C854" s="242" t="str">
        <f>IF(Contagem!T852 &gt; 0,Contagem!T852,"")</f>
        <v/>
      </c>
      <c r="D854" s="207"/>
      <c r="E854" s="211" t="str">
        <f t="shared" si="130"/>
        <v/>
      </c>
      <c r="F854" s="207"/>
      <c r="G854" s="211" t="str">
        <f t="shared" si="131"/>
        <v/>
      </c>
      <c r="H854" s="207"/>
      <c r="I854" s="211" t="str">
        <f t="shared" si="132"/>
        <v/>
      </c>
      <c r="J854" s="207"/>
      <c r="K854" s="211" t="str">
        <f t="shared" si="133"/>
        <v/>
      </c>
      <c r="L854" s="207"/>
      <c r="M854" s="211" t="str">
        <f t="shared" si="134"/>
        <v/>
      </c>
      <c r="N854" s="207"/>
      <c r="O854" s="211" t="str">
        <f t="shared" si="135"/>
        <v/>
      </c>
      <c r="P854" s="207"/>
      <c r="Q854" s="211" t="str">
        <f t="shared" si="136"/>
        <v/>
      </c>
      <c r="R854" s="207"/>
      <c r="S854" s="211" t="str">
        <f t="shared" si="137"/>
        <v/>
      </c>
      <c r="T854" s="272" t="str">
        <f t="shared" si="138"/>
        <v/>
      </c>
      <c r="U854" s="212" t="str">
        <f t="shared" si="139"/>
        <v/>
      </c>
    </row>
    <row r="855" spans="2:21" x14ac:dyDescent="0.25">
      <c r="B855" s="241" t="str">
        <f>IF(Contagem!B853=0,"",Contagem!B853)</f>
        <v/>
      </c>
      <c r="C855" s="242" t="str">
        <f>IF(Contagem!T853 &gt; 0,Contagem!T853,"")</f>
        <v/>
      </c>
      <c r="D855" s="207"/>
      <c r="E855" s="211" t="str">
        <f t="shared" si="130"/>
        <v/>
      </c>
      <c r="F855" s="207"/>
      <c r="G855" s="211" t="str">
        <f t="shared" si="131"/>
        <v/>
      </c>
      <c r="H855" s="207"/>
      <c r="I855" s="211" t="str">
        <f t="shared" si="132"/>
        <v/>
      </c>
      <c r="J855" s="207"/>
      <c r="K855" s="211" t="str">
        <f t="shared" si="133"/>
        <v/>
      </c>
      <c r="L855" s="207"/>
      <c r="M855" s="211" t="str">
        <f t="shared" si="134"/>
        <v/>
      </c>
      <c r="N855" s="207"/>
      <c r="O855" s="211" t="str">
        <f t="shared" si="135"/>
        <v/>
      </c>
      <c r="P855" s="207"/>
      <c r="Q855" s="211" t="str">
        <f t="shared" si="136"/>
        <v/>
      </c>
      <c r="R855" s="207"/>
      <c r="S855" s="211" t="str">
        <f t="shared" si="137"/>
        <v/>
      </c>
      <c r="T855" s="272" t="str">
        <f t="shared" si="138"/>
        <v/>
      </c>
      <c r="U855" s="212" t="str">
        <f t="shared" si="139"/>
        <v/>
      </c>
    </row>
    <row r="856" spans="2:21" x14ac:dyDescent="0.25">
      <c r="B856" s="241" t="str">
        <f>IF(Contagem!B854=0,"",Contagem!B854)</f>
        <v/>
      </c>
      <c r="C856" s="242" t="str">
        <f>IF(Contagem!T854 &gt; 0,Contagem!T854,"")</f>
        <v/>
      </c>
      <c r="D856" s="207"/>
      <c r="E856" s="211" t="str">
        <f t="shared" si="130"/>
        <v/>
      </c>
      <c r="F856" s="207"/>
      <c r="G856" s="211" t="str">
        <f t="shared" si="131"/>
        <v/>
      </c>
      <c r="H856" s="207"/>
      <c r="I856" s="211" t="str">
        <f t="shared" si="132"/>
        <v/>
      </c>
      <c r="J856" s="207"/>
      <c r="K856" s="211" t="str">
        <f t="shared" si="133"/>
        <v/>
      </c>
      <c r="L856" s="207"/>
      <c r="M856" s="211" t="str">
        <f t="shared" si="134"/>
        <v/>
      </c>
      <c r="N856" s="207"/>
      <c r="O856" s="211" t="str">
        <f t="shared" si="135"/>
        <v/>
      </c>
      <c r="P856" s="207"/>
      <c r="Q856" s="211" t="str">
        <f t="shared" si="136"/>
        <v/>
      </c>
      <c r="R856" s="207"/>
      <c r="S856" s="211" t="str">
        <f t="shared" si="137"/>
        <v/>
      </c>
      <c r="T856" s="272" t="str">
        <f t="shared" si="138"/>
        <v/>
      </c>
      <c r="U856" s="212" t="str">
        <f t="shared" si="139"/>
        <v/>
      </c>
    </row>
    <row r="857" spans="2:21" x14ac:dyDescent="0.25">
      <c r="B857" s="241" t="str">
        <f>IF(Contagem!B855=0,"",Contagem!B855)</f>
        <v/>
      </c>
      <c r="C857" s="242" t="str">
        <f>IF(Contagem!T855 &gt; 0,Contagem!T855,"")</f>
        <v/>
      </c>
      <c r="D857" s="207"/>
      <c r="E857" s="211" t="str">
        <f t="shared" si="130"/>
        <v/>
      </c>
      <c r="F857" s="207"/>
      <c r="G857" s="211" t="str">
        <f t="shared" si="131"/>
        <v/>
      </c>
      <c r="H857" s="207"/>
      <c r="I857" s="211" t="str">
        <f t="shared" si="132"/>
        <v/>
      </c>
      <c r="J857" s="207"/>
      <c r="K857" s="211" t="str">
        <f t="shared" si="133"/>
        <v/>
      </c>
      <c r="L857" s="207"/>
      <c r="M857" s="211" t="str">
        <f t="shared" si="134"/>
        <v/>
      </c>
      <c r="N857" s="207"/>
      <c r="O857" s="211" t="str">
        <f t="shared" si="135"/>
        <v/>
      </c>
      <c r="P857" s="207"/>
      <c r="Q857" s="211" t="str">
        <f t="shared" si="136"/>
        <v/>
      </c>
      <c r="R857" s="207"/>
      <c r="S857" s="211" t="str">
        <f t="shared" si="137"/>
        <v/>
      </c>
      <c r="T857" s="272" t="str">
        <f t="shared" si="138"/>
        <v/>
      </c>
      <c r="U857" s="212" t="str">
        <f t="shared" si="139"/>
        <v/>
      </c>
    </row>
    <row r="858" spans="2:21" x14ac:dyDescent="0.25">
      <c r="B858" s="241" t="str">
        <f>IF(Contagem!B856=0,"",Contagem!B856)</f>
        <v/>
      </c>
      <c r="C858" s="242" t="str">
        <f>IF(Contagem!T856 &gt; 0,Contagem!T856,"")</f>
        <v/>
      </c>
      <c r="D858" s="207"/>
      <c r="E858" s="211" t="str">
        <f t="shared" si="130"/>
        <v/>
      </c>
      <c r="F858" s="207"/>
      <c r="G858" s="211" t="str">
        <f t="shared" si="131"/>
        <v/>
      </c>
      <c r="H858" s="207"/>
      <c r="I858" s="211" t="str">
        <f t="shared" si="132"/>
        <v/>
      </c>
      <c r="J858" s="207"/>
      <c r="K858" s="211" t="str">
        <f t="shared" si="133"/>
        <v/>
      </c>
      <c r="L858" s="207"/>
      <c r="M858" s="211" t="str">
        <f t="shared" si="134"/>
        <v/>
      </c>
      <c r="N858" s="207"/>
      <c r="O858" s="211" t="str">
        <f t="shared" si="135"/>
        <v/>
      </c>
      <c r="P858" s="207"/>
      <c r="Q858" s="211" t="str">
        <f t="shared" si="136"/>
        <v/>
      </c>
      <c r="R858" s="207"/>
      <c r="S858" s="211" t="str">
        <f t="shared" si="137"/>
        <v/>
      </c>
      <c r="T858" s="272" t="str">
        <f t="shared" si="138"/>
        <v/>
      </c>
      <c r="U858" s="212" t="str">
        <f t="shared" si="139"/>
        <v/>
      </c>
    </row>
    <row r="859" spans="2:21" x14ac:dyDescent="0.25">
      <c r="B859" s="241" t="str">
        <f>IF(Contagem!B857=0,"",Contagem!B857)</f>
        <v/>
      </c>
      <c r="C859" s="242" t="str">
        <f>IF(Contagem!T857 &gt; 0,Contagem!T857,"")</f>
        <v/>
      </c>
      <c r="D859" s="207"/>
      <c r="E859" s="211" t="str">
        <f t="shared" si="130"/>
        <v/>
      </c>
      <c r="F859" s="207"/>
      <c r="G859" s="211" t="str">
        <f t="shared" si="131"/>
        <v/>
      </c>
      <c r="H859" s="207"/>
      <c r="I859" s="211" t="str">
        <f t="shared" si="132"/>
        <v/>
      </c>
      <c r="J859" s="207"/>
      <c r="K859" s="211" t="str">
        <f t="shared" si="133"/>
        <v/>
      </c>
      <c r="L859" s="207"/>
      <c r="M859" s="211" t="str">
        <f t="shared" si="134"/>
        <v/>
      </c>
      <c r="N859" s="207"/>
      <c r="O859" s="211" t="str">
        <f t="shared" si="135"/>
        <v/>
      </c>
      <c r="P859" s="207"/>
      <c r="Q859" s="211" t="str">
        <f t="shared" si="136"/>
        <v/>
      </c>
      <c r="R859" s="207"/>
      <c r="S859" s="211" t="str">
        <f t="shared" si="137"/>
        <v/>
      </c>
      <c r="T859" s="272" t="str">
        <f t="shared" si="138"/>
        <v/>
      </c>
      <c r="U859" s="212" t="str">
        <f t="shared" si="139"/>
        <v/>
      </c>
    </row>
    <row r="860" spans="2:21" x14ac:dyDescent="0.25">
      <c r="B860" s="241" t="str">
        <f>IF(Contagem!B858=0,"",Contagem!B858)</f>
        <v/>
      </c>
      <c r="C860" s="242" t="str">
        <f>IF(Contagem!T858 &gt; 0,Contagem!T858,"")</f>
        <v/>
      </c>
      <c r="D860" s="207"/>
      <c r="E860" s="211" t="str">
        <f t="shared" si="130"/>
        <v/>
      </c>
      <c r="F860" s="207"/>
      <c r="G860" s="211" t="str">
        <f t="shared" si="131"/>
        <v/>
      </c>
      <c r="H860" s="207"/>
      <c r="I860" s="211" t="str">
        <f t="shared" si="132"/>
        <v/>
      </c>
      <c r="J860" s="207"/>
      <c r="K860" s="211" t="str">
        <f t="shared" si="133"/>
        <v/>
      </c>
      <c r="L860" s="207"/>
      <c r="M860" s="211" t="str">
        <f t="shared" si="134"/>
        <v/>
      </c>
      <c r="N860" s="207"/>
      <c r="O860" s="211" t="str">
        <f t="shared" si="135"/>
        <v/>
      </c>
      <c r="P860" s="207"/>
      <c r="Q860" s="211" t="str">
        <f t="shared" si="136"/>
        <v/>
      </c>
      <c r="R860" s="207"/>
      <c r="S860" s="211" t="str">
        <f t="shared" si="137"/>
        <v/>
      </c>
      <c r="T860" s="272" t="str">
        <f t="shared" si="138"/>
        <v/>
      </c>
      <c r="U860" s="212" t="str">
        <f t="shared" si="139"/>
        <v/>
      </c>
    </row>
    <row r="861" spans="2:21" x14ac:dyDescent="0.25">
      <c r="B861" s="241" t="str">
        <f>IF(Contagem!B859=0,"",Contagem!B859)</f>
        <v/>
      </c>
      <c r="C861" s="242" t="str">
        <f>IF(Contagem!T859 &gt; 0,Contagem!T859,"")</f>
        <v/>
      </c>
      <c r="D861" s="207"/>
      <c r="E861" s="211" t="str">
        <f t="shared" si="130"/>
        <v/>
      </c>
      <c r="F861" s="207"/>
      <c r="G861" s="211" t="str">
        <f t="shared" si="131"/>
        <v/>
      </c>
      <c r="H861" s="207"/>
      <c r="I861" s="211" t="str">
        <f t="shared" si="132"/>
        <v/>
      </c>
      <c r="J861" s="207"/>
      <c r="K861" s="211" t="str">
        <f t="shared" si="133"/>
        <v/>
      </c>
      <c r="L861" s="207"/>
      <c r="M861" s="211" t="str">
        <f t="shared" si="134"/>
        <v/>
      </c>
      <c r="N861" s="207"/>
      <c r="O861" s="211" t="str">
        <f t="shared" si="135"/>
        <v/>
      </c>
      <c r="P861" s="207"/>
      <c r="Q861" s="211" t="str">
        <f t="shared" si="136"/>
        <v/>
      </c>
      <c r="R861" s="207"/>
      <c r="S861" s="211" t="str">
        <f t="shared" si="137"/>
        <v/>
      </c>
      <c r="T861" s="272" t="str">
        <f t="shared" si="138"/>
        <v/>
      </c>
      <c r="U861" s="212" t="str">
        <f t="shared" si="139"/>
        <v/>
      </c>
    </row>
    <row r="862" spans="2:21" x14ac:dyDescent="0.25">
      <c r="B862" s="241" t="str">
        <f>IF(Contagem!B860=0,"",Contagem!B860)</f>
        <v/>
      </c>
      <c r="C862" s="242" t="str">
        <f>IF(Contagem!T860 &gt; 0,Contagem!T860,"")</f>
        <v/>
      </c>
      <c r="D862" s="207"/>
      <c r="E862" s="211" t="str">
        <f t="shared" si="130"/>
        <v/>
      </c>
      <c r="F862" s="207"/>
      <c r="G862" s="211" t="str">
        <f t="shared" si="131"/>
        <v/>
      </c>
      <c r="H862" s="207"/>
      <c r="I862" s="211" t="str">
        <f t="shared" si="132"/>
        <v/>
      </c>
      <c r="J862" s="207"/>
      <c r="K862" s="211" t="str">
        <f t="shared" si="133"/>
        <v/>
      </c>
      <c r="L862" s="207"/>
      <c r="M862" s="211" t="str">
        <f t="shared" si="134"/>
        <v/>
      </c>
      <c r="N862" s="207"/>
      <c r="O862" s="211" t="str">
        <f t="shared" si="135"/>
        <v/>
      </c>
      <c r="P862" s="207"/>
      <c r="Q862" s="211" t="str">
        <f t="shared" si="136"/>
        <v/>
      </c>
      <c r="R862" s="207"/>
      <c r="S862" s="211" t="str">
        <f t="shared" si="137"/>
        <v/>
      </c>
      <c r="T862" s="272" t="str">
        <f t="shared" si="138"/>
        <v/>
      </c>
      <c r="U862" s="212" t="str">
        <f t="shared" si="139"/>
        <v/>
      </c>
    </row>
    <row r="863" spans="2:21" x14ac:dyDescent="0.25">
      <c r="B863" s="241" t="str">
        <f>IF(Contagem!B861=0,"",Contagem!B861)</f>
        <v/>
      </c>
      <c r="C863" s="242" t="str">
        <f>IF(Contagem!T861 &gt; 0,Contagem!T861,"")</f>
        <v/>
      </c>
      <c r="D863" s="207"/>
      <c r="E863" s="211" t="str">
        <f t="shared" si="130"/>
        <v/>
      </c>
      <c r="F863" s="207"/>
      <c r="G863" s="211" t="str">
        <f t="shared" si="131"/>
        <v/>
      </c>
      <c r="H863" s="207"/>
      <c r="I863" s="211" t="str">
        <f t="shared" si="132"/>
        <v/>
      </c>
      <c r="J863" s="207"/>
      <c r="K863" s="211" t="str">
        <f t="shared" si="133"/>
        <v/>
      </c>
      <c r="L863" s="207"/>
      <c r="M863" s="211" t="str">
        <f t="shared" si="134"/>
        <v/>
      </c>
      <c r="N863" s="207"/>
      <c r="O863" s="211" t="str">
        <f t="shared" si="135"/>
        <v/>
      </c>
      <c r="P863" s="207"/>
      <c r="Q863" s="211" t="str">
        <f t="shared" si="136"/>
        <v/>
      </c>
      <c r="R863" s="207"/>
      <c r="S863" s="211" t="str">
        <f t="shared" si="137"/>
        <v/>
      </c>
      <c r="T863" s="272" t="str">
        <f t="shared" si="138"/>
        <v/>
      </c>
      <c r="U863" s="212" t="str">
        <f t="shared" si="139"/>
        <v/>
      </c>
    </row>
    <row r="864" spans="2:21" x14ac:dyDescent="0.25">
      <c r="B864" s="241" t="str">
        <f>IF(Contagem!B862=0,"",Contagem!B862)</f>
        <v/>
      </c>
      <c r="C864" s="242" t="str">
        <f>IF(Contagem!T862 &gt; 0,Contagem!T862,"")</f>
        <v/>
      </c>
      <c r="D864" s="207"/>
      <c r="E864" s="211" t="str">
        <f t="shared" si="130"/>
        <v/>
      </c>
      <c r="F864" s="207"/>
      <c r="G864" s="211" t="str">
        <f t="shared" si="131"/>
        <v/>
      </c>
      <c r="H864" s="207"/>
      <c r="I864" s="211" t="str">
        <f t="shared" si="132"/>
        <v/>
      </c>
      <c r="J864" s="207"/>
      <c r="K864" s="211" t="str">
        <f t="shared" si="133"/>
        <v/>
      </c>
      <c r="L864" s="207"/>
      <c r="M864" s="211" t="str">
        <f t="shared" si="134"/>
        <v/>
      </c>
      <c r="N864" s="207"/>
      <c r="O864" s="211" t="str">
        <f t="shared" si="135"/>
        <v/>
      </c>
      <c r="P864" s="207"/>
      <c r="Q864" s="211" t="str">
        <f t="shared" si="136"/>
        <v/>
      </c>
      <c r="R864" s="207"/>
      <c r="S864" s="211" t="str">
        <f t="shared" si="137"/>
        <v/>
      </c>
      <c r="T864" s="272" t="str">
        <f t="shared" si="138"/>
        <v/>
      </c>
      <c r="U864" s="212" t="str">
        <f t="shared" si="139"/>
        <v/>
      </c>
    </row>
    <row r="865" spans="2:21" x14ac:dyDescent="0.25">
      <c r="B865" s="241" t="str">
        <f>IF(Contagem!B863=0,"",Contagem!B863)</f>
        <v/>
      </c>
      <c r="C865" s="242" t="str">
        <f>IF(Contagem!T863 &gt; 0,Contagem!T863,"")</f>
        <v/>
      </c>
      <c r="D865" s="207"/>
      <c r="E865" s="211" t="str">
        <f t="shared" si="130"/>
        <v/>
      </c>
      <c r="F865" s="207"/>
      <c r="G865" s="211" t="str">
        <f t="shared" si="131"/>
        <v/>
      </c>
      <c r="H865" s="207"/>
      <c r="I865" s="211" t="str">
        <f t="shared" si="132"/>
        <v/>
      </c>
      <c r="J865" s="207"/>
      <c r="K865" s="211" t="str">
        <f t="shared" si="133"/>
        <v/>
      </c>
      <c r="L865" s="207"/>
      <c r="M865" s="211" t="str">
        <f t="shared" si="134"/>
        <v/>
      </c>
      <c r="N865" s="207"/>
      <c r="O865" s="211" t="str">
        <f t="shared" si="135"/>
        <v/>
      </c>
      <c r="P865" s="207"/>
      <c r="Q865" s="211" t="str">
        <f t="shared" si="136"/>
        <v/>
      </c>
      <c r="R865" s="207"/>
      <c r="S865" s="211" t="str">
        <f t="shared" si="137"/>
        <v/>
      </c>
      <c r="T865" s="272" t="str">
        <f t="shared" si="138"/>
        <v/>
      </c>
      <c r="U865" s="212" t="str">
        <f t="shared" si="139"/>
        <v/>
      </c>
    </row>
    <row r="866" spans="2:21" x14ac:dyDescent="0.25">
      <c r="B866" s="241" t="str">
        <f>IF(Contagem!B864=0,"",Contagem!B864)</f>
        <v/>
      </c>
      <c r="C866" s="242" t="str">
        <f>IF(Contagem!T864 &gt; 0,Contagem!T864,"")</f>
        <v/>
      </c>
      <c r="D866" s="207"/>
      <c r="E866" s="211" t="str">
        <f t="shared" si="130"/>
        <v/>
      </c>
      <c r="F866" s="207"/>
      <c r="G866" s="211" t="str">
        <f t="shared" si="131"/>
        <v/>
      </c>
      <c r="H866" s="207"/>
      <c r="I866" s="211" t="str">
        <f t="shared" si="132"/>
        <v/>
      </c>
      <c r="J866" s="207"/>
      <c r="K866" s="211" t="str">
        <f t="shared" si="133"/>
        <v/>
      </c>
      <c r="L866" s="207"/>
      <c r="M866" s="211" t="str">
        <f t="shared" si="134"/>
        <v/>
      </c>
      <c r="N866" s="207"/>
      <c r="O866" s="211" t="str">
        <f t="shared" si="135"/>
        <v/>
      </c>
      <c r="P866" s="207"/>
      <c r="Q866" s="211" t="str">
        <f t="shared" si="136"/>
        <v/>
      </c>
      <c r="R866" s="207"/>
      <c r="S866" s="211" t="str">
        <f t="shared" si="137"/>
        <v/>
      </c>
      <c r="T866" s="272" t="str">
        <f t="shared" si="138"/>
        <v/>
      </c>
      <c r="U866" s="212" t="str">
        <f t="shared" si="139"/>
        <v/>
      </c>
    </row>
    <row r="867" spans="2:21" x14ac:dyDescent="0.25">
      <c r="B867" s="241" t="str">
        <f>IF(Contagem!B865=0,"",Contagem!B865)</f>
        <v/>
      </c>
      <c r="C867" s="242" t="str">
        <f>IF(Contagem!T865 &gt; 0,Contagem!T865,"")</f>
        <v/>
      </c>
      <c r="D867" s="207"/>
      <c r="E867" s="211" t="str">
        <f t="shared" si="130"/>
        <v/>
      </c>
      <c r="F867" s="207"/>
      <c r="G867" s="211" t="str">
        <f t="shared" si="131"/>
        <v/>
      </c>
      <c r="H867" s="207"/>
      <c r="I867" s="211" t="str">
        <f t="shared" si="132"/>
        <v/>
      </c>
      <c r="J867" s="207"/>
      <c r="K867" s="211" t="str">
        <f t="shared" si="133"/>
        <v/>
      </c>
      <c r="L867" s="207"/>
      <c r="M867" s="211" t="str">
        <f t="shared" si="134"/>
        <v/>
      </c>
      <c r="N867" s="207"/>
      <c r="O867" s="211" t="str">
        <f t="shared" si="135"/>
        <v/>
      </c>
      <c r="P867" s="207"/>
      <c r="Q867" s="211" t="str">
        <f t="shared" si="136"/>
        <v/>
      </c>
      <c r="R867" s="207"/>
      <c r="S867" s="211" t="str">
        <f t="shared" si="137"/>
        <v/>
      </c>
      <c r="T867" s="272" t="str">
        <f t="shared" si="138"/>
        <v/>
      </c>
      <c r="U867" s="212" t="str">
        <f t="shared" si="139"/>
        <v/>
      </c>
    </row>
    <row r="868" spans="2:21" x14ac:dyDescent="0.25">
      <c r="B868" s="241" t="str">
        <f>IF(Contagem!B866=0,"",Contagem!B866)</f>
        <v/>
      </c>
      <c r="C868" s="242" t="str">
        <f>IF(Contagem!T866 &gt; 0,Contagem!T866,"")</f>
        <v/>
      </c>
      <c r="D868" s="207"/>
      <c r="E868" s="211" t="str">
        <f t="shared" si="130"/>
        <v/>
      </c>
      <c r="F868" s="207"/>
      <c r="G868" s="211" t="str">
        <f t="shared" si="131"/>
        <v/>
      </c>
      <c r="H868" s="207"/>
      <c r="I868" s="211" t="str">
        <f t="shared" si="132"/>
        <v/>
      </c>
      <c r="J868" s="207"/>
      <c r="K868" s="211" t="str">
        <f t="shared" si="133"/>
        <v/>
      </c>
      <c r="L868" s="207"/>
      <c r="M868" s="211" t="str">
        <f t="shared" si="134"/>
        <v/>
      </c>
      <c r="N868" s="207"/>
      <c r="O868" s="211" t="str">
        <f t="shared" si="135"/>
        <v/>
      </c>
      <c r="P868" s="207"/>
      <c r="Q868" s="211" t="str">
        <f t="shared" si="136"/>
        <v/>
      </c>
      <c r="R868" s="207"/>
      <c r="S868" s="211" t="str">
        <f t="shared" si="137"/>
        <v/>
      </c>
      <c r="T868" s="272" t="str">
        <f t="shared" si="138"/>
        <v/>
      </c>
      <c r="U868" s="212" t="str">
        <f t="shared" si="139"/>
        <v/>
      </c>
    </row>
    <row r="869" spans="2:21" x14ac:dyDescent="0.25">
      <c r="B869" s="241" t="str">
        <f>IF(Contagem!B867=0,"",Contagem!B867)</f>
        <v/>
      </c>
      <c r="C869" s="242" t="str">
        <f>IF(Contagem!T867 &gt; 0,Contagem!T867,"")</f>
        <v/>
      </c>
      <c r="D869" s="207"/>
      <c r="E869" s="211" t="str">
        <f t="shared" si="130"/>
        <v/>
      </c>
      <c r="F869" s="207"/>
      <c r="G869" s="211" t="str">
        <f t="shared" si="131"/>
        <v/>
      </c>
      <c r="H869" s="207"/>
      <c r="I869" s="211" t="str">
        <f t="shared" si="132"/>
        <v/>
      </c>
      <c r="J869" s="207"/>
      <c r="K869" s="211" t="str">
        <f t="shared" si="133"/>
        <v/>
      </c>
      <c r="L869" s="207"/>
      <c r="M869" s="211" t="str">
        <f t="shared" si="134"/>
        <v/>
      </c>
      <c r="N869" s="207"/>
      <c r="O869" s="211" t="str">
        <f t="shared" si="135"/>
        <v/>
      </c>
      <c r="P869" s="207"/>
      <c r="Q869" s="211" t="str">
        <f t="shared" si="136"/>
        <v/>
      </c>
      <c r="R869" s="207"/>
      <c r="S869" s="211" t="str">
        <f t="shared" si="137"/>
        <v/>
      </c>
      <c r="T869" s="272" t="str">
        <f t="shared" si="138"/>
        <v/>
      </c>
      <c r="U869" s="212" t="str">
        <f t="shared" si="139"/>
        <v/>
      </c>
    </row>
    <row r="870" spans="2:21" x14ac:dyDescent="0.25">
      <c r="B870" s="241" t="str">
        <f>IF(Contagem!B868=0,"",Contagem!B868)</f>
        <v/>
      </c>
      <c r="C870" s="242" t="str">
        <f>IF(Contagem!T868 &gt; 0,Contagem!T868,"")</f>
        <v/>
      </c>
      <c r="D870" s="207"/>
      <c r="E870" s="211" t="str">
        <f t="shared" si="130"/>
        <v/>
      </c>
      <c r="F870" s="207"/>
      <c r="G870" s="211" t="str">
        <f t="shared" si="131"/>
        <v/>
      </c>
      <c r="H870" s="207"/>
      <c r="I870" s="211" t="str">
        <f t="shared" si="132"/>
        <v/>
      </c>
      <c r="J870" s="207"/>
      <c r="K870" s="211" t="str">
        <f t="shared" si="133"/>
        <v/>
      </c>
      <c r="L870" s="207"/>
      <c r="M870" s="211" t="str">
        <f t="shared" si="134"/>
        <v/>
      </c>
      <c r="N870" s="207"/>
      <c r="O870" s="211" t="str">
        <f t="shared" si="135"/>
        <v/>
      </c>
      <c r="P870" s="207"/>
      <c r="Q870" s="211" t="str">
        <f t="shared" si="136"/>
        <v/>
      </c>
      <c r="R870" s="207"/>
      <c r="S870" s="211" t="str">
        <f t="shared" si="137"/>
        <v/>
      </c>
      <c r="T870" s="272" t="str">
        <f t="shared" si="138"/>
        <v/>
      </c>
      <c r="U870" s="212" t="str">
        <f t="shared" si="139"/>
        <v/>
      </c>
    </row>
    <row r="871" spans="2:21" x14ac:dyDescent="0.25">
      <c r="B871" s="241" t="str">
        <f>IF(Contagem!B869=0,"",Contagem!B869)</f>
        <v/>
      </c>
      <c r="C871" s="242" t="str">
        <f>IF(Contagem!T869 &gt; 0,Contagem!T869,"")</f>
        <v/>
      </c>
      <c r="D871" s="207"/>
      <c r="E871" s="211" t="str">
        <f t="shared" si="130"/>
        <v/>
      </c>
      <c r="F871" s="207"/>
      <c r="G871" s="211" t="str">
        <f t="shared" si="131"/>
        <v/>
      </c>
      <c r="H871" s="207"/>
      <c r="I871" s="211" t="str">
        <f t="shared" si="132"/>
        <v/>
      </c>
      <c r="J871" s="207"/>
      <c r="K871" s="211" t="str">
        <f t="shared" si="133"/>
        <v/>
      </c>
      <c r="L871" s="207"/>
      <c r="M871" s="211" t="str">
        <f t="shared" si="134"/>
        <v/>
      </c>
      <c r="N871" s="207"/>
      <c r="O871" s="211" t="str">
        <f t="shared" si="135"/>
        <v/>
      </c>
      <c r="P871" s="207"/>
      <c r="Q871" s="211" t="str">
        <f t="shared" si="136"/>
        <v/>
      </c>
      <c r="R871" s="207"/>
      <c r="S871" s="211" t="str">
        <f t="shared" si="137"/>
        <v/>
      </c>
      <c r="T871" s="272" t="str">
        <f t="shared" si="138"/>
        <v/>
      </c>
      <c r="U871" s="212" t="str">
        <f t="shared" si="139"/>
        <v/>
      </c>
    </row>
    <row r="872" spans="2:21" x14ac:dyDescent="0.25">
      <c r="B872" s="241" t="str">
        <f>IF(Contagem!B870=0,"",Contagem!B870)</f>
        <v/>
      </c>
      <c r="C872" s="242" t="str">
        <f>IF(Contagem!T870 &gt; 0,Contagem!T870,"")</f>
        <v/>
      </c>
      <c r="D872" s="207"/>
      <c r="E872" s="211" t="str">
        <f t="shared" si="130"/>
        <v/>
      </c>
      <c r="F872" s="207"/>
      <c r="G872" s="211" t="str">
        <f t="shared" si="131"/>
        <v/>
      </c>
      <c r="H872" s="207"/>
      <c r="I872" s="211" t="str">
        <f t="shared" si="132"/>
        <v/>
      </c>
      <c r="J872" s="207"/>
      <c r="K872" s="211" t="str">
        <f t="shared" si="133"/>
        <v/>
      </c>
      <c r="L872" s="207"/>
      <c r="M872" s="211" t="str">
        <f t="shared" si="134"/>
        <v/>
      </c>
      <c r="N872" s="207"/>
      <c r="O872" s="211" t="str">
        <f t="shared" si="135"/>
        <v/>
      </c>
      <c r="P872" s="207"/>
      <c r="Q872" s="211" t="str">
        <f t="shared" si="136"/>
        <v/>
      </c>
      <c r="R872" s="207"/>
      <c r="S872" s="211" t="str">
        <f t="shared" si="137"/>
        <v/>
      </c>
      <c r="T872" s="272" t="str">
        <f t="shared" si="138"/>
        <v/>
      </c>
      <c r="U872" s="212" t="str">
        <f t="shared" si="139"/>
        <v/>
      </c>
    </row>
    <row r="873" spans="2:21" x14ac:dyDescent="0.25">
      <c r="B873" s="241" t="str">
        <f>IF(Contagem!B871=0,"",Contagem!B871)</f>
        <v/>
      </c>
      <c r="C873" s="242" t="str">
        <f>IF(Contagem!T871 &gt; 0,Contagem!T871,"")</f>
        <v/>
      </c>
      <c r="D873" s="207"/>
      <c r="E873" s="211" t="str">
        <f t="shared" si="130"/>
        <v/>
      </c>
      <c r="F873" s="207"/>
      <c r="G873" s="211" t="str">
        <f t="shared" si="131"/>
        <v/>
      </c>
      <c r="H873" s="207"/>
      <c r="I873" s="211" t="str">
        <f t="shared" si="132"/>
        <v/>
      </c>
      <c r="J873" s="207"/>
      <c r="K873" s="211" t="str">
        <f t="shared" si="133"/>
        <v/>
      </c>
      <c r="L873" s="207"/>
      <c r="M873" s="211" t="str">
        <f t="shared" si="134"/>
        <v/>
      </c>
      <c r="N873" s="207"/>
      <c r="O873" s="211" t="str">
        <f t="shared" si="135"/>
        <v/>
      </c>
      <c r="P873" s="207"/>
      <c r="Q873" s="211" t="str">
        <f t="shared" si="136"/>
        <v/>
      </c>
      <c r="R873" s="207"/>
      <c r="S873" s="211" t="str">
        <f t="shared" si="137"/>
        <v/>
      </c>
      <c r="T873" s="272" t="str">
        <f t="shared" si="138"/>
        <v/>
      </c>
      <c r="U873" s="212" t="str">
        <f t="shared" si="139"/>
        <v/>
      </c>
    </row>
    <row r="874" spans="2:21" x14ac:dyDescent="0.25">
      <c r="B874" s="241" t="str">
        <f>IF(Contagem!B872=0,"",Contagem!B872)</f>
        <v/>
      </c>
      <c r="C874" s="242" t="str">
        <f>IF(Contagem!T872 &gt; 0,Contagem!T872,"")</f>
        <v/>
      </c>
      <c r="D874" s="207"/>
      <c r="E874" s="211" t="str">
        <f t="shared" si="130"/>
        <v/>
      </c>
      <c r="F874" s="207"/>
      <c r="G874" s="211" t="str">
        <f t="shared" si="131"/>
        <v/>
      </c>
      <c r="H874" s="207"/>
      <c r="I874" s="211" t="str">
        <f t="shared" si="132"/>
        <v/>
      </c>
      <c r="J874" s="207"/>
      <c r="K874" s="211" t="str">
        <f t="shared" si="133"/>
        <v/>
      </c>
      <c r="L874" s="207"/>
      <c r="M874" s="211" t="str">
        <f t="shared" si="134"/>
        <v/>
      </c>
      <c r="N874" s="207"/>
      <c r="O874" s="211" t="str">
        <f t="shared" si="135"/>
        <v/>
      </c>
      <c r="P874" s="207"/>
      <c r="Q874" s="211" t="str">
        <f t="shared" si="136"/>
        <v/>
      </c>
      <c r="R874" s="207"/>
      <c r="S874" s="211" t="str">
        <f t="shared" si="137"/>
        <v/>
      </c>
      <c r="T874" s="272" t="str">
        <f t="shared" si="138"/>
        <v/>
      </c>
      <c r="U874" s="212" t="str">
        <f t="shared" si="139"/>
        <v/>
      </c>
    </row>
    <row r="875" spans="2:21" x14ac:dyDescent="0.25">
      <c r="B875" s="241" t="str">
        <f>IF(Contagem!B873=0,"",Contagem!B873)</f>
        <v/>
      </c>
      <c r="C875" s="242" t="str">
        <f>IF(Contagem!T873 &gt; 0,Contagem!T873,"")</f>
        <v/>
      </c>
      <c r="D875" s="207"/>
      <c r="E875" s="211" t="str">
        <f t="shared" si="130"/>
        <v/>
      </c>
      <c r="F875" s="207"/>
      <c r="G875" s="211" t="str">
        <f t="shared" si="131"/>
        <v/>
      </c>
      <c r="H875" s="207"/>
      <c r="I875" s="211" t="str">
        <f t="shared" si="132"/>
        <v/>
      </c>
      <c r="J875" s="207"/>
      <c r="K875" s="211" t="str">
        <f t="shared" si="133"/>
        <v/>
      </c>
      <c r="L875" s="207"/>
      <c r="M875" s="211" t="str">
        <f t="shared" si="134"/>
        <v/>
      </c>
      <c r="N875" s="207"/>
      <c r="O875" s="211" t="str">
        <f t="shared" si="135"/>
        <v/>
      </c>
      <c r="P875" s="207"/>
      <c r="Q875" s="211" t="str">
        <f t="shared" si="136"/>
        <v/>
      </c>
      <c r="R875" s="207"/>
      <c r="S875" s="211" t="str">
        <f t="shared" si="137"/>
        <v/>
      </c>
      <c r="T875" s="272" t="str">
        <f t="shared" si="138"/>
        <v/>
      </c>
      <c r="U875" s="212" t="str">
        <f t="shared" si="139"/>
        <v/>
      </c>
    </row>
    <row r="876" spans="2:21" x14ac:dyDescent="0.25">
      <c r="B876" s="241" t="str">
        <f>IF(Contagem!B874=0,"",Contagem!B874)</f>
        <v/>
      </c>
      <c r="C876" s="242" t="str">
        <f>IF(Contagem!T874 &gt; 0,Contagem!T874,"")</f>
        <v/>
      </c>
      <c r="D876" s="207"/>
      <c r="E876" s="211" t="str">
        <f t="shared" si="130"/>
        <v/>
      </c>
      <c r="F876" s="207"/>
      <c r="G876" s="211" t="str">
        <f t="shared" si="131"/>
        <v/>
      </c>
      <c r="H876" s="207"/>
      <c r="I876" s="211" t="str">
        <f t="shared" si="132"/>
        <v/>
      </c>
      <c r="J876" s="207"/>
      <c r="K876" s="211" t="str">
        <f t="shared" si="133"/>
        <v/>
      </c>
      <c r="L876" s="207"/>
      <c r="M876" s="211" t="str">
        <f t="shared" si="134"/>
        <v/>
      </c>
      <c r="N876" s="207"/>
      <c r="O876" s="211" t="str">
        <f t="shared" si="135"/>
        <v/>
      </c>
      <c r="P876" s="207"/>
      <c r="Q876" s="211" t="str">
        <f t="shared" si="136"/>
        <v/>
      </c>
      <c r="R876" s="207"/>
      <c r="S876" s="211" t="str">
        <f t="shared" si="137"/>
        <v/>
      </c>
      <c r="T876" s="272" t="str">
        <f t="shared" si="138"/>
        <v/>
      </c>
      <c r="U876" s="212" t="str">
        <f t="shared" si="139"/>
        <v/>
      </c>
    </row>
    <row r="877" spans="2:21" x14ac:dyDescent="0.25">
      <c r="B877" s="241" t="str">
        <f>IF(Contagem!B875=0,"",Contagem!B875)</f>
        <v/>
      </c>
      <c r="C877" s="242" t="str">
        <f>IF(Contagem!T875 &gt; 0,Contagem!T875,"")</f>
        <v/>
      </c>
      <c r="D877" s="207"/>
      <c r="E877" s="211" t="str">
        <f t="shared" si="130"/>
        <v/>
      </c>
      <c r="F877" s="207"/>
      <c r="G877" s="211" t="str">
        <f t="shared" si="131"/>
        <v/>
      </c>
      <c r="H877" s="207"/>
      <c r="I877" s="211" t="str">
        <f t="shared" si="132"/>
        <v/>
      </c>
      <c r="J877" s="207"/>
      <c r="K877" s="211" t="str">
        <f t="shared" si="133"/>
        <v/>
      </c>
      <c r="L877" s="207"/>
      <c r="M877" s="211" t="str">
        <f t="shared" si="134"/>
        <v/>
      </c>
      <c r="N877" s="207"/>
      <c r="O877" s="211" t="str">
        <f t="shared" si="135"/>
        <v/>
      </c>
      <c r="P877" s="207"/>
      <c r="Q877" s="211" t="str">
        <f t="shared" si="136"/>
        <v/>
      </c>
      <c r="R877" s="207"/>
      <c r="S877" s="211" t="str">
        <f t="shared" si="137"/>
        <v/>
      </c>
      <c r="T877" s="272" t="str">
        <f t="shared" si="138"/>
        <v/>
      </c>
      <c r="U877" s="212" t="str">
        <f t="shared" si="139"/>
        <v/>
      </c>
    </row>
    <row r="878" spans="2:21" x14ac:dyDescent="0.25">
      <c r="B878" s="241" t="str">
        <f>IF(Contagem!B876=0,"",Contagem!B876)</f>
        <v/>
      </c>
      <c r="C878" s="242" t="str">
        <f>IF(Contagem!T876 &gt; 0,Contagem!T876,"")</f>
        <v/>
      </c>
      <c r="D878" s="207"/>
      <c r="E878" s="211" t="str">
        <f t="shared" si="130"/>
        <v/>
      </c>
      <c r="F878" s="207"/>
      <c r="G878" s="211" t="str">
        <f t="shared" si="131"/>
        <v/>
      </c>
      <c r="H878" s="207"/>
      <c r="I878" s="211" t="str">
        <f t="shared" si="132"/>
        <v/>
      </c>
      <c r="J878" s="207"/>
      <c r="K878" s="211" t="str">
        <f t="shared" si="133"/>
        <v/>
      </c>
      <c r="L878" s="207"/>
      <c r="M878" s="211" t="str">
        <f t="shared" si="134"/>
        <v/>
      </c>
      <c r="N878" s="207"/>
      <c r="O878" s="211" t="str">
        <f t="shared" si="135"/>
        <v/>
      </c>
      <c r="P878" s="207"/>
      <c r="Q878" s="211" t="str">
        <f t="shared" si="136"/>
        <v/>
      </c>
      <c r="R878" s="207"/>
      <c r="S878" s="211" t="str">
        <f t="shared" si="137"/>
        <v/>
      </c>
      <c r="T878" s="272" t="str">
        <f t="shared" si="138"/>
        <v/>
      </c>
      <c r="U878" s="212" t="str">
        <f t="shared" si="139"/>
        <v/>
      </c>
    </row>
    <row r="879" spans="2:21" x14ac:dyDescent="0.25">
      <c r="B879" s="241" t="str">
        <f>IF(Contagem!B877=0,"",Contagem!B877)</f>
        <v/>
      </c>
      <c r="C879" s="242" t="str">
        <f>IF(Contagem!T877 &gt; 0,Contagem!T877,"")</f>
        <v/>
      </c>
      <c r="D879" s="207"/>
      <c r="E879" s="211" t="str">
        <f t="shared" si="130"/>
        <v/>
      </c>
      <c r="F879" s="207"/>
      <c r="G879" s="211" t="str">
        <f t="shared" si="131"/>
        <v/>
      </c>
      <c r="H879" s="207"/>
      <c r="I879" s="211" t="str">
        <f t="shared" si="132"/>
        <v/>
      </c>
      <c r="J879" s="207"/>
      <c r="K879" s="211" t="str">
        <f t="shared" si="133"/>
        <v/>
      </c>
      <c r="L879" s="207"/>
      <c r="M879" s="211" t="str">
        <f t="shared" si="134"/>
        <v/>
      </c>
      <c r="N879" s="207"/>
      <c r="O879" s="211" t="str">
        <f t="shared" si="135"/>
        <v/>
      </c>
      <c r="P879" s="207"/>
      <c r="Q879" s="211" t="str">
        <f t="shared" si="136"/>
        <v/>
      </c>
      <c r="R879" s="207"/>
      <c r="S879" s="211" t="str">
        <f t="shared" si="137"/>
        <v/>
      </c>
      <c r="T879" s="272" t="str">
        <f t="shared" si="138"/>
        <v/>
      </c>
      <c r="U879" s="212" t="str">
        <f t="shared" si="139"/>
        <v/>
      </c>
    </row>
    <row r="880" spans="2:21" x14ac:dyDescent="0.25">
      <c r="B880" s="241" t="str">
        <f>IF(Contagem!B878=0,"",Contagem!B878)</f>
        <v/>
      </c>
      <c r="C880" s="242" t="str">
        <f>IF(Contagem!T878 &gt; 0,Contagem!T878,"")</f>
        <v/>
      </c>
      <c r="D880" s="207"/>
      <c r="E880" s="211" t="str">
        <f t="shared" si="130"/>
        <v/>
      </c>
      <c r="F880" s="207"/>
      <c r="G880" s="211" t="str">
        <f t="shared" si="131"/>
        <v/>
      </c>
      <c r="H880" s="207"/>
      <c r="I880" s="211" t="str">
        <f t="shared" si="132"/>
        <v/>
      </c>
      <c r="J880" s="207"/>
      <c r="K880" s="211" t="str">
        <f t="shared" si="133"/>
        <v/>
      </c>
      <c r="L880" s="207"/>
      <c r="M880" s="211" t="str">
        <f t="shared" si="134"/>
        <v/>
      </c>
      <c r="N880" s="207"/>
      <c r="O880" s="211" t="str">
        <f t="shared" si="135"/>
        <v/>
      </c>
      <c r="P880" s="207"/>
      <c r="Q880" s="211" t="str">
        <f t="shared" si="136"/>
        <v/>
      </c>
      <c r="R880" s="207"/>
      <c r="S880" s="211" t="str">
        <f t="shared" si="137"/>
        <v/>
      </c>
      <c r="T880" s="272" t="str">
        <f t="shared" si="138"/>
        <v/>
      </c>
      <c r="U880" s="212" t="str">
        <f t="shared" si="139"/>
        <v/>
      </c>
    </row>
    <row r="881" spans="2:21" x14ac:dyDescent="0.25">
      <c r="B881" s="241" t="str">
        <f>IF(Contagem!B879=0,"",Contagem!B879)</f>
        <v/>
      </c>
      <c r="C881" s="242" t="str">
        <f>IF(Contagem!T879 &gt; 0,Contagem!T879,"")</f>
        <v/>
      </c>
      <c r="D881" s="207"/>
      <c r="E881" s="211" t="str">
        <f t="shared" si="130"/>
        <v/>
      </c>
      <c r="F881" s="207"/>
      <c r="G881" s="211" t="str">
        <f t="shared" si="131"/>
        <v/>
      </c>
      <c r="H881" s="207"/>
      <c r="I881" s="211" t="str">
        <f t="shared" si="132"/>
        <v/>
      </c>
      <c r="J881" s="207"/>
      <c r="K881" s="211" t="str">
        <f t="shared" si="133"/>
        <v/>
      </c>
      <c r="L881" s="207"/>
      <c r="M881" s="211" t="str">
        <f t="shared" si="134"/>
        <v/>
      </c>
      <c r="N881" s="207"/>
      <c r="O881" s="211" t="str">
        <f t="shared" si="135"/>
        <v/>
      </c>
      <c r="P881" s="207"/>
      <c r="Q881" s="211" t="str">
        <f t="shared" si="136"/>
        <v/>
      </c>
      <c r="R881" s="207"/>
      <c r="S881" s="211" t="str">
        <f t="shared" si="137"/>
        <v/>
      </c>
      <c r="T881" s="272" t="str">
        <f t="shared" si="138"/>
        <v/>
      </c>
      <c r="U881" s="212" t="str">
        <f t="shared" si="139"/>
        <v/>
      </c>
    </row>
    <row r="882" spans="2:21" x14ac:dyDescent="0.25">
      <c r="B882" s="241" t="str">
        <f>IF(Contagem!B880=0,"",Contagem!B880)</f>
        <v/>
      </c>
      <c r="C882" s="242" t="str">
        <f>IF(Contagem!T880 &gt; 0,Contagem!T880,"")</f>
        <v/>
      </c>
      <c r="D882" s="207"/>
      <c r="E882" s="211" t="str">
        <f t="shared" si="130"/>
        <v/>
      </c>
      <c r="F882" s="207"/>
      <c r="G882" s="211" t="str">
        <f t="shared" si="131"/>
        <v/>
      </c>
      <c r="H882" s="207"/>
      <c r="I882" s="211" t="str">
        <f t="shared" si="132"/>
        <v/>
      </c>
      <c r="J882" s="207"/>
      <c r="K882" s="211" t="str">
        <f t="shared" si="133"/>
        <v/>
      </c>
      <c r="L882" s="207"/>
      <c r="M882" s="211" t="str">
        <f t="shared" si="134"/>
        <v/>
      </c>
      <c r="N882" s="207"/>
      <c r="O882" s="211" t="str">
        <f t="shared" si="135"/>
        <v/>
      </c>
      <c r="P882" s="207"/>
      <c r="Q882" s="211" t="str">
        <f t="shared" si="136"/>
        <v/>
      </c>
      <c r="R882" s="207"/>
      <c r="S882" s="211" t="str">
        <f t="shared" si="137"/>
        <v/>
      </c>
      <c r="T882" s="272" t="str">
        <f t="shared" si="138"/>
        <v/>
      </c>
      <c r="U882" s="212" t="str">
        <f t="shared" si="139"/>
        <v/>
      </c>
    </row>
    <row r="883" spans="2:21" x14ac:dyDescent="0.25">
      <c r="B883" s="241" t="str">
        <f>IF(Contagem!B881=0,"",Contagem!B881)</f>
        <v/>
      </c>
      <c r="C883" s="242" t="str">
        <f>IF(Contagem!T881 &gt; 0,Contagem!T881,"")</f>
        <v/>
      </c>
      <c r="D883" s="207"/>
      <c r="E883" s="211" t="str">
        <f t="shared" si="130"/>
        <v/>
      </c>
      <c r="F883" s="207"/>
      <c r="G883" s="211" t="str">
        <f t="shared" si="131"/>
        <v/>
      </c>
      <c r="H883" s="207"/>
      <c r="I883" s="211" t="str">
        <f t="shared" si="132"/>
        <v/>
      </c>
      <c r="J883" s="207"/>
      <c r="K883" s="211" t="str">
        <f t="shared" si="133"/>
        <v/>
      </c>
      <c r="L883" s="207"/>
      <c r="M883" s="211" t="str">
        <f t="shared" si="134"/>
        <v/>
      </c>
      <c r="N883" s="207"/>
      <c r="O883" s="211" t="str">
        <f t="shared" si="135"/>
        <v/>
      </c>
      <c r="P883" s="207"/>
      <c r="Q883" s="211" t="str">
        <f t="shared" si="136"/>
        <v/>
      </c>
      <c r="R883" s="207"/>
      <c r="S883" s="211" t="str">
        <f t="shared" si="137"/>
        <v/>
      </c>
      <c r="T883" s="272" t="str">
        <f t="shared" si="138"/>
        <v/>
      </c>
      <c r="U883" s="212" t="str">
        <f t="shared" si="139"/>
        <v/>
      </c>
    </row>
    <row r="884" spans="2:21" x14ac:dyDescent="0.25">
      <c r="B884" s="241" t="str">
        <f>IF(Contagem!B882=0,"",Contagem!B882)</f>
        <v/>
      </c>
      <c r="C884" s="242" t="str">
        <f>IF(Contagem!T882 &gt; 0,Contagem!T882,"")</f>
        <v/>
      </c>
      <c r="D884" s="207"/>
      <c r="E884" s="211" t="str">
        <f t="shared" si="130"/>
        <v/>
      </c>
      <c r="F884" s="207"/>
      <c r="G884" s="211" t="str">
        <f t="shared" si="131"/>
        <v/>
      </c>
      <c r="H884" s="207"/>
      <c r="I884" s="211" t="str">
        <f t="shared" si="132"/>
        <v/>
      </c>
      <c r="J884" s="207"/>
      <c r="K884" s="211" t="str">
        <f t="shared" si="133"/>
        <v/>
      </c>
      <c r="L884" s="207"/>
      <c r="M884" s="211" t="str">
        <f t="shared" si="134"/>
        <v/>
      </c>
      <c r="N884" s="207"/>
      <c r="O884" s="211" t="str">
        <f t="shared" si="135"/>
        <v/>
      </c>
      <c r="P884" s="207"/>
      <c r="Q884" s="211" t="str">
        <f t="shared" si="136"/>
        <v/>
      </c>
      <c r="R884" s="207"/>
      <c r="S884" s="211" t="str">
        <f t="shared" si="137"/>
        <v/>
      </c>
      <c r="T884" s="272" t="str">
        <f t="shared" si="138"/>
        <v/>
      </c>
      <c r="U884" s="212" t="str">
        <f t="shared" si="139"/>
        <v/>
      </c>
    </row>
    <row r="885" spans="2:21" x14ac:dyDescent="0.25">
      <c r="B885" s="241" t="str">
        <f>IF(Contagem!B883=0,"",Contagem!B883)</f>
        <v/>
      </c>
      <c r="C885" s="242" t="str">
        <f>IF(Contagem!T883 &gt; 0,Contagem!T883,"")</f>
        <v/>
      </c>
      <c r="D885" s="207"/>
      <c r="E885" s="211" t="str">
        <f t="shared" si="130"/>
        <v/>
      </c>
      <c r="F885" s="207"/>
      <c r="G885" s="211" t="str">
        <f t="shared" si="131"/>
        <v/>
      </c>
      <c r="H885" s="207"/>
      <c r="I885" s="211" t="str">
        <f t="shared" si="132"/>
        <v/>
      </c>
      <c r="J885" s="207"/>
      <c r="K885" s="211" t="str">
        <f t="shared" si="133"/>
        <v/>
      </c>
      <c r="L885" s="207"/>
      <c r="M885" s="211" t="str">
        <f t="shared" si="134"/>
        <v/>
      </c>
      <c r="N885" s="207"/>
      <c r="O885" s="211" t="str">
        <f t="shared" si="135"/>
        <v/>
      </c>
      <c r="P885" s="207"/>
      <c r="Q885" s="211" t="str">
        <f t="shared" si="136"/>
        <v/>
      </c>
      <c r="R885" s="207"/>
      <c r="S885" s="211" t="str">
        <f t="shared" si="137"/>
        <v/>
      </c>
      <c r="T885" s="272" t="str">
        <f t="shared" si="138"/>
        <v/>
      </c>
      <c r="U885" s="212" t="str">
        <f t="shared" si="139"/>
        <v/>
      </c>
    </row>
    <row r="886" spans="2:21" x14ac:dyDescent="0.25">
      <c r="B886" s="241" t="str">
        <f>IF(Contagem!B884=0,"",Contagem!B884)</f>
        <v/>
      </c>
      <c r="C886" s="242" t="str">
        <f>IF(Contagem!T884 &gt; 0,Contagem!T884,"")</f>
        <v/>
      </c>
      <c r="D886" s="207"/>
      <c r="E886" s="211" t="str">
        <f t="shared" si="130"/>
        <v/>
      </c>
      <c r="F886" s="207"/>
      <c r="G886" s="211" t="str">
        <f t="shared" si="131"/>
        <v/>
      </c>
      <c r="H886" s="207"/>
      <c r="I886" s="211" t="str">
        <f t="shared" si="132"/>
        <v/>
      </c>
      <c r="J886" s="207"/>
      <c r="K886" s="211" t="str">
        <f t="shared" si="133"/>
        <v/>
      </c>
      <c r="L886" s="207"/>
      <c r="M886" s="211" t="str">
        <f t="shared" si="134"/>
        <v/>
      </c>
      <c r="N886" s="207"/>
      <c r="O886" s="211" t="str">
        <f t="shared" si="135"/>
        <v/>
      </c>
      <c r="P886" s="207"/>
      <c r="Q886" s="211" t="str">
        <f t="shared" si="136"/>
        <v/>
      </c>
      <c r="R886" s="207"/>
      <c r="S886" s="211" t="str">
        <f t="shared" si="137"/>
        <v/>
      </c>
      <c r="T886" s="272" t="str">
        <f t="shared" si="138"/>
        <v/>
      </c>
      <c r="U886" s="212" t="str">
        <f t="shared" si="139"/>
        <v/>
      </c>
    </row>
    <row r="887" spans="2:21" x14ac:dyDescent="0.25">
      <c r="B887" s="241" t="str">
        <f>IF(Contagem!B885=0,"",Contagem!B885)</f>
        <v/>
      </c>
      <c r="C887" s="242" t="str">
        <f>IF(Contagem!T885 &gt; 0,Contagem!T885,"")</f>
        <v/>
      </c>
      <c r="D887" s="207"/>
      <c r="E887" s="211" t="str">
        <f t="shared" si="130"/>
        <v/>
      </c>
      <c r="F887" s="207"/>
      <c r="G887" s="211" t="str">
        <f t="shared" si="131"/>
        <v/>
      </c>
      <c r="H887" s="207"/>
      <c r="I887" s="211" t="str">
        <f t="shared" si="132"/>
        <v/>
      </c>
      <c r="J887" s="207"/>
      <c r="K887" s="211" t="str">
        <f t="shared" si="133"/>
        <v/>
      </c>
      <c r="L887" s="207"/>
      <c r="M887" s="211" t="str">
        <f t="shared" si="134"/>
        <v/>
      </c>
      <c r="N887" s="207"/>
      <c r="O887" s="211" t="str">
        <f t="shared" si="135"/>
        <v/>
      </c>
      <c r="P887" s="207"/>
      <c r="Q887" s="211" t="str">
        <f t="shared" si="136"/>
        <v/>
      </c>
      <c r="R887" s="207"/>
      <c r="S887" s="211" t="str">
        <f t="shared" si="137"/>
        <v/>
      </c>
      <c r="T887" s="272" t="str">
        <f t="shared" si="138"/>
        <v/>
      </c>
      <c r="U887" s="212" t="str">
        <f t="shared" si="139"/>
        <v/>
      </c>
    </row>
    <row r="888" spans="2:21" x14ac:dyDescent="0.25">
      <c r="B888" s="241" t="str">
        <f>IF(Contagem!B886=0,"",Contagem!B886)</f>
        <v/>
      </c>
      <c r="C888" s="242" t="str">
        <f>IF(Contagem!T886 &gt; 0,Contagem!T886,"")</f>
        <v/>
      </c>
      <c r="D888" s="207"/>
      <c r="E888" s="211" t="str">
        <f t="shared" si="130"/>
        <v/>
      </c>
      <c r="F888" s="207"/>
      <c r="G888" s="211" t="str">
        <f t="shared" si="131"/>
        <v/>
      </c>
      <c r="H888" s="207"/>
      <c r="I888" s="211" t="str">
        <f t="shared" si="132"/>
        <v/>
      </c>
      <c r="J888" s="207"/>
      <c r="K888" s="211" t="str">
        <f t="shared" si="133"/>
        <v/>
      </c>
      <c r="L888" s="207"/>
      <c r="M888" s="211" t="str">
        <f t="shared" si="134"/>
        <v/>
      </c>
      <c r="N888" s="207"/>
      <c r="O888" s="211" t="str">
        <f t="shared" si="135"/>
        <v/>
      </c>
      <c r="P888" s="207"/>
      <c r="Q888" s="211" t="str">
        <f t="shared" si="136"/>
        <v/>
      </c>
      <c r="R888" s="207"/>
      <c r="S888" s="211" t="str">
        <f t="shared" si="137"/>
        <v/>
      </c>
      <c r="T888" s="272" t="str">
        <f t="shared" si="138"/>
        <v/>
      </c>
      <c r="U888" s="212" t="str">
        <f t="shared" si="139"/>
        <v/>
      </c>
    </row>
    <row r="889" spans="2:21" x14ac:dyDescent="0.25">
      <c r="B889" s="241" t="str">
        <f>IF(Contagem!B887=0,"",Contagem!B887)</f>
        <v/>
      </c>
      <c r="C889" s="242" t="str">
        <f>IF(Contagem!T887 &gt; 0,Contagem!T887,"")</f>
        <v/>
      </c>
      <c r="D889" s="207"/>
      <c r="E889" s="211" t="str">
        <f t="shared" si="130"/>
        <v/>
      </c>
      <c r="F889" s="207"/>
      <c r="G889" s="211" t="str">
        <f t="shared" si="131"/>
        <v/>
      </c>
      <c r="H889" s="207"/>
      <c r="I889" s="211" t="str">
        <f t="shared" si="132"/>
        <v/>
      </c>
      <c r="J889" s="207"/>
      <c r="K889" s="211" t="str">
        <f t="shared" si="133"/>
        <v/>
      </c>
      <c r="L889" s="207"/>
      <c r="M889" s="211" t="str">
        <f t="shared" si="134"/>
        <v/>
      </c>
      <c r="N889" s="207"/>
      <c r="O889" s="211" t="str">
        <f t="shared" si="135"/>
        <v/>
      </c>
      <c r="P889" s="207"/>
      <c r="Q889" s="211" t="str">
        <f t="shared" si="136"/>
        <v/>
      </c>
      <c r="R889" s="207"/>
      <c r="S889" s="211" t="str">
        <f t="shared" si="137"/>
        <v/>
      </c>
      <c r="T889" s="272" t="str">
        <f t="shared" si="138"/>
        <v/>
      </c>
      <c r="U889" s="212" t="str">
        <f t="shared" si="139"/>
        <v/>
      </c>
    </row>
    <row r="890" spans="2:21" x14ac:dyDescent="0.25">
      <c r="B890" s="241" t="str">
        <f>IF(Contagem!B888=0,"",Contagem!B888)</f>
        <v/>
      </c>
      <c r="C890" s="242" t="str">
        <f>IF(Contagem!T888 &gt; 0,Contagem!T888,"")</f>
        <v/>
      </c>
      <c r="D890" s="207"/>
      <c r="E890" s="211" t="str">
        <f t="shared" si="130"/>
        <v/>
      </c>
      <c r="F890" s="207"/>
      <c r="G890" s="211" t="str">
        <f t="shared" si="131"/>
        <v/>
      </c>
      <c r="H890" s="207"/>
      <c r="I890" s="211" t="str">
        <f t="shared" si="132"/>
        <v/>
      </c>
      <c r="J890" s="207"/>
      <c r="K890" s="211" t="str">
        <f t="shared" si="133"/>
        <v/>
      </c>
      <c r="L890" s="207"/>
      <c r="M890" s="211" t="str">
        <f t="shared" si="134"/>
        <v/>
      </c>
      <c r="N890" s="207"/>
      <c r="O890" s="211" t="str">
        <f t="shared" si="135"/>
        <v/>
      </c>
      <c r="P890" s="207"/>
      <c r="Q890" s="211" t="str">
        <f t="shared" si="136"/>
        <v/>
      </c>
      <c r="R890" s="207"/>
      <c r="S890" s="211" t="str">
        <f t="shared" si="137"/>
        <v/>
      </c>
      <c r="T890" s="272" t="str">
        <f t="shared" si="138"/>
        <v/>
      </c>
      <c r="U890" s="212" t="str">
        <f t="shared" si="139"/>
        <v/>
      </c>
    </row>
    <row r="891" spans="2:21" x14ac:dyDescent="0.25">
      <c r="B891" s="241" t="str">
        <f>IF(Contagem!B889=0,"",Contagem!B889)</f>
        <v/>
      </c>
      <c r="C891" s="242" t="str">
        <f>IF(Contagem!T889 &gt; 0,Contagem!T889,"")</f>
        <v/>
      </c>
      <c r="D891" s="207"/>
      <c r="E891" s="211" t="str">
        <f t="shared" si="130"/>
        <v/>
      </c>
      <c r="F891" s="207"/>
      <c r="G891" s="211" t="str">
        <f t="shared" si="131"/>
        <v/>
      </c>
      <c r="H891" s="207"/>
      <c r="I891" s="211" t="str">
        <f t="shared" si="132"/>
        <v/>
      </c>
      <c r="J891" s="207"/>
      <c r="K891" s="211" t="str">
        <f t="shared" si="133"/>
        <v/>
      </c>
      <c r="L891" s="207"/>
      <c r="M891" s="211" t="str">
        <f t="shared" si="134"/>
        <v/>
      </c>
      <c r="N891" s="207"/>
      <c r="O891" s="211" t="str">
        <f t="shared" si="135"/>
        <v/>
      </c>
      <c r="P891" s="207"/>
      <c r="Q891" s="211" t="str">
        <f t="shared" si="136"/>
        <v/>
      </c>
      <c r="R891" s="207"/>
      <c r="S891" s="211" t="str">
        <f t="shared" si="137"/>
        <v/>
      </c>
      <c r="T891" s="272" t="str">
        <f t="shared" si="138"/>
        <v/>
      </c>
      <c r="U891" s="212" t="str">
        <f t="shared" si="139"/>
        <v/>
      </c>
    </row>
    <row r="892" spans="2:21" x14ac:dyDescent="0.25">
      <c r="B892" s="241" t="str">
        <f>IF(Contagem!B890=0,"",Contagem!B890)</f>
        <v/>
      </c>
      <c r="C892" s="242" t="str">
        <f>IF(Contagem!T890 &gt; 0,Contagem!T890,"")</f>
        <v/>
      </c>
      <c r="D892" s="207"/>
      <c r="E892" s="211" t="str">
        <f t="shared" si="130"/>
        <v/>
      </c>
      <c r="F892" s="207"/>
      <c r="G892" s="211" t="str">
        <f t="shared" si="131"/>
        <v/>
      </c>
      <c r="H892" s="207"/>
      <c r="I892" s="211" t="str">
        <f t="shared" si="132"/>
        <v/>
      </c>
      <c r="J892" s="207"/>
      <c r="K892" s="211" t="str">
        <f t="shared" si="133"/>
        <v/>
      </c>
      <c r="L892" s="207"/>
      <c r="M892" s="211" t="str">
        <f t="shared" si="134"/>
        <v/>
      </c>
      <c r="N892" s="207"/>
      <c r="O892" s="211" t="str">
        <f t="shared" si="135"/>
        <v/>
      </c>
      <c r="P892" s="207"/>
      <c r="Q892" s="211" t="str">
        <f t="shared" si="136"/>
        <v/>
      </c>
      <c r="R892" s="207"/>
      <c r="S892" s="211" t="str">
        <f t="shared" si="137"/>
        <v/>
      </c>
      <c r="T892" s="272" t="str">
        <f t="shared" si="138"/>
        <v/>
      </c>
      <c r="U892" s="212" t="str">
        <f t="shared" si="139"/>
        <v/>
      </c>
    </row>
    <row r="893" spans="2:21" x14ac:dyDescent="0.25">
      <c r="B893" s="241" t="str">
        <f>IF(Contagem!B891=0,"",Contagem!B891)</f>
        <v/>
      </c>
      <c r="C893" s="242" t="str">
        <f>IF(Contagem!T891 &gt; 0,Contagem!T891,"")</f>
        <v/>
      </c>
      <c r="D893" s="207"/>
      <c r="E893" s="211" t="str">
        <f t="shared" si="130"/>
        <v/>
      </c>
      <c r="F893" s="207"/>
      <c r="G893" s="211" t="str">
        <f t="shared" si="131"/>
        <v/>
      </c>
      <c r="H893" s="207"/>
      <c r="I893" s="211" t="str">
        <f t="shared" si="132"/>
        <v/>
      </c>
      <c r="J893" s="207"/>
      <c r="K893" s="211" t="str">
        <f t="shared" si="133"/>
        <v/>
      </c>
      <c r="L893" s="207"/>
      <c r="M893" s="211" t="str">
        <f t="shared" si="134"/>
        <v/>
      </c>
      <c r="N893" s="207"/>
      <c r="O893" s="211" t="str">
        <f t="shared" si="135"/>
        <v/>
      </c>
      <c r="P893" s="207"/>
      <c r="Q893" s="211" t="str">
        <f t="shared" si="136"/>
        <v/>
      </c>
      <c r="R893" s="207"/>
      <c r="S893" s="211" t="str">
        <f t="shared" si="137"/>
        <v/>
      </c>
      <c r="T893" s="272" t="str">
        <f t="shared" si="138"/>
        <v/>
      </c>
      <c r="U893" s="212" t="str">
        <f t="shared" si="139"/>
        <v/>
      </c>
    </row>
    <row r="894" spans="2:21" x14ac:dyDescent="0.25">
      <c r="B894" s="241" t="str">
        <f>IF(Contagem!B892=0,"",Contagem!B892)</f>
        <v/>
      </c>
      <c r="C894" s="242" t="str">
        <f>IF(Contagem!T892 &gt; 0,Contagem!T892,"")</f>
        <v/>
      </c>
      <c r="D894" s="207"/>
      <c r="E894" s="211" t="str">
        <f t="shared" si="130"/>
        <v/>
      </c>
      <c r="F894" s="207"/>
      <c r="G894" s="211" t="str">
        <f t="shared" si="131"/>
        <v/>
      </c>
      <c r="H894" s="207"/>
      <c r="I894" s="211" t="str">
        <f t="shared" si="132"/>
        <v/>
      </c>
      <c r="J894" s="207"/>
      <c r="K894" s="211" t="str">
        <f t="shared" si="133"/>
        <v/>
      </c>
      <c r="L894" s="207"/>
      <c r="M894" s="211" t="str">
        <f t="shared" si="134"/>
        <v/>
      </c>
      <c r="N894" s="207"/>
      <c r="O894" s="211" t="str">
        <f t="shared" si="135"/>
        <v/>
      </c>
      <c r="P894" s="207"/>
      <c r="Q894" s="211" t="str">
        <f t="shared" si="136"/>
        <v/>
      </c>
      <c r="R894" s="207"/>
      <c r="S894" s="211" t="str">
        <f t="shared" si="137"/>
        <v/>
      </c>
      <c r="T894" s="272" t="str">
        <f t="shared" si="138"/>
        <v/>
      </c>
      <c r="U894" s="212" t="str">
        <f t="shared" si="139"/>
        <v/>
      </c>
    </row>
    <row r="895" spans="2:21" x14ac:dyDescent="0.25">
      <c r="B895" s="241" t="str">
        <f>IF(Contagem!B893=0,"",Contagem!B893)</f>
        <v/>
      </c>
      <c r="C895" s="242" t="str">
        <f>IF(Contagem!T893 &gt; 0,Contagem!T893,"")</f>
        <v/>
      </c>
      <c r="D895" s="207"/>
      <c r="E895" s="211" t="str">
        <f t="shared" si="130"/>
        <v/>
      </c>
      <c r="F895" s="207"/>
      <c r="G895" s="211" t="str">
        <f t="shared" si="131"/>
        <v/>
      </c>
      <c r="H895" s="207"/>
      <c r="I895" s="211" t="str">
        <f t="shared" si="132"/>
        <v/>
      </c>
      <c r="J895" s="207"/>
      <c r="K895" s="211" t="str">
        <f t="shared" si="133"/>
        <v/>
      </c>
      <c r="L895" s="207"/>
      <c r="M895" s="211" t="str">
        <f t="shared" si="134"/>
        <v/>
      </c>
      <c r="N895" s="207"/>
      <c r="O895" s="211" t="str">
        <f t="shared" si="135"/>
        <v/>
      </c>
      <c r="P895" s="207"/>
      <c r="Q895" s="211" t="str">
        <f t="shared" si="136"/>
        <v/>
      </c>
      <c r="R895" s="207"/>
      <c r="S895" s="211" t="str">
        <f t="shared" si="137"/>
        <v/>
      </c>
      <c r="T895" s="272" t="str">
        <f t="shared" si="138"/>
        <v/>
      </c>
      <c r="U895" s="212" t="str">
        <f t="shared" si="139"/>
        <v/>
      </c>
    </row>
    <row r="896" spans="2:21" x14ac:dyDescent="0.25">
      <c r="B896" s="241" t="str">
        <f>IF(Contagem!B894=0,"",Contagem!B894)</f>
        <v/>
      </c>
      <c r="C896" s="242" t="str">
        <f>IF(Contagem!T894 &gt; 0,Contagem!T894,"")</f>
        <v/>
      </c>
      <c r="D896" s="207"/>
      <c r="E896" s="211" t="str">
        <f t="shared" si="130"/>
        <v/>
      </c>
      <c r="F896" s="207"/>
      <c r="G896" s="211" t="str">
        <f t="shared" si="131"/>
        <v/>
      </c>
      <c r="H896" s="207"/>
      <c r="I896" s="211" t="str">
        <f t="shared" si="132"/>
        <v/>
      </c>
      <c r="J896" s="207"/>
      <c r="K896" s="211" t="str">
        <f t="shared" si="133"/>
        <v/>
      </c>
      <c r="L896" s="207"/>
      <c r="M896" s="211" t="str">
        <f t="shared" si="134"/>
        <v/>
      </c>
      <c r="N896" s="207"/>
      <c r="O896" s="211" t="str">
        <f t="shared" si="135"/>
        <v/>
      </c>
      <c r="P896" s="207"/>
      <c r="Q896" s="211" t="str">
        <f t="shared" si="136"/>
        <v/>
      </c>
      <c r="R896" s="207"/>
      <c r="S896" s="211" t="str">
        <f t="shared" si="137"/>
        <v/>
      </c>
      <c r="T896" s="272" t="str">
        <f t="shared" si="138"/>
        <v/>
      </c>
      <c r="U896" s="212" t="str">
        <f t="shared" si="139"/>
        <v/>
      </c>
    </row>
    <row r="897" spans="2:21" x14ac:dyDescent="0.25">
      <c r="B897" s="241" t="str">
        <f>IF(Contagem!B895=0,"",Contagem!B895)</f>
        <v/>
      </c>
      <c r="C897" s="242" t="str">
        <f>IF(Contagem!T895 &gt; 0,Contagem!T895,"")</f>
        <v/>
      </c>
      <c r="D897" s="207"/>
      <c r="E897" s="211" t="str">
        <f t="shared" si="130"/>
        <v/>
      </c>
      <c r="F897" s="207"/>
      <c r="G897" s="211" t="str">
        <f t="shared" si="131"/>
        <v/>
      </c>
      <c r="H897" s="207"/>
      <c r="I897" s="211" t="str">
        <f t="shared" si="132"/>
        <v/>
      </c>
      <c r="J897" s="207"/>
      <c r="K897" s="211" t="str">
        <f t="shared" si="133"/>
        <v/>
      </c>
      <c r="L897" s="207"/>
      <c r="M897" s="211" t="str">
        <f t="shared" si="134"/>
        <v/>
      </c>
      <c r="N897" s="207"/>
      <c r="O897" s="211" t="str">
        <f t="shared" si="135"/>
        <v/>
      </c>
      <c r="P897" s="207"/>
      <c r="Q897" s="211" t="str">
        <f t="shared" si="136"/>
        <v/>
      </c>
      <c r="R897" s="207"/>
      <c r="S897" s="211" t="str">
        <f t="shared" si="137"/>
        <v/>
      </c>
      <c r="T897" s="272" t="str">
        <f t="shared" si="138"/>
        <v/>
      </c>
      <c r="U897" s="212" t="str">
        <f t="shared" si="139"/>
        <v/>
      </c>
    </row>
    <row r="898" spans="2:21" x14ac:dyDescent="0.25">
      <c r="B898" s="241" t="str">
        <f>IF(Contagem!B896=0,"",Contagem!B896)</f>
        <v/>
      </c>
      <c r="C898" s="242" t="str">
        <f>IF(Contagem!T896 &gt; 0,Contagem!T896,"")</f>
        <v/>
      </c>
      <c r="D898" s="207"/>
      <c r="E898" s="211" t="str">
        <f t="shared" si="130"/>
        <v/>
      </c>
      <c r="F898" s="207"/>
      <c r="G898" s="211" t="str">
        <f t="shared" si="131"/>
        <v/>
      </c>
      <c r="H898" s="207"/>
      <c r="I898" s="211" t="str">
        <f t="shared" si="132"/>
        <v/>
      </c>
      <c r="J898" s="207"/>
      <c r="K898" s="211" t="str">
        <f t="shared" si="133"/>
        <v/>
      </c>
      <c r="L898" s="207"/>
      <c r="M898" s="211" t="str">
        <f t="shared" si="134"/>
        <v/>
      </c>
      <c r="N898" s="207"/>
      <c r="O898" s="211" t="str">
        <f t="shared" si="135"/>
        <v/>
      </c>
      <c r="P898" s="207"/>
      <c r="Q898" s="211" t="str">
        <f t="shared" si="136"/>
        <v/>
      </c>
      <c r="R898" s="207"/>
      <c r="S898" s="211" t="str">
        <f t="shared" si="137"/>
        <v/>
      </c>
      <c r="T898" s="272" t="str">
        <f t="shared" si="138"/>
        <v/>
      </c>
      <c r="U898" s="212" t="str">
        <f t="shared" si="139"/>
        <v/>
      </c>
    </row>
    <row r="899" spans="2:21" x14ac:dyDescent="0.25">
      <c r="B899" s="241" t="str">
        <f>IF(Contagem!B897=0,"",Contagem!B897)</f>
        <v/>
      </c>
      <c r="C899" s="242" t="str">
        <f>IF(Contagem!T897 &gt; 0,Contagem!T897,"")</f>
        <v/>
      </c>
      <c r="D899" s="207"/>
      <c r="E899" s="211" t="str">
        <f t="shared" si="130"/>
        <v/>
      </c>
      <c r="F899" s="207"/>
      <c r="G899" s="211" t="str">
        <f t="shared" si="131"/>
        <v/>
      </c>
      <c r="H899" s="207"/>
      <c r="I899" s="211" t="str">
        <f t="shared" si="132"/>
        <v/>
      </c>
      <c r="J899" s="207"/>
      <c r="K899" s="211" t="str">
        <f t="shared" si="133"/>
        <v/>
      </c>
      <c r="L899" s="207"/>
      <c r="M899" s="211" t="str">
        <f t="shared" si="134"/>
        <v/>
      </c>
      <c r="N899" s="207"/>
      <c r="O899" s="211" t="str">
        <f t="shared" si="135"/>
        <v/>
      </c>
      <c r="P899" s="207"/>
      <c r="Q899" s="211" t="str">
        <f t="shared" si="136"/>
        <v/>
      </c>
      <c r="R899" s="207"/>
      <c r="S899" s="211" t="str">
        <f t="shared" si="137"/>
        <v/>
      </c>
      <c r="T899" s="272" t="str">
        <f t="shared" si="138"/>
        <v/>
      </c>
      <c r="U899" s="212" t="str">
        <f t="shared" si="139"/>
        <v/>
      </c>
    </row>
    <row r="900" spans="2:21" x14ac:dyDescent="0.25">
      <c r="B900" s="241" t="str">
        <f>IF(Contagem!B898=0,"",Contagem!B898)</f>
        <v/>
      </c>
      <c r="C900" s="242" t="str">
        <f>IF(Contagem!T898 &gt; 0,Contagem!T898,"")</f>
        <v/>
      </c>
      <c r="D900" s="207"/>
      <c r="E900" s="211" t="str">
        <f t="shared" si="130"/>
        <v/>
      </c>
      <c r="F900" s="207"/>
      <c r="G900" s="211" t="str">
        <f t="shared" si="131"/>
        <v/>
      </c>
      <c r="H900" s="207"/>
      <c r="I900" s="211" t="str">
        <f t="shared" si="132"/>
        <v/>
      </c>
      <c r="J900" s="207"/>
      <c r="K900" s="211" t="str">
        <f t="shared" si="133"/>
        <v/>
      </c>
      <c r="L900" s="207"/>
      <c r="M900" s="211" t="str">
        <f t="shared" si="134"/>
        <v/>
      </c>
      <c r="N900" s="207"/>
      <c r="O900" s="211" t="str">
        <f t="shared" si="135"/>
        <v/>
      </c>
      <c r="P900" s="207"/>
      <c r="Q900" s="211" t="str">
        <f t="shared" si="136"/>
        <v/>
      </c>
      <c r="R900" s="207"/>
      <c r="S900" s="211" t="str">
        <f t="shared" si="137"/>
        <v/>
      </c>
      <c r="T900" s="272" t="str">
        <f t="shared" si="138"/>
        <v/>
      </c>
      <c r="U900" s="212" t="str">
        <f t="shared" si="139"/>
        <v/>
      </c>
    </row>
    <row r="901" spans="2:21" x14ac:dyDescent="0.25">
      <c r="B901" s="241" t="str">
        <f>IF(Contagem!B899=0,"",Contagem!B899)</f>
        <v/>
      </c>
      <c r="C901" s="242" t="str">
        <f>IF(Contagem!T899 &gt; 0,Contagem!T899,"")</f>
        <v/>
      </c>
      <c r="D901" s="207"/>
      <c r="E901" s="211" t="str">
        <f t="shared" si="130"/>
        <v/>
      </c>
      <c r="F901" s="207"/>
      <c r="G901" s="211" t="str">
        <f t="shared" si="131"/>
        <v/>
      </c>
      <c r="H901" s="207"/>
      <c r="I901" s="211" t="str">
        <f t="shared" si="132"/>
        <v/>
      </c>
      <c r="J901" s="207"/>
      <c r="K901" s="211" t="str">
        <f t="shared" si="133"/>
        <v/>
      </c>
      <c r="L901" s="207"/>
      <c r="M901" s="211" t="str">
        <f t="shared" si="134"/>
        <v/>
      </c>
      <c r="N901" s="207"/>
      <c r="O901" s="211" t="str">
        <f t="shared" si="135"/>
        <v/>
      </c>
      <c r="P901" s="207"/>
      <c r="Q901" s="211" t="str">
        <f t="shared" si="136"/>
        <v/>
      </c>
      <c r="R901" s="207"/>
      <c r="S901" s="211" t="str">
        <f t="shared" si="137"/>
        <v/>
      </c>
      <c r="T901" s="272" t="str">
        <f t="shared" si="138"/>
        <v/>
      </c>
      <c r="U901" s="212" t="str">
        <f t="shared" si="139"/>
        <v/>
      </c>
    </row>
    <row r="902" spans="2:21" x14ac:dyDescent="0.25">
      <c r="B902" s="241" t="str">
        <f>IF(Contagem!B900=0,"",Contagem!B900)</f>
        <v/>
      </c>
      <c r="C902" s="242" t="str">
        <f>IF(Contagem!T900 &gt; 0,Contagem!T900,"")</f>
        <v/>
      </c>
      <c r="D902" s="207"/>
      <c r="E902" s="211" t="str">
        <f t="shared" si="130"/>
        <v/>
      </c>
      <c r="F902" s="207"/>
      <c r="G902" s="211" t="str">
        <f t="shared" si="131"/>
        <v/>
      </c>
      <c r="H902" s="207"/>
      <c r="I902" s="211" t="str">
        <f t="shared" si="132"/>
        <v/>
      </c>
      <c r="J902" s="207"/>
      <c r="K902" s="211" t="str">
        <f t="shared" si="133"/>
        <v/>
      </c>
      <c r="L902" s="207"/>
      <c r="M902" s="211" t="str">
        <f t="shared" si="134"/>
        <v/>
      </c>
      <c r="N902" s="207"/>
      <c r="O902" s="211" t="str">
        <f t="shared" si="135"/>
        <v/>
      </c>
      <c r="P902" s="207"/>
      <c r="Q902" s="211" t="str">
        <f t="shared" si="136"/>
        <v/>
      </c>
      <c r="R902" s="207"/>
      <c r="S902" s="211" t="str">
        <f t="shared" si="137"/>
        <v/>
      </c>
      <c r="T902" s="272" t="str">
        <f t="shared" si="138"/>
        <v/>
      </c>
      <c r="U902" s="212" t="str">
        <f t="shared" si="139"/>
        <v/>
      </c>
    </row>
    <row r="903" spans="2:21" x14ac:dyDescent="0.25">
      <c r="B903" s="241" t="str">
        <f>IF(Contagem!B901=0,"",Contagem!B901)</f>
        <v/>
      </c>
      <c r="C903" s="242" t="str">
        <f>IF(Contagem!T901 &gt; 0,Contagem!T901,"")</f>
        <v/>
      </c>
      <c r="D903" s="207"/>
      <c r="E903" s="211" t="str">
        <f t="shared" ref="E903:E941" si="140">IFERROR(IF(AND($D$4&lt;&gt; 0,D903="Sim", $C903 &gt; 0),$C903*$D$4,""),0)</f>
        <v/>
      </c>
      <c r="F903" s="207"/>
      <c r="G903" s="211" t="str">
        <f t="shared" ref="G903:G941" si="141">IFERROR(IF(AND($F$4&lt;&gt; 0,F903="Sim", $C903 &gt; 0),$C903*$F$4,""),0)</f>
        <v/>
      </c>
      <c r="H903" s="207"/>
      <c r="I903" s="211" t="str">
        <f t="shared" ref="I903:I941" si="142">IFERROR(IF(AND($H$4&lt;&gt; 0,H903="Sim", $C903 &gt; 0),$C903*$H$4,""),0)</f>
        <v/>
      </c>
      <c r="J903" s="207"/>
      <c r="K903" s="211" t="str">
        <f t="shared" ref="K903:K941" si="143">IFERROR(IF(AND($J$4&lt;&gt; 0,J903="Sim", $C903 &gt; 0),$C903*$J$4,""),0)</f>
        <v/>
      </c>
      <c r="L903" s="207"/>
      <c r="M903" s="211" t="str">
        <f t="shared" ref="M903:M941" si="144">IFERROR(IF(AND($L$4&lt;&gt; 0,L903="Sim", $C903 &gt; 0),$C903*$L$4,""),0)</f>
        <v/>
      </c>
      <c r="N903" s="207"/>
      <c r="O903" s="211" t="str">
        <f t="shared" ref="O903:O941" si="145">IFERROR(IF(AND($N$4&lt;&gt; 0,N903="Sim", $C903 &gt; 0),$C903*$N$4,""),0)</f>
        <v/>
      </c>
      <c r="P903" s="207"/>
      <c r="Q903" s="211" t="str">
        <f t="shared" ref="Q903:Q941" si="146">IFERROR(IF(AND($P$4&lt;&gt; 0,P903="Sim", $C903 &gt; 0),$C903*$P$4,""),0)</f>
        <v/>
      </c>
      <c r="R903" s="207"/>
      <c r="S903" s="211" t="str">
        <f t="shared" ref="S903:S941" si="147">IFERROR(IF(AND($R$4&lt;&gt; 0,R903="Sim", $C903 &gt; 0),$C903*$R$4,""),0)</f>
        <v/>
      </c>
      <c r="T903" s="272" t="str">
        <f t="shared" ref="T903:T941" si="148">IFERROR(U903/C903,"")</f>
        <v/>
      </c>
      <c r="U903" s="212" t="str">
        <f t="shared" ref="U903:U941" si="149">IF(SUM(E903,G903,I903,K903,M903,O903,Q903,S903) &gt; 0,SUM(E903,G903,I903,K903,M903,O903,Q903,S903),"")</f>
        <v/>
      </c>
    </row>
    <row r="904" spans="2:21" x14ac:dyDescent="0.25">
      <c r="B904" s="241" t="str">
        <f>IF(Contagem!B902=0,"",Contagem!B902)</f>
        <v/>
      </c>
      <c r="C904" s="242" t="str">
        <f>IF(Contagem!T902 &gt; 0,Contagem!T902,"")</f>
        <v/>
      </c>
      <c r="D904" s="207"/>
      <c r="E904" s="211" t="str">
        <f t="shared" si="140"/>
        <v/>
      </c>
      <c r="F904" s="207"/>
      <c r="G904" s="211" t="str">
        <f t="shared" si="141"/>
        <v/>
      </c>
      <c r="H904" s="207"/>
      <c r="I904" s="211" t="str">
        <f t="shared" si="142"/>
        <v/>
      </c>
      <c r="J904" s="207"/>
      <c r="K904" s="211" t="str">
        <f t="shared" si="143"/>
        <v/>
      </c>
      <c r="L904" s="207"/>
      <c r="M904" s="211" t="str">
        <f t="shared" si="144"/>
        <v/>
      </c>
      <c r="N904" s="207"/>
      <c r="O904" s="211" t="str">
        <f t="shared" si="145"/>
        <v/>
      </c>
      <c r="P904" s="207"/>
      <c r="Q904" s="211" t="str">
        <f t="shared" si="146"/>
        <v/>
      </c>
      <c r="R904" s="207"/>
      <c r="S904" s="211" t="str">
        <f t="shared" si="147"/>
        <v/>
      </c>
      <c r="T904" s="272" t="str">
        <f t="shared" si="148"/>
        <v/>
      </c>
      <c r="U904" s="212" t="str">
        <f t="shared" si="149"/>
        <v/>
      </c>
    </row>
    <row r="905" spans="2:21" x14ac:dyDescent="0.25">
      <c r="B905" s="241" t="str">
        <f>IF(Contagem!B903=0,"",Contagem!B903)</f>
        <v/>
      </c>
      <c r="C905" s="242" t="str">
        <f>IF(Contagem!T903 &gt; 0,Contagem!T903,"")</f>
        <v/>
      </c>
      <c r="D905" s="207"/>
      <c r="E905" s="211" t="str">
        <f t="shared" si="140"/>
        <v/>
      </c>
      <c r="F905" s="207"/>
      <c r="G905" s="211" t="str">
        <f t="shared" si="141"/>
        <v/>
      </c>
      <c r="H905" s="207"/>
      <c r="I905" s="211" t="str">
        <f t="shared" si="142"/>
        <v/>
      </c>
      <c r="J905" s="207"/>
      <c r="K905" s="211" t="str">
        <f t="shared" si="143"/>
        <v/>
      </c>
      <c r="L905" s="207"/>
      <c r="M905" s="211" t="str">
        <f t="shared" si="144"/>
        <v/>
      </c>
      <c r="N905" s="207"/>
      <c r="O905" s="211" t="str">
        <f t="shared" si="145"/>
        <v/>
      </c>
      <c r="P905" s="207"/>
      <c r="Q905" s="211" t="str">
        <f t="shared" si="146"/>
        <v/>
      </c>
      <c r="R905" s="207"/>
      <c r="S905" s="211" t="str">
        <f t="shared" si="147"/>
        <v/>
      </c>
      <c r="T905" s="272" t="str">
        <f t="shared" si="148"/>
        <v/>
      </c>
      <c r="U905" s="212" t="str">
        <f t="shared" si="149"/>
        <v/>
      </c>
    </row>
    <row r="906" spans="2:21" x14ac:dyDescent="0.25">
      <c r="B906" s="241" t="str">
        <f>IF(Contagem!B904=0,"",Contagem!B904)</f>
        <v/>
      </c>
      <c r="C906" s="242" t="str">
        <f>IF(Contagem!T904 &gt; 0,Contagem!T904,"")</f>
        <v/>
      </c>
      <c r="D906" s="207"/>
      <c r="E906" s="211" t="str">
        <f t="shared" si="140"/>
        <v/>
      </c>
      <c r="F906" s="207"/>
      <c r="G906" s="211" t="str">
        <f t="shared" si="141"/>
        <v/>
      </c>
      <c r="H906" s="207"/>
      <c r="I906" s="211" t="str">
        <f t="shared" si="142"/>
        <v/>
      </c>
      <c r="J906" s="207"/>
      <c r="K906" s="211" t="str">
        <f t="shared" si="143"/>
        <v/>
      </c>
      <c r="L906" s="207"/>
      <c r="M906" s="211" t="str">
        <f t="shared" si="144"/>
        <v/>
      </c>
      <c r="N906" s="207"/>
      <c r="O906" s="211" t="str">
        <f t="shared" si="145"/>
        <v/>
      </c>
      <c r="P906" s="207"/>
      <c r="Q906" s="211" t="str">
        <f t="shared" si="146"/>
        <v/>
      </c>
      <c r="R906" s="207"/>
      <c r="S906" s="211" t="str">
        <f t="shared" si="147"/>
        <v/>
      </c>
      <c r="T906" s="272" t="str">
        <f t="shared" si="148"/>
        <v/>
      </c>
      <c r="U906" s="212" t="str">
        <f t="shared" si="149"/>
        <v/>
      </c>
    </row>
    <row r="907" spans="2:21" x14ac:dyDescent="0.25">
      <c r="B907" s="241" t="str">
        <f>IF(Contagem!B905=0,"",Contagem!B905)</f>
        <v/>
      </c>
      <c r="C907" s="242" t="str">
        <f>IF(Contagem!T905 &gt; 0,Contagem!T905,"")</f>
        <v/>
      </c>
      <c r="D907" s="207"/>
      <c r="E907" s="211" t="str">
        <f t="shared" si="140"/>
        <v/>
      </c>
      <c r="F907" s="207"/>
      <c r="G907" s="211" t="str">
        <f t="shared" si="141"/>
        <v/>
      </c>
      <c r="H907" s="207"/>
      <c r="I907" s="211" t="str">
        <f t="shared" si="142"/>
        <v/>
      </c>
      <c r="J907" s="207"/>
      <c r="K907" s="211" t="str">
        <f t="shared" si="143"/>
        <v/>
      </c>
      <c r="L907" s="207"/>
      <c r="M907" s="211" t="str">
        <f t="shared" si="144"/>
        <v/>
      </c>
      <c r="N907" s="207"/>
      <c r="O907" s="211" t="str">
        <f t="shared" si="145"/>
        <v/>
      </c>
      <c r="P907" s="207"/>
      <c r="Q907" s="211" t="str">
        <f t="shared" si="146"/>
        <v/>
      </c>
      <c r="R907" s="207"/>
      <c r="S907" s="211" t="str">
        <f t="shared" si="147"/>
        <v/>
      </c>
      <c r="T907" s="272" t="str">
        <f t="shared" si="148"/>
        <v/>
      </c>
      <c r="U907" s="212" t="str">
        <f t="shared" si="149"/>
        <v/>
      </c>
    </row>
    <row r="908" spans="2:21" x14ac:dyDescent="0.25">
      <c r="B908" s="241" t="str">
        <f>IF(Contagem!B906=0,"",Contagem!B906)</f>
        <v/>
      </c>
      <c r="C908" s="242" t="str">
        <f>IF(Contagem!T906 &gt; 0,Contagem!T906,"")</f>
        <v/>
      </c>
      <c r="D908" s="207"/>
      <c r="E908" s="211" t="str">
        <f t="shared" si="140"/>
        <v/>
      </c>
      <c r="F908" s="207"/>
      <c r="G908" s="211" t="str">
        <f t="shared" si="141"/>
        <v/>
      </c>
      <c r="H908" s="207"/>
      <c r="I908" s="211" t="str">
        <f t="shared" si="142"/>
        <v/>
      </c>
      <c r="J908" s="207"/>
      <c r="K908" s="211" t="str">
        <f t="shared" si="143"/>
        <v/>
      </c>
      <c r="L908" s="207"/>
      <c r="M908" s="211" t="str">
        <f t="shared" si="144"/>
        <v/>
      </c>
      <c r="N908" s="207"/>
      <c r="O908" s="211" t="str">
        <f t="shared" si="145"/>
        <v/>
      </c>
      <c r="P908" s="207"/>
      <c r="Q908" s="211" t="str">
        <f t="shared" si="146"/>
        <v/>
      </c>
      <c r="R908" s="207"/>
      <c r="S908" s="211" t="str">
        <f t="shared" si="147"/>
        <v/>
      </c>
      <c r="T908" s="272" t="str">
        <f t="shared" si="148"/>
        <v/>
      </c>
      <c r="U908" s="212" t="str">
        <f t="shared" si="149"/>
        <v/>
      </c>
    </row>
    <row r="909" spans="2:21" x14ac:dyDescent="0.25">
      <c r="B909" s="241" t="str">
        <f>IF(Contagem!B907=0,"",Contagem!B907)</f>
        <v/>
      </c>
      <c r="C909" s="242" t="str">
        <f>IF(Contagem!T907 &gt; 0,Contagem!T907,"")</f>
        <v/>
      </c>
      <c r="D909" s="207"/>
      <c r="E909" s="211" t="str">
        <f t="shared" si="140"/>
        <v/>
      </c>
      <c r="F909" s="207"/>
      <c r="G909" s="211" t="str">
        <f t="shared" si="141"/>
        <v/>
      </c>
      <c r="H909" s="207"/>
      <c r="I909" s="211" t="str">
        <f t="shared" si="142"/>
        <v/>
      </c>
      <c r="J909" s="207"/>
      <c r="K909" s="211" t="str">
        <f t="shared" si="143"/>
        <v/>
      </c>
      <c r="L909" s="207"/>
      <c r="M909" s="211" t="str">
        <f t="shared" si="144"/>
        <v/>
      </c>
      <c r="N909" s="207"/>
      <c r="O909" s="211" t="str">
        <f t="shared" si="145"/>
        <v/>
      </c>
      <c r="P909" s="207"/>
      <c r="Q909" s="211" t="str">
        <f t="shared" si="146"/>
        <v/>
      </c>
      <c r="R909" s="207"/>
      <c r="S909" s="211" t="str">
        <f t="shared" si="147"/>
        <v/>
      </c>
      <c r="T909" s="272" t="str">
        <f t="shared" si="148"/>
        <v/>
      </c>
      <c r="U909" s="212" t="str">
        <f t="shared" si="149"/>
        <v/>
      </c>
    </row>
    <row r="910" spans="2:21" x14ac:dyDescent="0.25">
      <c r="B910" s="241" t="str">
        <f>IF(Contagem!B908=0,"",Contagem!B908)</f>
        <v/>
      </c>
      <c r="C910" s="242" t="str">
        <f>IF(Contagem!T908 &gt; 0,Contagem!T908,"")</f>
        <v/>
      </c>
      <c r="D910" s="207"/>
      <c r="E910" s="211" t="str">
        <f t="shared" si="140"/>
        <v/>
      </c>
      <c r="F910" s="207"/>
      <c r="G910" s="211" t="str">
        <f t="shared" si="141"/>
        <v/>
      </c>
      <c r="H910" s="207"/>
      <c r="I910" s="211" t="str">
        <f t="shared" si="142"/>
        <v/>
      </c>
      <c r="J910" s="207"/>
      <c r="K910" s="211" t="str">
        <f t="shared" si="143"/>
        <v/>
      </c>
      <c r="L910" s="207"/>
      <c r="M910" s="211" t="str">
        <f t="shared" si="144"/>
        <v/>
      </c>
      <c r="N910" s="207"/>
      <c r="O910" s="211" t="str">
        <f t="shared" si="145"/>
        <v/>
      </c>
      <c r="P910" s="207"/>
      <c r="Q910" s="211" t="str">
        <f t="shared" si="146"/>
        <v/>
      </c>
      <c r="R910" s="207"/>
      <c r="S910" s="211" t="str">
        <f t="shared" si="147"/>
        <v/>
      </c>
      <c r="T910" s="272" t="str">
        <f t="shared" si="148"/>
        <v/>
      </c>
      <c r="U910" s="212" t="str">
        <f t="shared" si="149"/>
        <v/>
      </c>
    </row>
    <row r="911" spans="2:21" x14ac:dyDescent="0.25">
      <c r="B911" s="241" t="str">
        <f>IF(Contagem!B909=0,"",Contagem!B909)</f>
        <v/>
      </c>
      <c r="C911" s="242" t="str">
        <f>IF(Contagem!T909 &gt; 0,Contagem!T909,"")</f>
        <v/>
      </c>
      <c r="D911" s="207"/>
      <c r="E911" s="211" t="str">
        <f t="shared" si="140"/>
        <v/>
      </c>
      <c r="F911" s="207"/>
      <c r="G911" s="211" t="str">
        <f t="shared" si="141"/>
        <v/>
      </c>
      <c r="H911" s="207"/>
      <c r="I911" s="211" t="str">
        <f t="shared" si="142"/>
        <v/>
      </c>
      <c r="J911" s="207"/>
      <c r="K911" s="211" t="str">
        <f t="shared" si="143"/>
        <v/>
      </c>
      <c r="L911" s="207"/>
      <c r="M911" s="211" t="str">
        <f t="shared" si="144"/>
        <v/>
      </c>
      <c r="N911" s="207"/>
      <c r="O911" s="211" t="str">
        <f t="shared" si="145"/>
        <v/>
      </c>
      <c r="P911" s="207"/>
      <c r="Q911" s="211" t="str">
        <f t="shared" si="146"/>
        <v/>
      </c>
      <c r="R911" s="207"/>
      <c r="S911" s="211" t="str">
        <f t="shared" si="147"/>
        <v/>
      </c>
      <c r="T911" s="272" t="str">
        <f t="shared" si="148"/>
        <v/>
      </c>
      <c r="U911" s="212" t="str">
        <f t="shared" si="149"/>
        <v/>
      </c>
    </row>
    <row r="912" spans="2:21" x14ac:dyDescent="0.25">
      <c r="B912" s="241" t="str">
        <f>IF(Contagem!B910=0,"",Contagem!B910)</f>
        <v/>
      </c>
      <c r="C912" s="242" t="str">
        <f>IF(Contagem!T910 &gt; 0,Contagem!T910,"")</f>
        <v/>
      </c>
      <c r="D912" s="207"/>
      <c r="E912" s="211" t="str">
        <f t="shared" si="140"/>
        <v/>
      </c>
      <c r="F912" s="207"/>
      <c r="G912" s="211" t="str">
        <f t="shared" si="141"/>
        <v/>
      </c>
      <c r="H912" s="207"/>
      <c r="I912" s="211" t="str">
        <f t="shared" si="142"/>
        <v/>
      </c>
      <c r="J912" s="207"/>
      <c r="K912" s="211" t="str">
        <f t="shared" si="143"/>
        <v/>
      </c>
      <c r="L912" s="207"/>
      <c r="M912" s="211" t="str">
        <f t="shared" si="144"/>
        <v/>
      </c>
      <c r="N912" s="207"/>
      <c r="O912" s="211" t="str">
        <f t="shared" si="145"/>
        <v/>
      </c>
      <c r="P912" s="207"/>
      <c r="Q912" s="211" t="str">
        <f t="shared" si="146"/>
        <v/>
      </c>
      <c r="R912" s="207"/>
      <c r="S912" s="211" t="str">
        <f t="shared" si="147"/>
        <v/>
      </c>
      <c r="T912" s="272" t="str">
        <f t="shared" si="148"/>
        <v/>
      </c>
      <c r="U912" s="212" t="str">
        <f t="shared" si="149"/>
        <v/>
      </c>
    </row>
    <row r="913" spans="2:21" x14ac:dyDescent="0.25">
      <c r="B913" s="241" t="str">
        <f>IF(Contagem!B911=0,"",Contagem!B911)</f>
        <v/>
      </c>
      <c r="C913" s="242" t="str">
        <f>IF(Contagem!T911 &gt; 0,Contagem!T911,"")</f>
        <v/>
      </c>
      <c r="D913" s="207"/>
      <c r="E913" s="211" t="str">
        <f t="shared" si="140"/>
        <v/>
      </c>
      <c r="F913" s="207"/>
      <c r="G913" s="211" t="str">
        <f t="shared" si="141"/>
        <v/>
      </c>
      <c r="H913" s="207"/>
      <c r="I913" s="211" t="str">
        <f t="shared" si="142"/>
        <v/>
      </c>
      <c r="J913" s="207"/>
      <c r="K913" s="211" t="str">
        <f t="shared" si="143"/>
        <v/>
      </c>
      <c r="L913" s="207"/>
      <c r="M913" s="211" t="str">
        <f t="shared" si="144"/>
        <v/>
      </c>
      <c r="N913" s="207"/>
      <c r="O913" s="211" t="str">
        <f t="shared" si="145"/>
        <v/>
      </c>
      <c r="P913" s="207"/>
      <c r="Q913" s="211" t="str">
        <f t="shared" si="146"/>
        <v/>
      </c>
      <c r="R913" s="207"/>
      <c r="S913" s="211" t="str">
        <f t="shared" si="147"/>
        <v/>
      </c>
      <c r="T913" s="272" t="str">
        <f t="shared" si="148"/>
        <v/>
      </c>
      <c r="U913" s="212" t="str">
        <f t="shared" si="149"/>
        <v/>
      </c>
    </row>
    <row r="914" spans="2:21" x14ac:dyDescent="0.25">
      <c r="B914" s="241" t="str">
        <f>IF(Contagem!B912=0,"",Contagem!B912)</f>
        <v/>
      </c>
      <c r="C914" s="242" t="str">
        <f>IF(Contagem!T912 &gt; 0,Contagem!T912,"")</f>
        <v/>
      </c>
      <c r="D914" s="207"/>
      <c r="E914" s="211" t="str">
        <f t="shared" si="140"/>
        <v/>
      </c>
      <c r="F914" s="207"/>
      <c r="G914" s="211" t="str">
        <f t="shared" si="141"/>
        <v/>
      </c>
      <c r="H914" s="207"/>
      <c r="I914" s="211" t="str">
        <f t="shared" si="142"/>
        <v/>
      </c>
      <c r="J914" s="207"/>
      <c r="K914" s="211" t="str">
        <f t="shared" si="143"/>
        <v/>
      </c>
      <c r="L914" s="207"/>
      <c r="M914" s="211" t="str">
        <f t="shared" si="144"/>
        <v/>
      </c>
      <c r="N914" s="207"/>
      <c r="O914" s="211" t="str">
        <f t="shared" si="145"/>
        <v/>
      </c>
      <c r="P914" s="207"/>
      <c r="Q914" s="211" t="str">
        <f t="shared" si="146"/>
        <v/>
      </c>
      <c r="R914" s="207"/>
      <c r="S914" s="211" t="str">
        <f t="shared" si="147"/>
        <v/>
      </c>
      <c r="T914" s="272" t="str">
        <f t="shared" si="148"/>
        <v/>
      </c>
      <c r="U914" s="212" t="str">
        <f t="shared" si="149"/>
        <v/>
      </c>
    </row>
    <row r="915" spans="2:21" x14ac:dyDescent="0.25">
      <c r="B915" s="241" t="str">
        <f>IF(Contagem!B913=0,"",Contagem!B913)</f>
        <v/>
      </c>
      <c r="C915" s="242" t="str">
        <f>IF(Contagem!T913 &gt; 0,Contagem!T913,"")</f>
        <v/>
      </c>
      <c r="D915" s="207"/>
      <c r="E915" s="211" t="str">
        <f t="shared" si="140"/>
        <v/>
      </c>
      <c r="F915" s="207"/>
      <c r="G915" s="211" t="str">
        <f t="shared" si="141"/>
        <v/>
      </c>
      <c r="H915" s="207"/>
      <c r="I915" s="211" t="str">
        <f t="shared" si="142"/>
        <v/>
      </c>
      <c r="J915" s="207"/>
      <c r="K915" s="211" t="str">
        <f t="shared" si="143"/>
        <v/>
      </c>
      <c r="L915" s="207"/>
      <c r="M915" s="211" t="str">
        <f t="shared" si="144"/>
        <v/>
      </c>
      <c r="N915" s="207"/>
      <c r="O915" s="211" t="str">
        <f t="shared" si="145"/>
        <v/>
      </c>
      <c r="P915" s="207"/>
      <c r="Q915" s="211" t="str">
        <f t="shared" si="146"/>
        <v/>
      </c>
      <c r="R915" s="207"/>
      <c r="S915" s="211" t="str">
        <f t="shared" si="147"/>
        <v/>
      </c>
      <c r="T915" s="272" t="str">
        <f t="shared" si="148"/>
        <v/>
      </c>
      <c r="U915" s="212" t="str">
        <f t="shared" si="149"/>
        <v/>
      </c>
    </row>
    <row r="916" spans="2:21" x14ac:dyDescent="0.25">
      <c r="B916" s="241" t="str">
        <f>IF(Contagem!B914=0,"",Contagem!B914)</f>
        <v/>
      </c>
      <c r="C916" s="242" t="str">
        <f>IF(Contagem!T914 &gt; 0,Contagem!T914,"")</f>
        <v/>
      </c>
      <c r="D916" s="207"/>
      <c r="E916" s="211" t="str">
        <f t="shared" si="140"/>
        <v/>
      </c>
      <c r="F916" s="207"/>
      <c r="G916" s="211" t="str">
        <f t="shared" si="141"/>
        <v/>
      </c>
      <c r="H916" s="207"/>
      <c r="I916" s="211" t="str">
        <f t="shared" si="142"/>
        <v/>
      </c>
      <c r="J916" s="207"/>
      <c r="K916" s="211" t="str">
        <f t="shared" si="143"/>
        <v/>
      </c>
      <c r="L916" s="207"/>
      <c r="M916" s="211" t="str">
        <f t="shared" si="144"/>
        <v/>
      </c>
      <c r="N916" s="207"/>
      <c r="O916" s="211" t="str">
        <f t="shared" si="145"/>
        <v/>
      </c>
      <c r="P916" s="207"/>
      <c r="Q916" s="211" t="str">
        <f t="shared" si="146"/>
        <v/>
      </c>
      <c r="R916" s="207"/>
      <c r="S916" s="211" t="str">
        <f t="shared" si="147"/>
        <v/>
      </c>
      <c r="T916" s="272" t="str">
        <f t="shared" si="148"/>
        <v/>
      </c>
      <c r="U916" s="212" t="str">
        <f t="shared" si="149"/>
        <v/>
      </c>
    </row>
    <row r="917" spans="2:21" x14ac:dyDescent="0.25">
      <c r="B917" s="241" t="str">
        <f>IF(Contagem!B915=0,"",Contagem!B915)</f>
        <v/>
      </c>
      <c r="C917" s="242" t="str">
        <f>IF(Contagem!T915 &gt; 0,Contagem!T915,"")</f>
        <v/>
      </c>
      <c r="D917" s="207"/>
      <c r="E917" s="211" t="str">
        <f t="shared" si="140"/>
        <v/>
      </c>
      <c r="F917" s="207"/>
      <c r="G917" s="211" t="str">
        <f t="shared" si="141"/>
        <v/>
      </c>
      <c r="H917" s="207"/>
      <c r="I917" s="211" t="str">
        <f t="shared" si="142"/>
        <v/>
      </c>
      <c r="J917" s="207"/>
      <c r="K917" s="211" t="str">
        <f t="shared" si="143"/>
        <v/>
      </c>
      <c r="L917" s="207"/>
      <c r="M917" s="211" t="str">
        <f t="shared" si="144"/>
        <v/>
      </c>
      <c r="N917" s="207"/>
      <c r="O917" s="211" t="str">
        <f t="shared" si="145"/>
        <v/>
      </c>
      <c r="P917" s="207"/>
      <c r="Q917" s="211" t="str">
        <f t="shared" si="146"/>
        <v/>
      </c>
      <c r="R917" s="207"/>
      <c r="S917" s="211" t="str">
        <f t="shared" si="147"/>
        <v/>
      </c>
      <c r="T917" s="272" t="str">
        <f t="shared" si="148"/>
        <v/>
      </c>
      <c r="U917" s="212" t="str">
        <f t="shared" si="149"/>
        <v/>
      </c>
    </row>
    <row r="918" spans="2:21" x14ac:dyDescent="0.25">
      <c r="B918" s="241" t="str">
        <f>IF(Contagem!B916=0,"",Contagem!B916)</f>
        <v/>
      </c>
      <c r="C918" s="242" t="str">
        <f>IF(Contagem!T916 &gt; 0,Contagem!T916,"")</f>
        <v/>
      </c>
      <c r="D918" s="207"/>
      <c r="E918" s="211" t="str">
        <f t="shared" si="140"/>
        <v/>
      </c>
      <c r="F918" s="207"/>
      <c r="G918" s="211" t="str">
        <f t="shared" si="141"/>
        <v/>
      </c>
      <c r="H918" s="207"/>
      <c r="I918" s="211" t="str">
        <f t="shared" si="142"/>
        <v/>
      </c>
      <c r="J918" s="207"/>
      <c r="K918" s="211" t="str">
        <f t="shared" si="143"/>
        <v/>
      </c>
      <c r="L918" s="207"/>
      <c r="M918" s="211" t="str">
        <f t="shared" si="144"/>
        <v/>
      </c>
      <c r="N918" s="207"/>
      <c r="O918" s="211" t="str">
        <f t="shared" si="145"/>
        <v/>
      </c>
      <c r="P918" s="207"/>
      <c r="Q918" s="211" t="str">
        <f t="shared" si="146"/>
        <v/>
      </c>
      <c r="R918" s="207"/>
      <c r="S918" s="211" t="str">
        <f t="shared" si="147"/>
        <v/>
      </c>
      <c r="T918" s="272" t="str">
        <f t="shared" si="148"/>
        <v/>
      </c>
      <c r="U918" s="212" t="str">
        <f t="shared" si="149"/>
        <v/>
      </c>
    </row>
    <row r="919" spans="2:21" x14ac:dyDescent="0.25">
      <c r="B919" s="241" t="str">
        <f>IF(Contagem!B917=0,"",Contagem!B917)</f>
        <v/>
      </c>
      <c r="C919" s="242" t="str">
        <f>IF(Contagem!T917 &gt; 0,Contagem!T917,"")</f>
        <v/>
      </c>
      <c r="D919" s="207"/>
      <c r="E919" s="211" t="str">
        <f t="shared" si="140"/>
        <v/>
      </c>
      <c r="F919" s="207"/>
      <c r="G919" s="211" t="str">
        <f t="shared" si="141"/>
        <v/>
      </c>
      <c r="H919" s="207"/>
      <c r="I919" s="211" t="str">
        <f t="shared" si="142"/>
        <v/>
      </c>
      <c r="J919" s="207"/>
      <c r="K919" s="211" t="str">
        <f t="shared" si="143"/>
        <v/>
      </c>
      <c r="L919" s="207"/>
      <c r="M919" s="211" t="str">
        <f t="shared" si="144"/>
        <v/>
      </c>
      <c r="N919" s="207"/>
      <c r="O919" s="211" t="str">
        <f t="shared" si="145"/>
        <v/>
      </c>
      <c r="P919" s="207"/>
      <c r="Q919" s="211" t="str">
        <f t="shared" si="146"/>
        <v/>
      </c>
      <c r="R919" s="207"/>
      <c r="S919" s="211" t="str">
        <f t="shared" si="147"/>
        <v/>
      </c>
      <c r="T919" s="272" t="str">
        <f t="shared" si="148"/>
        <v/>
      </c>
      <c r="U919" s="212" t="str">
        <f t="shared" si="149"/>
        <v/>
      </c>
    </row>
    <row r="920" spans="2:21" x14ac:dyDescent="0.25">
      <c r="B920" s="241" t="str">
        <f>IF(Contagem!B918=0,"",Contagem!B918)</f>
        <v/>
      </c>
      <c r="C920" s="242" t="str">
        <f>IF(Contagem!T918 &gt; 0,Contagem!T918,"")</f>
        <v/>
      </c>
      <c r="D920" s="207"/>
      <c r="E920" s="211" t="str">
        <f t="shared" si="140"/>
        <v/>
      </c>
      <c r="F920" s="207"/>
      <c r="G920" s="211" t="str">
        <f t="shared" si="141"/>
        <v/>
      </c>
      <c r="H920" s="207"/>
      <c r="I920" s="211" t="str">
        <f t="shared" si="142"/>
        <v/>
      </c>
      <c r="J920" s="207"/>
      <c r="K920" s="211" t="str">
        <f t="shared" si="143"/>
        <v/>
      </c>
      <c r="L920" s="207"/>
      <c r="M920" s="211" t="str">
        <f t="shared" si="144"/>
        <v/>
      </c>
      <c r="N920" s="207"/>
      <c r="O920" s="211" t="str">
        <f t="shared" si="145"/>
        <v/>
      </c>
      <c r="P920" s="207"/>
      <c r="Q920" s="211" t="str">
        <f t="shared" si="146"/>
        <v/>
      </c>
      <c r="R920" s="207"/>
      <c r="S920" s="211" t="str">
        <f t="shared" si="147"/>
        <v/>
      </c>
      <c r="T920" s="272" t="str">
        <f t="shared" si="148"/>
        <v/>
      </c>
      <c r="U920" s="212" t="str">
        <f t="shared" si="149"/>
        <v/>
      </c>
    </row>
    <row r="921" spans="2:21" x14ac:dyDescent="0.25">
      <c r="B921" s="241" t="str">
        <f>IF(Contagem!B919=0,"",Contagem!B919)</f>
        <v/>
      </c>
      <c r="C921" s="242" t="str">
        <f>IF(Contagem!T919 &gt; 0,Contagem!T919,"")</f>
        <v/>
      </c>
      <c r="D921" s="207"/>
      <c r="E921" s="211" t="str">
        <f t="shared" si="140"/>
        <v/>
      </c>
      <c r="F921" s="207"/>
      <c r="G921" s="211" t="str">
        <f t="shared" si="141"/>
        <v/>
      </c>
      <c r="H921" s="207"/>
      <c r="I921" s="211" t="str">
        <f t="shared" si="142"/>
        <v/>
      </c>
      <c r="J921" s="207"/>
      <c r="K921" s="211" t="str">
        <f t="shared" si="143"/>
        <v/>
      </c>
      <c r="L921" s="207"/>
      <c r="M921" s="211" t="str">
        <f t="shared" si="144"/>
        <v/>
      </c>
      <c r="N921" s="207"/>
      <c r="O921" s="211" t="str">
        <f t="shared" si="145"/>
        <v/>
      </c>
      <c r="P921" s="207"/>
      <c r="Q921" s="211" t="str">
        <f t="shared" si="146"/>
        <v/>
      </c>
      <c r="R921" s="207"/>
      <c r="S921" s="211" t="str">
        <f t="shared" si="147"/>
        <v/>
      </c>
      <c r="T921" s="272" t="str">
        <f t="shared" si="148"/>
        <v/>
      </c>
      <c r="U921" s="212" t="str">
        <f t="shared" si="149"/>
        <v/>
      </c>
    </row>
    <row r="922" spans="2:21" x14ac:dyDescent="0.25">
      <c r="B922" s="241" t="str">
        <f>IF(Contagem!B920=0,"",Contagem!B920)</f>
        <v/>
      </c>
      <c r="C922" s="242" t="str">
        <f>IF(Contagem!T920 &gt; 0,Contagem!T920,"")</f>
        <v/>
      </c>
      <c r="D922" s="207"/>
      <c r="E922" s="211" t="str">
        <f t="shared" si="140"/>
        <v/>
      </c>
      <c r="F922" s="207"/>
      <c r="G922" s="211" t="str">
        <f t="shared" si="141"/>
        <v/>
      </c>
      <c r="H922" s="207"/>
      <c r="I922" s="211" t="str">
        <f t="shared" si="142"/>
        <v/>
      </c>
      <c r="J922" s="207"/>
      <c r="K922" s="211" t="str">
        <f t="shared" si="143"/>
        <v/>
      </c>
      <c r="L922" s="207"/>
      <c r="M922" s="211" t="str">
        <f t="shared" si="144"/>
        <v/>
      </c>
      <c r="N922" s="207"/>
      <c r="O922" s="211" t="str">
        <f t="shared" si="145"/>
        <v/>
      </c>
      <c r="P922" s="207"/>
      <c r="Q922" s="211" t="str">
        <f t="shared" si="146"/>
        <v/>
      </c>
      <c r="R922" s="207"/>
      <c r="S922" s="211" t="str">
        <f t="shared" si="147"/>
        <v/>
      </c>
      <c r="T922" s="272" t="str">
        <f t="shared" si="148"/>
        <v/>
      </c>
      <c r="U922" s="212" t="str">
        <f t="shared" si="149"/>
        <v/>
      </c>
    </row>
    <row r="923" spans="2:21" x14ac:dyDescent="0.25">
      <c r="B923" s="241" t="str">
        <f>IF(Contagem!B921=0,"",Contagem!B921)</f>
        <v/>
      </c>
      <c r="C923" s="242" t="str">
        <f>IF(Contagem!T921 &gt; 0,Contagem!T921,"")</f>
        <v/>
      </c>
      <c r="D923" s="207"/>
      <c r="E923" s="211" t="str">
        <f t="shared" si="140"/>
        <v/>
      </c>
      <c r="F923" s="207"/>
      <c r="G923" s="211" t="str">
        <f t="shared" si="141"/>
        <v/>
      </c>
      <c r="H923" s="207"/>
      <c r="I923" s="211" t="str">
        <f t="shared" si="142"/>
        <v/>
      </c>
      <c r="J923" s="207"/>
      <c r="K923" s="211" t="str">
        <f t="shared" si="143"/>
        <v/>
      </c>
      <c r="L923" s="207"/>
      <c r="M923" s="211" t="str">
        <f t="shared" si="144"/>
        <v/>
      </c>
      <c r="N923" s="207"/>
      <c r="O923" s="211" t="str">
        <f t="shared" si="145"/>
        <v/>
      </c>
      <c r="P923" s="207"/>
      <c r="Q923" s="211" t="str">
        <f t="shared" si="146"/>
        <v/>
      </c>
      <c r="R923" s="207"/>
      <c r="S923" s="211" t="str">
        <f t="shared" si="147"/>
        <v/>
      </c>
      <c r="T923" s="272" t="str">
        <f t="shared" si="148"/>
        <v/>
      </c>
      <c r="U923" s="212" t="str">
        <f t="shared" si="149"/>
        <v/>
      </c>
    </row>
    <row r="924" spans="2:21" x14ac:dyDescent="0.25">
      <c r="B924" s="241" t="str">
        <f>IF(Contagem!B922=0,"",Contagem!B922)</f>
        <v/>
      </c>
      <c r="C924" s="242" t="str">
        <f>IF(Contagem!T922 &gt; 0,Contagem!T922,"")</f>
        <v/>
      </c>
      <c r="D924" s="207"/>
      <c r="E924" s="211" t="str">
        <f t="shared" si="140"/>
        <v/>
      </c>
      <c r="F924" s="207"/>
      <c r="G924" s="211" t="str">
        <f t="shared" si="141"/>
        <v/>
      </c>
      <c r="H924" s="207"/>
      <c r="I924" s="211" t="str">
        <f t="shared" si="142"/>
        <v/>
      </c>
      <c r="J924" s="207"/>
      <c r="K924" s="211" t="str">
        <f t="shared" si="143"/>
        <v/>
      </c>
      <c r="L924" s="207"/>
      <c r="M924" s="211" t="str">
        <f t="shared" si="144"/>
        <v/>
      </c>
      <c r="N924" s="207"/>
      <c r="O924" s="211" t="str">
        <f t="shared" si="145"/>
        <v/>
      </c>
      <c r="P924" s="207"/>
      <c r="Q924" s="211" t="str">
        <f t="shared" si="146"/>
        <v/>
      </c>
      <c r="R924" s="207"/>
      <c r="S924" s="211" t="str">
        <f t="shared" si="147"/>
        <v/>
      </c>
      <c r="T924" s="272" t="str">
        <f t="shared" si="148"/>
        <v/>
      </c>
      <c r="U924" s="212" t="str">
        <f t="shared" si="149"/>
        <v/>
      </c>
    </row>
    <row r="925" spans="2:21" x14ac:dyDescent="0.25">
      <c r="B925" s="241" t="str">
        <f>IF(Contagem!B923=0,"",Contagem!B923)</f>
        <v/>
      </c>
      <c r="C925" s="242" t="str">
        <f>IF(Contagem!T923 &gt; 0,Contagem!T923,"")</f>
        <v/>
      </c>
      <c r="D925" s="207"/>
      <c r="E925" s="211" t="str">
        <f t="shared" si="140"/>
        <v/>
      </c>
      <c r="F925" s="207"/>
      <c r="G925" s="211" t="str">
        <f t="shared" si="141"/>
        <v/>
      </c>
      <c r="H925" s="207"/>
      <c r="I925" s="211" t="str">
        <f t="shared" si="142"/>
        <v/>
      </c>
      <c r="J925" s="207"/>
      <c r="K925" s="211" t="str">
        <f t="shared" si="143"/>
        <v/>
      </c>
      <c r="L925" s="207"/>
      <c r="M925" s="211" t="str">
        <f t="shared" si="144"/>
        <v/>
      </c>
      <c r="N925" s="207"/>
      <c r="O925" s="211" t="str">
        <f t="shared" si="145"/>
        <v/>
      </c>
      <c r="P925" s="207"/>
      <c r="Q925" s="211" t="str">
        <f t="shared" si="146"/>
        <v/>
      </c>
      <c r="R925" s="207"/>
      <c r="S925" s="211" t="str">
        <f t="shared" si="147"/>
        <v/>
      </c>
      <c r="T925" s="272" t="str">
        <f t="shared" si="148"/>
        <v/>
      </c>
      <c r="U925" s="212" t="str">
        <f t="shared" si="149"/>
        <v/>
      </c>
    </row>
    <row r="926" spans="2:21" x14ac:dyDescent="0.25">
      <c r="B926" s="241" t="str">
        <f>IF(Contagem!B924=0,"",Contagem!B924)</f>
        <v/>
      </c>
      <c r="C926" s="242" t="str">
        <f>IF(Contagem!T924 &gt; 0,Contagem!T924,"")</f>
        <v/>
      </c>
      <c r="D926" s="207"/>
      <c r="E926" s="211" t="str">
        <f t="shared" si="140"/>
        <v/>
      </c>
      <c r="F926" s="207"/>
      <c r="G926" s="211" t="str">
        <f t="shared" si="141"/>
        <v/>
      </c>
      <c r="H926" s="207"/>
      <c r="I926" s="211" t="str">
        <f t="shared" si="142"/>
        <v/>
      </c>
      <c r="J926" s="207"/>
      <c r="K926" s="211" t="str">
        <f t="shared" si="143"/>
        <v/>
      </c>
      <c r="L926" s="207"/>
      <c r="M926" s="211" t="str">
        <f t="shared" si="144"/>
        <v/>
      </c>
      <c r="N926" s="207"/>
      <c r="O926" s="211" t="str">
        <f t="shared" si="145"/>
        <v/>
      </c>
      <c r="P926" s="207"/>
      <c r="Q926" s="211" t="str">
        <f t="shared" si="146"/>
        <v/>
      </c>
      <c r="R926" s="207"/>
      <c r="S926" s="211" t="str">
        <f t="shared" si="147"/>
        <v/>
      </c>
      <c r="T926" s="272" t="str">
        <f t="shared" si="148"/>
        <v/>
      </c>
      <c r="U926" s="212" t="str">
        <f t="shared" si="149"/>
        <v/>
      </c>
    </row>
    <row r="927" spans="2:21" x14ac:dyDescent="0.25">
      <c r="B927" s="241" t="str">
        <f>IF(Contagem!B925=0,"",Contagem!B925)</f>
        <v/>
      </c>
      <c r="C927" s="242" t="str">
        <f>IF(Contagem!T925 &gt; 0,Contagem!T925,"")</f>
        <v/>
      </c>
      <c r="D927" s="207"/>
      <c r="E927" s="211" t="str">
        <f t="shared" si="140"/>
        <v/>
      </c>
      <c r="F927" s="207"/>
      <c r="G927" s="211" t="str">
        <f t="shared" si="141"/>
        <v/>
      </c>
      <c r="H927" s="207"/>
      <c r="I927" s="211" t="str">
        <f t="shared" si="142"/>
        <v/>
      </c>
      <c r="J927" s="207"/>
      <c r="K927" s="211" t="str">
        <f t="shared" si="143"/>
        <v/>
      </c>
      <c r="L927" s="207"/>
      <c r="M927" s="211" t="str">
        <f t="shared" si="144"/>
        <v/>
      </c>
      <c r="N927" s="207"/>
      <c r="O927" s="211" t="str">
        <f t="shared" si="145"/>
        <v/>
      </c>
      <c r="P927" s="207"/>
      <c r="Q927" s="211" t="str">
        <f t="shared" si="146"/>
        <v/>
      </c>
      <c r="R927" s="207"/>
      <c r="S927" s="211" t="str">
        <f t="shared" si="147"/>
        <v/>
      </c>
      <c r="T927" s="272" t="str">
        <f t="shared" si="148"/>
        <v/>
      </c>
      <c r="U927" s="212" t="str">
        <f t="shared" si="149"/>
        <v/>
      </c>
    </row>
    <row r="928" spans="2:21" x14ac:dyDescent="0.25">
      <c r="B928" s="241" t="str">
        <f>IF(Contagem!B926=0,"",Contagem!B926)</f>
        <v/>
      </c>
      <c r="C928" s="242" t="str">
        <f>IF(Contagem!T926 &gt; 0,Contagem!T926,"")</f>
        <v/>
      </c>
      <c r="D928" s="207"/>
      <c r="E928" s="211" t="str">
        <f t="shared" si="140"/>
        <v/>
      </c>
      <c r="F928" s="207"/>
      <c r="G928" s="211" t="str">
        <f t="shared" si="141"/>
        <v/>
      </c>
      <c r="H928" s="207"/>
      <c r="I928" s="211" t="str">
        <f t="shared" si="142"/>
        <v/>
      </c>
      <c r="J928" s="207"/>
      <c r="K928" s="211" t="str">
        <f t="shared" si="143"/>
        <v/>
      </c>
      <c r="L928" s="207"/>
      <c r="M928" s="211" t="str">
        <f t="shared" si="144"/>
        <v/>
      </c>
      <c r="N928" s="207"/>
      <c r="O928" s="211" t="str">
        <f t="shared" si="145"/>
        <v/>
      </c>
      <c r="P928" s="207"/>
      <c r="Q928" s="211" t="str">
        <f t="shared" si="146"/>
        <v/>
      </c>
      <c r="R928" s="207"/>
      <c r="S928" s="211" t="str">
        <f t="shared" si="147"/>
        <v/>
      </c>
      <c r="T928" s="272" t="str">
        <f t="shared" si="148"/>
        <v/>
      </c>
      <c r="U928" s="212" t="str">
        <f t="shared" si="149"/>
        <v/>
      </c>
    </row>
    <row r="929" spans="2:21" x14ac:dyDescent="0.25">
      <c r="B929" s="241" t="str">
        <f>IF(Contagem!B927=0,"",Contagem!B927)</f>
        <v/>
      </c>
      <c r="C929" s="242" t="str">
        <f>IF(Contagem!T927 &gt; 0,Contagem!T927,"")</f>
        <v/>
      </c>
      <c r="D929" s="207"/>
      <c r="E929" s="211" t="str">
        <f t="shared" si="140"/>
        <v/>
      </c>
      <c r="F929" s="207"/>
      <c r="G929" s="211" t="str">
        <f t="shared" si="141"/>
        <v/>
      </c>
      <c r="H929" s="207"/>
      <c r="I929" s="211" t="str">
        <f t="shared" si="142"/>
        <v/>
      </c>
      <c r="J929" s="207"/>
      <c r="K929" s="211" t="str">
        <f t="shared" si="143"/>
        <v/>
      </c>
      <c r="L929" s="207"/>
      <c r="M929" s="211" t="str">
        <f t="shared" si="144"/>
        <v/>
      </c>
      <c r="N929" s="207"/>
      <c r="O929" s="211" t="str">
        <f t="shared" si="145"/>
        <v/>
      </c>
      <c r="P929" s="207"/>
      <c r="Q929" s="211" t="str">
        <f t="shared" si="146"/>
        <v/>
      </c>
      <c r="R929" s="207"/>
      <c r="S929" s="211" t="str">
        <f t="shared" si="147"/>
        <v/>
      </c>
      <c r="T929" s="272" t="str">
        <f t="shared" si="148"/>
        <v/>
      </c>
      <c r="U929" s="212" t="str">
        <f t="shared" si="149"/>
        <v/>
      </c>
    </row>
    <row r="930" spans="2:21" x14ac:dyDescent="0.25">
      <c r="B930" s="241" t="str">
        <f>IF(Contagem!B928=0,"",Contagem!B928)</f>
        <v/>
      </c>
      <c r="C930" s="242" t="str">
        <f>IF(Contagem!T928 &gt; 0,Contagem!T928,"")</f>
        <v/>
      </c>
      <c r="D930" s="207"/>
      <c r="E930" s="211" t="str">
        <f t="shared" si="140"/>
        <v/>
      </c>
      <c r="F930" s="207"/>
      <c r="G930" s="211" t="str">
        <f t="shared" si="141"/>
        <v/>
      </c>
      <c r="H930" s="207"/>
      <c r="I930" s="211" t="str">
        <f t="shared" si="142"/>
        <v/>
      </c>
      <c r="J930" s="207"/>
      <c r="K930" s="211" t="str">
        <f t="shared" si="143"/>
        <v/>
      </c>
      <c r="L930" s="207"/>
      <c r="M930" s="211" t="str">
        <f t="shared" si="144"/>
        <v/>
      </c>
      <c r="N930" s="207"/>
      <c r="O930" s="211" t="str">
        <f t="shared" si="145"/>
        <v/>
      </c>
      <c r="P930" s="207"/>
      <c r="Q930" s="211" t="str">
        <f t="shared" si="146"/>
        <v/>
      </c>
      <c r="R930" s="207"/>
      <c r="S930" s="211" t="str">
        <f t="shared" si="147"/>
        <v/>
      </c>
      <c r="T930" s="272" t="str">
        <f t="shared" si="148"/>
        <v/>
      </c>
      <c r="U930" s="212" t="str">
        <f t="shared" si="149"/>
        <v/>
      </c>
    </row>
    <row r="931" spans="2:21" x14ac:dyDescent="0.25">
      <c r="B931" s="241" t="str">
        <f>IF(Contagem!B929=0,"",Contagem!B929)</f>
        <v/>
      </c>
      <c r="C931" s="242" t="str">
        <f>IF(Contagem!T929 &gt; 0,Contagem!T929,"")</f>
        <v/>
      </c>
      <c r="D931" s="207"/>
      <c r="E931" s="211" t="str">
        <f t="shared" si="140"/>
        <v/>
      </c>
      <c r="F931" s="207"/>
      <c r="G931" s="211" t="str">
        <f t="shared" si="141"/>
        <v/>
      </c>
      <c r="H931" s="207"/>
      <c r="I931" s="211" t="str">
        <f t="shared" si="142"/>
        <v/>
      </c>
      <c r="J931" s="207"/>
      <c r="K931" s="211" t="str">
        <f t="shared" si="143"/>
        <v/>
      </c>
      <c r="L931" s="207"/>
      <c r="M931" s="211" t="str">
        <f t="shared" si="144"/>
        <v/>
      </c>
      <c r="N931" s="207"/>
      <c r="O931" s="211" t="str">
        <f t="shared" si="145"/>
        <v/>
      </c>
      <c r="P931" s="207"/>
      <c r="Q931" s="211" t="str">
        <f t="shared" si="146"/>
        <v/>
      </c>
      <c r="R931" s="207"/>
      <c r="S931" s="211" t="str">
        <f t="shared" si="147"/>
        <v/>
      </c>
      <c r="T931" s="272" t="str">
        <f t="shared" si="148"/>
        <v/>
      </c>
      <c r="U931" s="212" t="str">
        <f t="shared" si="149"/>
        <v/>
      </c>
    </row>
    <row r="932" spans="2:21" x14ac:dyDescent="0.25">
      <c r="B932" s="241" t="str">
        <f>IF(Contagem!B930=0,"",Contagem!B930)</f>
        <v/>
      </c>
      <c r="C932" s="242" t="str">
        <f>IF(Contagem!T930 &gt; 0,Contagem!T930,"")</f>
        <v/>
      </c>
      <c r="D932" s="207"/>
      <c r="E932" s="211" t="str">
        <f t="shared" si="140"/>
        <v/>
      </c>
      <c r="F932" s="207"/>
      <c r="G932" s="211" t="str">
        <f t="shared" si="141"/>
        <v/>
      </c>
      <c r="H932" s="207"/>
      <c r="I932" s="211" t="str">
        <f t="shared" si="142"/>
        <v/>
      </c>
      <c r="J932" s="207"/>
      <c r="K932" s="211" t="str">
        <f t="shared" si="143"/>
        <v/>
      </c>
      <c r="L932" s="207"/>
      <c r="M932" s="211" t="str">
        <f t="shared" si="144"/>
        <v/>
      </c>
      <c r="N932" s="207"/>
      <c r="O932" s="211" t="str">
        <f t="shared" si="145"/>
        <v/>
      </c>
      <c r="P932" s="207"/>
      <c r="Q932" s="211" t="str">
        <f t="shared" si="146"/>
        <v/>
      </c>
      <c r="R932" s="207"/>
      <c r="S932" s="211" t="str">
        <f t="shared" si="147"/>
        <v/>
      </c>
      <c r="T932" s="272" t="str">
        <f t="shared" si="148"/>
        <v/>
      </c>
      <c r="U932" s="212" t="str">
        <f t="shared" si="149"/>
        <v/>
      </c>
    </row>
    <row r="933" spans="2:21" x14ac:dyDescent="0.25">
      <c r="B933" s="241" t="str">
        <f>IF(Contagem!B931=0,"",Contagem!B931)</f>
        <v/>
      </c>
      <c r="C933" s="242" t="str">
        <f>IF(Contagem!T931 &gt; 0,Contagem!T931,"")</f>
        <v/>
      </c>
      <c r="D933" s="207"/>
      <c r="E933" s="211" t="str">
        <f t="shared" si="140"/>
        <v/>
      </c>
      <c r="F933" s="207"/>
      <c r="G933" s="211" t="str">
        <f t="shared" si="141"/>
        <v/>
      </c>
      <c r="H933" s="207"/>
      <c r="I933" s="211" t="str">
        <f t="shared" si="142"/>
        <v/>
      </c>
      <c r="J933" s="207"/>
      <c r="K933" s="211" t="str">
        <f t="shared" si="143"/>
        <v/>
      </c>
      <c r="L933" s="207"/>
      <c r="M933" s="211" t="str">
        <f t="shared" si="144"/>
        <v/>
      </c>
      <c r="N933" s="207"/>
      <c r="O933" s="211" t="str">
        <f t="shared" si="145"/>
        <v/>
      </c>
      <c r="P933" s="207"/>
      <c r="Q933" s="211" t="str">
        <f t="shared" si="146"/>
        <v/>
      </c>
      <c r="R933" s="207"/>
      <c r="S933" s="211" t="str">
        <f t="shared" si="147"/>
        <v/>
      </c>
      <c r="T933" s="272" t="str">
        <f t="shared" si="148"/>
        <v/>
      </c>
      <c r="U933" s="212" t="str">
        <f t="shared" si="149"/>
        <v/>
      </c>
    </row>
    <row r="934" spans="2:21" x14ac:dyDescent="0.25">
      <c r="B934" s="241" t="str">
        <f>IF(Contagem!B932=0,"",Contagem!B932)</f>
        <v/>
      </c>
      <c r="C934" s="242" t="str">
        <f>IF(Contagem!T932 &gt; 0,Contagem!T932,"")</f>
        <v/>
      </c>
      <c r="D934" s="207"/>
      <c r="E934" s="211" t="str">
        <f t="shared" si="140"/>
        <v/>
      </c>
      <c r="F934" s="207"/>
      <c r="G934" s="211" t="str">
        <f t="shared" si="141"/>
        <v/>
      </c>
      <c r="H934" s="207"/>
      <c r="I934" s="211" t="str">
        <f t="shared" si="142"/>
        <v/>
      </c>
      <c r="J934" s="207"/>
      <c r="K934" s="211" t="str">
        <f t="shared" si="143"/>
        <v/>
      </c>
      <c r="L934" s="207"/>
      <c r="M934" s="211" t="str">
        <f t="shared" si="144"/>
        <v/>
      </c>
      <c r="N934" s="207"/>
      <c r="O934" s="211" t="str">
        <f t="shared" si="145"/>
        <v/>
      </c>
      <c r="P934" s="207"/>
      <c r="Q934" s="211" t="str">
        <f t="shared" si="146"/>
        <v/>
      </c>
      <c r="R934" s="207"/>
      <c r="S934" s="211" t="str">
        <f t="shared" si="147"/>
        <v/>
      </c>
      <c r="T934" s="272" t="str">
        <f t="shared" si="148"/>
        <v/>
      </c>
      <c r="U934" s="212" t="str">
        <f t="shared" si="149"/>
        <v/>
      </c>
    </row>
    <row r="935" spans="2:21" x14ac:dyDescent="0.25">
      <c r="B935" s="241" t="str">
        <f>IF(Contagem!B933=0,"",Contagem!B933)</f>
        <v/>
      </c>
      <c r="C935" s="242" t="str">
        <f>IF(Contagem!T933 &gt; 0,Contagem!T933,"")</f>
        <v/>
      </c>
      <c r="D935" s="207"/>
      <c r="E935" s="211" t="str">
        <f t="shared" si="140"/>
        <v/>
      </c>
      <c r="F935" s="207"/>
      <c r="G935" s="211" t="str">
        <f t="shared" si="141"/>
        <v/>
      </c>
      <c r="H935" s="207"/>
      <c r="I935" s="211" t="str">
        <f t="shared" si="142"/>
        <v/>
      </c>
      <c r="J935" s="207"/>
      <c r="K935" s="211" t="str">
        <f t="shared" si="143"/>
        <v/>
      </c>
      <c r="L935" s="207"/>
      <c r="M935" s="211" t="str">
        <f t="shared" si="144"/>
        <v/>
      </c>
      <c r="N935" s="207"/>
      <c r="O935" s="211" t="str">
        <f t="shared" si="145"/>
        <v/>
      </c>
      <c r="P935" s="207"/>
      <c r="Q935" s="211" t="str">
        <f t="shared" si="146"/>
        <v/>
      </c>
      <c r="R935" s="207"/>
      <c r="S935" s="211" t="str">
        <f t="shared" si="147"/>
        <v/>
      </c>
      <c r="T935" s="272" t="str">
        <f t="shared" si="148"/>
        <v/>
      </c>
      <c r="U935" s="212" t="str">
        <f t="shared" si="149"/>
        <v/>
      </c>
    </row>
    <row r="936" spans="2:21" x14ac:dyDescent="0.25">
      <c r="B936" s="241" t="str">
        <f>IF(Contagem!B934=0,"",Contagem!B934)</f>
        <v/>
      </c>
      <c r="C936" s="242" t="str">
        <f>IF(Contagem!T934 &gt; 0,Contagem!T934,"")</f>
        <v/>
      </c>
      <c r="D936" s="207"/>
      <c r="E936" s="211" t="str">
        <f t="shared" si="140"/>
        <v/>
      </c>
      <c r="F936" s="207"/>
      <c r="G936" s="211" t="str">
        <f t="shared" si="141"/>
        <v/>
      </c>
      <c r="H936" s="207"/>
      <c r="I936" s="211" t="str">
        <f t="shared" si="142"/>
        <v/>
      </c>
      <c r="J936" s="207"/>
      <c r="K936" s="211" t="str">
        <f t="shared" si="143"/>
        <v/>
      </c>
      <c r="L936" s="207"/>
      <c r="M936" s="211" t="str">
        <f t="shared" si="144"/>
        <v/>
      </c>
      <c r="N936" s="207"/>
      <c r="O936" s="211" t="str">
        <f t="shared" si="145"/>
        <v/>
      </c>
      <c r="P936" s="207"/>
      <c r="Q936" s="211" t="str">
        <f t="shared" si="146"/>
        <v/>
      </c>
      <c r="R936" s="207"/>
      <c r="S936" s="211" t="str">
        <f t="shared" si="147"/>
        <v/>
      </c>
      <c r="T936" s="272" t="str">
        <f t="shared" si="148"/>
        <v/>
      </c>
      <c r="U936" s="212" t="str">
        <f t="shared" si="149"/>
        <v/>
      </c>
    </row>
    <row r="937" spans="2:21" x14ac:dyDescent="0.25">
      <c r="B937" s="241" t="str">
        <f>IF(Contagem!B935=0,"",Contagem!B935)</f>
        <v/>
      </c>
      <c r="C937" s="242" t="str">
        <f>IF(Contagem!T935 &gt; 0,Contagem!T935,"")</f>
        <v/>
      </c>
      <c r="D937" s="207"/>
      <c r="E937" s="211" t="str">
        <f t="shared" si="140"/>
        <v/>
      </c>
      <c r="F937" s="207"/>
      <c r="G937" s="211" t="str">
        <f t="shared" si="141"/>
        <v/>
      </c>
      <c r="H937" s="207"/>
      <c r="I937" s="211" t="str">
        <f t="shared" si="142"/>
        <v/>
      </c>
      <c r="J937" s="207"/>
      <c r="K937" s="211" t="str">
        <f t="shared" si="143"/>
        <v/>
      </c>
      <c r="L937" s="207"/>
      <c r="M937" s="211" t="str">
        <f t="shared" si="144"/>
        <v/>
      </c>
      <c r="N937" s="207"/>
      <c r="O937" s="211" t="str">
        <f t="shared" si="145"/>
        <v/>
      </c>
      <c r="P937" s="207"/>
      <c r="Q937" s="211" t="str">
        <f t="shared" si="146"/>
        <v/>
      </c>
      <c r="R937" s="207"/>
      <c r="S937" s="211" t="str">
        <f t="shared" si="147"/>
        <v/>
      </c>
      <c r="T937" s="272" t="str">
        <f t="shared" si="148"/>
        <v/>
      </c>
      <c r="U937" s="212" t="str">
        <f t="shared" si="149"/>
        <v/>
      </c>
    </row>
    <row r="938" spans="2:21" x14ac:dyDescent="0.25">
      <c r="B938" s="241" t="str">
        <f>IF(Contagem!B936=0,"",Contagem!B936)</f>
        <v/>
      </c>
      <c r="C938" s="242" t="str">
        <f>IF(Contagem!T936 &gt; 0,Contagem!T936,"")</f>
        <v/>
      </c>
      <c r="D938" s="207"/>
      <c r="E938" s="211" t="str">
        <f t="shared" si="140"/>
        <v/>
      </c>
      <c r="F938" s="207"/>
      <c r="G938" s="211" t="str">
        <f t="shared" si="141"/>
        <v/>
      </c>
      <c r="H938" s="207"/>
      <c r="I938" s="211" t="str">
        <f t="shared" si="142"/>
        <v/>
      </c>
      <c r="J938" s="207"/>
      <c r="K938" s="211" t="str">
        <f t="shared" si="143"/>
        <v/>
      </c>
      <c r="L938" s="207"/>
      <c r="M938" s="211" t="str">
        <f t="shared" si="144"/>
        <v/>
      </c>
      <c r="N938" s="207"/>
      <c r="O938" s="211" t="str">
        <f t="shared" si="145"/>
        <v/>
      </c>
      <c r="P938" s="207"/>
      <c r="Q938" s="211" t="str">
        <f t="shared" si="146"/>
        <v/>
      </c>
      <c r="R938" s="207"/>
      <c r="S938" s="211" t="str">
        <f t="shared" si="147"/>
        <v/>
      </c>
      <c r="T938" s="272" t="str">
        <f t="shared" si="148"/>
        <v/>
      </c>
      <c r="U938" s="212" t="str">
        <f t="shared" si="149"/>
        <v/>
      </c>
    </row>
    <row r="939" spans="2:21" x14ac:dyDescent="0.25">
      <c r="B939" s="241" t="str">
        <f>IF(Contagem!B937=0,"",Contagem!B937)</f>
        <v/>
      </c>
      <c r="C939" s="242" t="str">
        <f>IF(Contagem!T937 &gt; 0,Contagem!T937,"")</f>
        <v/>
      </c>
      <c r="D939" s="207"/>
      <c r="E939" s="211" t="str">
        <f t="shared" si="140"/>
        <v/>
      </c>
      <c r="F939" s="207"/>
      <c r="G939" s="211" t="str">
        <f t="shared" si="141"/>
        <v/>
      </c>
      <c r="H939" s="207"/>
      <c r="I939" s="211" t="str">
        <f t="shared" si="142"/>
        <v/>
      </c>
      <c r="J939" s="207"/>
      <c r="K939" s="211" t="str">
        <f t="shared" si="143"/>
        <v/>
      </c>
      <c r="L939" s="207"/>
      <c r="M939" s="211" t="str">
        <f t="shared" si="144"/>
        <v/>
      </c>
      <c r="N939" s="207"/>
      <c r="O939" s="211" t="str">
        <f t="shared" si="145"/>
        <v/>
      </c>
      <c r="P939" s="207"/>
      <c r="Q939" s="211" t="str">
        <f t="shared" si="146"/>
        <v/>
      </c>
      <c r="R939" s="207"/>
      <c r="S939" s="211" t="str">
        <f t="shared" si="147"/>
        <v/>
      </c>
      <c r="T939" s="272" t="str">
        <f t="shared" si="148"/>
        <v/>
      </c>
      <c r="U939" s="212" t="str">
        <f t="shared" si="149"/>
        <v/>
      </c>
    </row>
    <row r="940" spans="2:21" x14ac:dyDescent="0.25">
      <c r="B940" s="241" t="str">
        <f>IF(Contagem!B938=0,"",Contagem!B938)</f>
        <v/>
      </c>
      <c r="C940" s="242" t="str">
        <f>IF(Contagem!T938 &gt; 0,Contagem!T938,"")</f>
        <v/>
      </c>
      <c r="D940" s="207"/>
      <c r="E940" s="211" t="str">
        <f t="shared" si="140"/>
        <v/>
      </c>
      <c r="F940" s="207"/>
      <c r="G940" s="211" t="str">
        <f t="shared" si="141"/>
        <v/>
      </c>
      <c r="H940" s="207"/>
      <c r="I940" s="211" t="str">
        <f t="shared" si="142"/>
        <v/>
      </c>
      <c r="J940" s="207"/>
      <c r="K940" s="211" t="str">
        <f t="shared" si="143"/>
        <v/>
      </c>
      <c r="L940" s="207"/>
      <c r="M940" s="211" t="str">
        <f t="shared" si="144"/>
        <v/>
      </c>
      <c r="N940" s="207"/>
      <c r="O940" s="211" t="str">
        <f t="shared" si="145"/>
        <v/>
      </c>
      <c r="P940" s="207"/>
      <c r="Q940" s="211" t="str">
        <f t="shared" si="146"/>
        <v/>
      </c>
      <c r="R940" s="207"/>
      <c r="S940" s="211" t="str">
        <f t="shared" si="147"/>
        <v/>
      </c>
      <c r="T940" s="272" t="str">
        <f t="shared" si="148"/>
        <v/>
      </c>
      <c r="U940" s="212" t="str">
        <f t="shared" si="149"/>
        <v/>
      </c>
    </row>
    <row r="941" spans="2:21" x14ac:dyDescent="0.25">
      <c r="B941" s="241" t="str">
        <f>IF(Contagem!B939=0,"",Contagem!B939)</f>
        <v/>
      </c>
      <c r="C941" s="242" t="str">
        <f>IF(Contagem!T939 &gt; 0,Contagem!T939,"")</f>
        <v/>
      </c>
      <c r="D941" s="207"/>
      <c r="E941" s="211" t="str">
        <f t="shared" si="140"/>
        <v/>
      </c>
      <c r="F941" s="207"/>
      <c r="G941" s="211" t="str">
        <f t="shared" si="141"/>
        <v/>
      </c>
      <c r="H941" s="207"/>
      <c r="I941" s="211" t="str">
        <f t="shared" si="142"/>
        <v/>
      </c>
      <c r="J941" s="207"/>
      <c r="K941" s="211" t="str">
        <f t="shared" si="143"/>
        <v/>
      </c>
      <c r="L941" s="207"/>
      <c r="M941" s="211" t="str">
        <f t="shared" si="144"/>
        <v/>
      </c>
      <c r="N941" s="207"/>
      <c r="O941" s="211" t="str">
        <f t="shared" si="145"/>
        <v/>
      </c>
      <c r="P941" s="207"/>
      <c r="Q941" s="211" t="str">
        <f t="shared" si="146"/>
        <v/>
      </c>
      <c r="R941" s="207"/>
      <c r="S941" s="211" t="str">
        <f t="shared" si="147"/>
        <v/>
      </c>
      <c r="T941" s="272" t="str">
        <f t="shared" si="148"/>
        <v/>
      </c>
      <c r="U941" s="212" t="str">
        <f t="shared" si="149"/>
        <v/>
      </c>
    </row>
    <row r="942" spans="2:21" x14ac:dyDescent="0.25">
      <c r="B942" s="241" t="str">
        <f>IF(Contagem!B940=0,"",Contagem!B940)</f>
        <v/>
      </c>
      <c r="C942" s="242" t="str">
        <f>IF(Contagem!T940 &gt; 0,Contagem!T940,"")</f>
        <v/>
      </c>
      <c r="D942" s="207"/>
      <c r="E942" s="211" t="str">
        <f t="shared" ref="E942" si="150">IFERROR(IF(AND($D$4&lt;&gt; 0,D942="Sim", $C942 &gt; 0),$C942*$D$4,""),0)</f>
        <v/>
      </c>
      <c r="F942" s="207"/>
      <c r="G942" s="211" t="str">
        <f t="shared" ref="G942" si="151">IFERROR(IF(AND($F$4&lt;&gt; 0,F942="Sim", $C942 &gt; 0),$C942*$F$4,""),0)</f>
        <v/>
      </c>
      <c r="H942" s="207"/>
      <c r="I942" s="211" t="str">
        <f t="shared" ref="I942" si="152">IFERROR(IF(AND($H$4&lt;&gt; 0,H942="Sim", $C942 &gt; 0),$C942*$H$4,""),0)</f>
        <v/>
      </c>
      <c r="J942" s="207"/>
      <c r="K942" s="211" t="str">
        <f t="shared" ref="K942" si="153">IFERROR(IF(AND($J$4&lt;&gt; 0,J942="Sim", $C942 &gt; 0),$C942*$J$4,""),0)</f>
        <v/>
      </c>
      <c r="L942" s="207"/>
      <c r="M942" s="211" t="str">
        <f t="shared" ref="M942" si="154">IFERROR(IF(AND($L$4&lt;&gt; 0,L942="Sim", $C942 &gt; 0),$C942*$L$4,""),0)</f>
        <v/>
      </c>
      <c r="N942" s="207"/>
      <c r="O942" s="211" t="str">
        <f t="shared" ref="O942" si="155">IFERROR(IF(AND($N$4&lt;&gt; 0,N942="Sim", $C942 &gt; 0),$C942*$N$4,""),0)</f>
        <v/>
      </c>
      <c r="P942" s="207"/>
      <c r="Q942" s="211" t="str">
        <f t="shared" ref="Q942" si="156">IFERROR(IF(AND($P$4&lt;&gt; 0,P942="Sim", $C942 &gt; 0),$C942*$P$4,""),0)</f>
        <v/>
      </c>
      <c r="R942" s="207"/>
      <c r="S942" s="211" t="str">
        <f t="shared" ref="S942" si="157">IFERROR(IF(AND($R$4&lt;&gt; 0,R942="Sim", $C942 &gt; 0),$C942*$R$4,""),0)</f>
        <v/>
      </c>
      <c r="T942" s="272" t="str">
        <f t="shared" ref="T942" si="158">IFERROR(U942/C942,"")</f>
        <v/>
      </c>
      <c r="U942" s="212" t="str">
        <f t="shared" ref="U942" si="159">IF(SUM(E942,G942,I942,K942,M942,O942,Q942,S942) &gt; 0,SUM(E942,G942,I942,K942,M942,O942,Q942,S942),"")</f>
        <v/>
      </c>
    </row>
    <row r="943" spans="2:21" x14ac:dyDescent="0.25">
      <c r="B943" s="241" t="str">
        <f>IF(Contagem!B941=0,"",Contagem!B941)</f>
        <v/>
      </c>
      <c r="C943" s="242" t="str">
        <f>IF(Contagem!T941 &gt; 0,Contagem!T941,"")</f>
        <v/>
      </c>
      <c r="D943" s="207"/>
      <c r="E943" s="211" t="str">
        <f t="shared" ref="E943" si="160">IFERROR(IF(AND($D$4&lt;&gt; 0,D943="Sim", $C943 &gt; 0),$C943*$D$4,""),0)</f>
        <v/>
      </c>
      <c r="F943" s="207"/>
      <c r="G943" s="211" t="str">
        <f t="shared" ref="G943" si="161">IFERROR(IF(AND($F$4&lt;&gt; 0,F943="Sim", $C943 &gt; 0),$C943*$F$4,""),0)</f>
        <v/>
      </c>
      <c r="H943" s="207"/>
      <c r="I943" s="211" t="str">
        <f t="shared" ref="I943" si="162">IFERROR(IF(AND($H$4&lt;&gt; 0,H943="Sim", $C943 &gt; 0),$C943*$H$4,""),0)</f>
        <v/>
      </c>
      <c r="J943" s="207"/>
      <c r="K943" s="211" t="str">
        <f t="shared" ref="K943" si="163">IFERROR(IF(AND($J$4&lt;&gt; 0,J943="Sim", $C943 &gt; 0),$C943*$J$4,""),0)</f>
        <v/>
      </c>
      <c r="L943" s="207"/>
      <c r="M943" s="211" t="str">
        <f t="shared" ref="M943" si="164">IFERROR(IF(AND($L$4&lt;&gt; 0,L943="Sim", $C943 &gt; 0),$C943*$L$4,""),0)</f>
        <v/>
      </c>
      <c r="N943" s="207"/>
      <c r="O943" s="211" t="str">
        <f t="shared" ref="O943" si="165">IFERROR(IF(AND($N$4&lt;&gt; 0,N943="Sim", $C943 &gt; 0),$C943*$N$4,""),0)</f>
        <v/>
      </c>
      <c r="P943" s="207"/>
      <c r="Q943" s="211" t="str">
        <f t="shared" ref="Q943" si="166">IFERROR(IF(AND($P$4&lt;&gt; 0,P943="Sim", $C943 &gt; 0),$C943*$P$4,""),0)</f>
        <v/>
      </c>
      <c r="R943" s="207"/>
      <c r="S943" s="211" t="str">
        <f t="shared" ref="S943" si="167">IFERROR(IF(AND($R$4&lt;&gt; 0,R943="Sim", $C943 &gt; 0),$C943*$R$4,""),0)</f>
        <v/>
      </c>
      <c r="T943" s="272" t="str">
        <f t="shared" ref="T943" si="168">IFERROR(U943/C943,"")</f>
        <v/>
      </c>
      <c r="U943" s="212" t="str">
        <f t="shared" ref="U943" si="169">IF(SUM(E943,G943,I943,K943,M943,O943,Q943,S943) &gt; 0,SUM(E943,G943,I943,K943,M943,O943,Q943,S943),"")</f>
        <v/>
      </c>
    </row>
    <row r="944" spans="2:21" s="119" customFormat="1" x14ac:dyDescent="0.25">
      <c r="B944" s="160" t="s">
        <v>116</v>
      </c>
    </row>
  </sheetData>
  <sheetProtection algorithmName="SHA-512" hashValue="+UIDQ/Zl34XTHNIPH7sZsjNuQWq1c1I/r/STZDkseW/ZZEAdNjNZmX2Du2Z24Wcl61ZbDBKt0D2/YUHWYvblZQ==" saltValue="nK7Q0t6y6LggNqKnAiGuXg==" spinCount="100000" sheet="1" objects="1" scenarios="1"/>
  <mergeCells count="29">
    <mergeCell ref="P3:Q3"/>
    <mergeCell ref="R3:S3"/>
    <mergeCell ref="R5:S5"/>
    <mergeCell ref="B2:U2"/>
    <mergeCell ref="B4:C4"/>
    <mergeCell ref="T4:U4"/>
    <mergeCell ref="R4:S4"/>
    <mergeCell ref="J4:K4"/>
    <mergeCell ref="L4:M4"/>
    <mergeCell ref="D5:E5"/>
    <mergeCell ref="F5:G5"/>
    <mergeCell ref="H5:I5"/>
    <mergeCell ref="N4:O4"/>
    <mergeCell ref="X5:AE5"/>
    <mergeCell ref="W2:AF2"/>
    <mergeCell ref="P4:Q4"/>
    <mergeCell ref="D4:E4"/>
    <mergeCell ref="F4:G4"/>
    <mergeCell ref="H4:I4"/>
    <mergeCell ref="J5:K5"/>
    <mergeCell ref="L5:M5"/>
    <mergeCell ref="N5:O5"/>
    <mergeCell ref="P5:Q5"/>
    <mergeCell ref="D3:E3"/>
    <mergeCell ref="F3:G3"/>
    <mergeCell ref="H3:I3"/>
    <mergeCell ref="J3:K3"/>
    <mergeCell ref="L3:M3"/>
    <mergeCell ref="N3:O3"/>
  </mergeCells>
  <conditionalFormatting sqref="T4:U4">
    <cfRule type="expression" dxfId="6" priority="1">
      <formula>$T$4 &lt;&gt;1</formula>
    </cfRule>
  </conditionalFormatting>
  <dataValidations count="1">
    <dataValidation type="list" allowBlank="1" showInputMessage="1" showErrorMessage="1" sqref="H6:H943 J6:J943 L6:L943 N6:N943 R6:R943 D6:D943 P6:P943 X7:AE7 F6:F943" xr:uid="{2A5A1376-9391-4E43-8C59-04376ACBFE8D}">
      <formula1>"Sim,Não"</formula1>
    </dataValidation>
  </dataValidations>
  <pageMargins left="0.511811024" right="0.511811024" top="0.78740157499999996" bottom="0.78740157499999996" header="0.31496062000000002" footer="0.31496062000000002"/>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defaultSize="0" print="0" autoFill="0" autoPict="0" macro="[0]!CopiaFaturamento">
                <anchor>
                  <from>
                    <xdr:col>2</xdr:col>
                    <xdr:colOff>180975</xdr:colOff>
                    <xdr:row>0</xdr:row>
                    <xdr:rowOff>161925</xdr:rowOff>
                  </from>
                  <to>
                    <xdr:col>6</xdr:col>
                    <xdr:colOff>123825</xdr:colOff>
                    <xdr:row>0</xdr:row>
                    <xdr:rowOff>419100</xdr:rowOff>
                  </to>
                </anchor>
              </controlPr>
            </control>
          </mc:Choice>
        </mc:AlternateContent>
        <mc:AlternateContent xmlns:mc="http://schemas.openxmlformats.org/markup-compatibility/2006">
          <mc:Choice Requires="x14">
            <control shapeId="9221" r:id="rId5" name="Button 5">
              <controlPr defaultSize="0" print="0" autoFill="0" autoPict="0" macro="[0]!CopiaSumarioFaturamento">
                <anchor>
                  <from>
                    <xdr:col>10</xdr:col>
                    <xdr:colOff>9525</xdr:colOff>
                    <xdr:row>0</xdr:row>
                    <xdr:rowOff>161925</xdr:rowOff>
                  </from>
                  <to>
                    <xdr:col>14</xdr:col>
                    <xdr:colOff>114300</xdr:colOff>
                    <xdr:row>0</xdr:row>
                    <xdr:rowOff>419100</xdr:rowOff>
                  </to>
                </anchor>
              </controlPr>
            </control>
          </mc:Choice>
        </mc:AlternateContent>
        <mc:AlternateContent xmlns:mc="http://schemas.openxmlformats.org/markup-compatibility/2006">
          <mc:Choice Requires="x14">
            <control shapeId="9224" r:id="rId6" name="Button 8">
              <controlPr defaultSize="0" print="0" autoFill="0" autoPict="0" macro="[0]!Preenche_Item_Faturamento">
                <anchor>
                  <from>
                    <xdr:col>17</xdr:col>
                    <xdr:colOff>238125</xdr:colOff>
                    <xdr:row>0</xdr:row>
                    <xdr:rowOff>161925</xdr:rowOff>
                  </from>
                  <to>
                    <xdr:col>20</xdr:col>
                    <xdr:colOff>285750</xdr:colOff>
                    <xdr:row>0</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dimension ref="B1:H60"/>
  <sheetViews>
    <sheetView showGridLines="0" showRowColHeaders="0" tabSelected="1" workbookViewId="0">
      <pane xSplit="1" ySplit="3" topLeftCell="B4" activePane="bottomRight" state="frozen"/>
      <selection pane="topRight" activeCell="B1" sqref="B1"/>
      <selection pane="bottomLeft" activeCell="A4" sqref="A4"/>
      <selection pane="bottomRight" activeCell="J3" sqref="J3"/>
    </sheetView>
  </sheetViews>
  <sheetFormatPr defaultColWidth="14.42578125" defaultRowHeight="15" customHeight="1" x14ac:dyDescent="0.25"/>
  <cols>
    <col min="1" max="1" width="3.7109375" customWidth="1"/>
    <col min="2" max="2" width="22.7109375" customWidth="1"/>
    <col min="3" max="3" width="104.7109375" customWidth="1"/>
    <col min="4" max="5" width="6.42578125" customWidth="1"/>
    <col min="6" max="6" width="25.28515625" hidden="1" customWidth="1"/>
    <col min="7" max="7" width="19.28515625" hidden="1" customWidth="1"/>
    <col min="8" max="27" width="9.28515625" customWidth="1"/>
  </cols>
  <sheetData>
    <row r="1" spans="2:8" ht="40.15" customHeight="1" x14ac:dyDescent="0.25">
      <c r="F1" t="s">
        <v>117</v>
      </c>
    </row>
    <row r="2" spans="2:8" ht="21" x14ac:dyDescent="0.25">
      <c r="B2" s="363" t="s">
        <v>118</v>
      </c>
      <c r="C2" s="364"/>
      <c r="D2" s="364"/>
      <c r="E2" s="364"/>
      <c r="F2" s="364"/>
      <c r="G2" s="364"/>
      <c r="H2" s="78"/>
    </row>
    <row r="3" spans="2:8" ht="25.5" customHeight="1" x14ac:dyDescent="0.25">
      <c r="B3" s="130" t="s">
        <v>119</v>
      </c>
      <c r="C3" s="131" t="s">
        <v>120</v>
      </c>
      <c r="D3" s="131" t="s">
        <v>121</v>
      </c>
      <c r="E3" s="131" t="s">
        <v>122</v>
      </c>
      <c r="F3" s="79" t="s">
        <v>123</v>
      </c>
      <c r="G3" s="79" t="s">
        <v>124</v>
      </c>
      <c r="H3" s="78"/>
    </row>
    <row r="4" spans="2:8" ht="30" customHeight="1" x14ac:dyDescent="0.25">
      <c r="B4" s="247" t="s">
        <v>125</v>
      </c>
      <c r="C4" s="118" t="s">
        <v>126</v>
      </c>
      <c r="D4" s="80">
        <v>1</v>
      </c>
      <c r="E4" s="80" t="s">
        <v>127</v>
      </c>
      <c r="F4" s="81"/>
      <c r="G4" s="81" t="s">
        <v>128</v>
      </c>
      <c r="H4" s="78"/>
    </row>
    <row r="5" spans="2:8" ht="30" customHeight="1" x14ac:dyDescent="0.25">
      <c r="B5" s="82" t="s">
        <v>129</v>
      </c>
      <c r="C5" s="83" t="s">
        <v>130</v>
      </c>
      <c r="D5" s="84">
        <v>0.5</v>
      </c>
      <c r="E5" s="80" t="s">
        <v>127</v>
      </c>
      <c r="F5" s="85"/>
      <c r="G5" s="85" t="s">
        <v>128</v>
      </c>
      <c r="H5" s="78"/>
    </row>
    <row r="6" spans="2:8" ht="30" customHeight="1" x14ac:dyDescent="0.25">
      <c r="B6" s="82" t="s">
        <v>131</v>
      </c>
      <c r="C6" s="83" t="s">
        <v>132</v>
      </c>
      <c r="D6" s="84">
        <v>0.65</v>
      </c>
      <c r="E6" s="80" t="s">
        <v>127</v>
      </c>
      <c r="F6" s="85"/>
      <c r="G6" s="85" t="s">
        <v>133</v>
      </c>
      <c r="H6" s="78"/>
    </row>
    <row r="7" spans="2:8" ht="30" customHeight="1" x14ac:dyDescent="0.25">
      <c r="B7" s="82" t="s">
        <v>134</v>
      </c>
      <c r="C7" s="83" t="s">
        <v>135</v>
      </c>
      <c r="D7" s="84">
        <v>0.75</v>
      </c>
      <c r="E7" s="80" t="s">
        <v>127</v>
      </c>
      <c r="F7" s="85"/>
      <c r="G7" s="85" t="s">
        <v>133</v>
      </c>
      <c r="H7" s="78"/>
    </row>
    <row r="8" spans="2:8" ht="30" customHeight="1" x14ac:dyDescent="0.25">
      <c r="B8" s="181" t="s">
        <v>136</v>
      </c>
      <c r="C8" s="182" t="s">
        <v>137</v>
      </c>
      <c r="D8" s="183">
        <v>0.8</v>
      </c>
      <c r="E8" s="248" t="s">
        <v>127</v>
      </c>
      <c r="F8" s="163"/>
      <c r="G8" s="163"/>
      <c r="H8" s="78"/>
    </row>
    <row r="9" spans="2:8" ht="30" customHeight="1" x14ac:dyDescent="0.25">
      <c r="B9" s="82" t="s">
        <v>138</v>
      </c>
      <c r="C9" s="83" t="s">
        <v>139</v>
      </c>
      <c r="D9" s="84">
        <v>0.9</v>
      </c>
      <c r="E9" s="80" t="s">
        <v>127</v>
      </c>
      <c r="F9" s="85"/>
      <c r="G9" s="85" t="s">
        <v>140</v>
      </c>
      <c r="H9" s="78"/>
    </row>
    <row r="10" spans="2:8" ht="30" customHeight="1" x14ac:dyDescent="0.25">
      <c r="B10" s="82" t="s">
        <v>141</v>
      </c>
      <c r="C10" s="83" t="s">
        <v>142</v>
      </c>
      <c r="D10" s="84">
        <v>0.3</v>
      </c>
      <c r="E10" s="80" t="s">
        <v>127</v>
      </c>
      <c r="F10" s="85"/>
      <c r="G10" s="85"/>
      <c r="H10" s="78"/>
    </row>
    <row r="11" spans="2:8" ht="30" customHeight="1" x14ac:dyDescent="0.25">
      <c r="B11" s="181" t="s">
        <v>143</v>
      </c>
      <c r="C11" s="182" t="s">
        <v>142</v>
      </c>
      <c r="D11" s="183">
        <v>0.25</v>
      </c>
      <c r="E11" s="248" t="s">
        <v>127</v>
      </c>
      <c r="F11" s="85"/>
      <c r="G11" s="85"/>
      <c r="H11" s="78"/>
    </row>
    <row r="12" spans="2:8" ht="30" customHeight="1" x14ac:dyDescent="0.25">
      <c r="B12" s="82" t="s">
        <v>144</v>
      </c>
      <c r="C12" s="83" t="s">
        <v>145</v>
      </c>
      <c r="D12" s="84">
        <v>1</v>
      </c>
      <c r="E12" s="80" t="s">
        <v>127</v>
      </c>
      <c r="F12" s="85"/>
      <c r="G12" s="85"/>
      <c r="H12" s="78"/>
    </row>
    <row r="13" spans="2:8" ht="30" customHeight="1" x14ac:dyDescent="0.25">
      <c r="B13" s="82" t="s">
        <v>146</v>
      </c>
      <c r="C13" s="83" t="s">
        <v>147</v>
      </c>
      <c r="D13" s="84">
        <v>0</v>
      </c>
      <c r="E13" s="80" t="s">
        <v>127</v>
      </c>
      <c r="F13" s="85"/>
      <c r="G13" s="85"/>
      <c r="H13" s="78"/>
    </row>
    <row r="14" spans="2:8" ht="30" customHeight="1" x14ac:dyDescent="0.25">
      <c r="B14" s="82" t="s">
        <v>148</v>
      </c>
      <c r="C14" s="86" t="s">
        <v>149</v>
      </c>
      <c r="D14" s="84">
        <v>0.5</v>
      </c>
      <c r="E14" s="80" t="s">
        <v>127</v>
      </c>
      <c r="F14" s="85"/>
      <c r="G14" s="85"/>
      <c r="H14" s="78"/>
    </row>
    <row r="15" spans="2:8" ht="30" customHeight="1" x14ac:dyDescent="0.25">
      <c r="B15" s="82" t="s">
        <v>150</v>
      </c>
      <c r="C15" s="86" t="s">
        <v>151</v>
      </c>
      <c r="D15" s="84">
        <v>0.65</v>
      </c>
      <c r="E15" s="80" t="s">
        <v>127</v>
      </c>
      <c r="F15" s="85"/>
      <c r="G15" s="85"/>
      <c r="H15" s="78"/>
    </row>
    <row r="16" spans="2:8" ht="30" customHeight="1" x14ac:dyDescent="0.25">
      <c r="B16" s="82" t="s">
        <v>152</v>
      </c>
      <c r="C16" s="86" t="s">
        <v>153</v>
      </c>
      <c r="D16" s="84">
        <v>0.75</v>
      </c>
      <c r="E16" s="80" t="s">
        <v>127</v>
      </c>
      <c r="F16" s="85"/>
      <c r="G16" s="85"/>
      <c r="H16" s="78"/>
    </row>
    <row r="17" spans="2:8" ht="30" customHeight="1" x14ac:dyDescent="0.25">
      <c r="B17" s="82" t="s">
        <v>154</v>
      </c>
      <c r="C17" s="86" t="s">
        <v>155</v>
      </c>
      <c r="D17" s="84">
        <v>0.9</v>
      </c>
      <c r="E17" s="80" t="s">
        <v>127</v>
      </c>
      <c r="F17" s="85"/>
      <c r="G17" s="85"/>
      <c r="H17" s="78"/>
    </row>
    <row r="18" spans="2:8" ht="30" customHeight="1" x14ac:dyDescent="0.25">
      <c r="B18" s="82" t="s">
        <v>156</v>
      </c>
      <c r="C18" s="86" t="s">
        <v>157</v>
      </c>
      <c r="D18" s="84">
        <v>1</v>
      </c>
      <c r="E18" s="80" t="s">
        <v>127</v>
      </c>
      <c r="F18" s="85"/>
      <c r="G18" s="85"/>
      <c r="H18" s="78"/>
    </row>
    <row r="19" spans="2:8" ht="30" customHeight="1" x14ac:dyDescent="0.25">
      <c r="B19" s="82" t="s">
        <v>158</v>
      </c>
      <c r="C19" s="86" t="s">
        <v>159</v>
      </c>
      <c r="D19" s="84">
        <v>1</v>
      </c>
      <c r="E19" s="80" t="s">
        <v>127</v>
      </c>
      <c r="F19" s="85"/>
      <c r="G19" s="85"/>
      <c r="H19" s="78"/>
    </row>
    <row r="20" spans="2:8" ht="30" customHeight="1" x14ac:dyDescent="0.25">
      <c r="B20" s="82" t="s">
        <v>160</v>
      </c>
      <c r="C20" s="86" t="s">
        <v>161</v>
      </c>
      <c r="D20" s="84">
        <v>0.3</v>
      </c>
      <c r="E20" s="80" t="s">
        <v>127</v>
      </c>
      <c r="F20" s="85"/>
      <c r="G20" s="85"/>
    </row>
    <row r="21" spans="2:8" ht="30" customHeight="1" x14ac:dyDescent="0.25">
      <c r="B21" s="82" t="s">
        <v>162</v>
      </c>
      <c r="C21" s="86" t="s">
        <v>163</v>
      </c>
      <c r="D21" s="84">
        <v>0.3</v>
      </c>
      <c r="E21" s="80" t="s">
        <v>127</v>
      </c>
      <c r="F21" s="85"/>
      <c r="G21" s="85"/>
    </row>
    <row r="22" spans="2:8" ht="30" customHeight="1" x14ac:dyDescent="0.25">
      <c r="B22" s="82" t="s">
        <v>164</v>
      </c>
      <c r="C22" s="86" t="s">
        <v>165</v>
      </c>
      <c r="D22" s="84">
        <v>0.3</v>
      </c>
      <c r="E22" s="80" t="s">
        <v>127</v>
      </c>
      <c r="F22" s="85"/>
      <c r="G22" s="85"/>
    </row>
    <row r="23" spans="2:8" ht="30" customHeight="1" x14ac:dyDescent="0.25">
      <c r="B23" s="162" t="s">
        <v>166</v>
      </c>
      <c r="C23" s="151" t="s">
        <v>167</v>
      </c>
      <c r="D23" s="152">
        <v>0.6</v>
      </c>
      <c r="E23" s="152" t="s">
        <v>168</v>
      </c>
      <c r="F23" s="85" t="s">
        <v>169</v>
      </c>
      <c r="G23" s="85"/>
    </row>
    <row r="24" spans="2:8" ht="30" customHeight="1" x14ac:dyDescent="0.25">
      <c r="B24" s="181" t="s">
        <v>170</v>
      </c>
      <c r="C24" s="201" t="s">
        <v>171</v>
      </c>
      <c r="D24" s="183">
        <v>0.4</v>
      </c>
      <c r="E24" s="248" t="s">
        <v>127</v>
      </c>
      <c r="F24" s="85"/>
      <c r="G24" s="85"/>
    </row>
    <row r="25" spans="2:8" ht="30" customHeight="1" x14ac:dyDescent="0.25">
      <c r="B25" s="82" t="s">
        <v>172</v>
      </c>
      <c r="C25" s="86" t="s">
        <v>173</v>
      </c>
      <c r="D25" s="84">
        <v>0.5</v>
      </c>
      <c r="E25" s="80" t="s">
        <v>127</v>
      </c>
      <c r="F25" s="85"/>
      <c r="G25" s="85"/>
    </row>
    <row r="26" spans="2:8" ht="30" customHeight="1" x14ac:dyDescent="0.25">
      <c r="B26" s="82" t="s">
        <v>174</v>
      </c>
      <c r="C26" s="86" t="s">
        <v>175</v>
      </c>
      <c r="D26" s="84">
        <v>0.65</v>
      </c>
      <c r="E26" s="80" t="s">
        <v>127</v>
      </c>
      <c r="F26" s="85"/>
      <c r="G26" s="85"/>
    </row>
    <row r="27" spans="2:8" ht="30" customHeight="1" x14ac:dyDescent="0.25">
      <c r="B27" s="82" t="s">
        <v>176</v>
      </c>
      <c r="C27" s="86" t="s">
        <v>177</v>
      </c>
      <c r="D27" s="84">
        <v>0.75</v>
      </c>
      <c r="E27" s="80" t="s">
        <v>127</v>
      </c>
      <c r="F27" s="85"/>
      <c r="G27" s="85"/>
    </row>
    <row r="28" spans="2:8" ht="30" customHeight="1" x14ac:dyDescent="0.25">
      <c r="B28" s="82" t="s">
        <v>178</v>
      </c>
      <c r="C28" s="86" t="s">
        <v>179</v>
      </c>
      <c r="D28" s="84">
        <v>0.9</v>
      </c>
      <c r="E28" s="80" t="s">
        <v>127</v>
      </c>
      <c r="F28" s="85"/>
      <c r="G28" s="85"/>
    </row>
    <row r="29" spans="2:8" ht="30" customHeight="1" x14ac:dyDescent="0.25">
      <c r="B29" s="82" t="s">
        <v>180</v>
      </c>
      <c r="C29" s="86" t="s">
        <v>181</v>
      </c>
      <c r="D29" s="84">
        <v>1</v>
      </c>
      <c r="E29" s="80" t="s">
        <v>127</v>
      </c>
      <c r="F29" s="85"/>
      <c r="G29" s="85"/>
    </row>
    <row r="30" spans="2:8" ht="30" customHeight="1" x14ac:dyDescent="0.25">
      <c r="B30" s="82" t="s">
        <v>182</v>
      </c>
      <c r="C30" s="86" t="s">
        <v>183</v>
      </c>
      <c r="D30" s="84">
        <v>1</v>
      </c>
      <c r="E30" s="80" t="s">
        <v>127</v>
      </c>
      <c r="F30" s="85"/>
      <c r="G30" s="85"/>
    </row>
    <row r="31" spans="2:8" ht="30" customHeight="1" x14ac:dyDescent="0.25">
      <c r="B31" s="82" t="s">
        <v>184</v>
      </c>
      <c r="C31" s="86" t="s">
        <v>185</v>
      </c>
      <c r="D31" s="84">
        <v>0.6</v>
      </c>
      <c r="E31" s="80" t="s">
        <v>127</v>
      </c>
      <c r="F31" s="85"/>
      <c r="G31" s="85"/>
    </row>
    <row r="32" spans="2:8" ht="30" customHeight="1" x14ac:dyDescent="0.25">
      <c r="B32" s="82" t="s">
        <v>186</v>
      </c>
      <c r="C32" s="86" t="s">
        <v>187</v>
      </c>
      <c r="D32" s="84">
        <v>1</v>
      </c>
      <c r="E32" s="80" t="s">
        <v>127</v>
      </c>
      <c r="F32" s="85"/>
      <c r="G32" s="85"/>
    </row>
    <row r="33" spans="2:7" ht="30" customHeight="1" x14ac:dyDescent="0.25">
      <c r="B33" s="82" t="s">
        <v>188</v>
      </c>
      <c r="C33" s="86" t="s">
        <v>189</v>
      </c>
      <c r="D33" s="84">
        <v>0.1</v>
      </c>
      <c r="E33" s="80" t="s">
        <v>127</v>
      </c>
      <c r="F33" s="85"/>
      <c r="G33" s="85"/>
    </row>
    <row r="34" spans="2:7" ht="30" customHeight="1" x14ac:dyDescent="0.25">
      <c r="B34" s="82" t="s">
        <v>190</v>
      </c>
      <c r="C34" s="86" t="s">
        <v>191</v>
      </c>
      <c r="D34" s="84">
        <v>0.1</v>
      </c>
      <c r="E34" s="80" t="s">
        <v>127</v>
      </c>
      <c r="F34" s="85"/>
      <c r="G34" s="85"/>
    </row>
    <row r="35" spans="2:7" ht="30" customHeight="1" x14ac:dyDescent="0.25">
      <c r="B35" s="162" t="s">
        <v>192</v>
      </c>
      <c r="C35" s="151" t="s">
        <v>193</v>
      </c>
      <c r="D35" s="152">
        <v>0.6</v>
      </c>
      <c r="E35" s="249" t="s">
        <v>168</v>
      </c>
      <c r="F35" s="85" t="s">
        <v>194</v>
      </c>
      <c r="G35" s="85"/>
    </row>
    <row r="36" spans="2:7" ht="30" customHeight="1" x14ac:dyDescent="0.25">
      <c r="B36" s="82" t="s">
        <v>195</v>
      </c>
      <c r="C36" s="86" t="s">
        <v>196</v>
      </c>
      <c r="D36" s="84">
        <v>0.25</v>
      </c>
      <c r="E36" s="80" t="s">
        <v>127</v>
      </c>
      <c r="F36" s="85" t="s">
        <v>64</v>
      </c>
      <c r="G36" s="85"/>
    </row>
    <row r="37" spans="2:7" ht="30" customHeight="1" x14ac:dyDescent="0.25">
      <c r="B37" s="82" t="s">
        <v>197</v>
      </c>
      <c r="C37" s="86" t="s">
        <v>198</v>
      </c>
      <c r="D37" s="84">
        <v>0.15</v>
      </c>
      <c r="E37" s="80" t="s">
        <v>127</v>
      </c>
      <c r="F37" s="85"/>
      <c r="G37" s="85"/>
    </row>
    <row r="38" spans="2:7" ht="30" customHeight="1" x14ac:dyDescent="0.25">
      <c r="B38" s="82" t="s">
        <v>199</v>
      </c>
      <c r="C38" s="86" t="s">
        <v>200</v>
      </c>
      <c r="D38" s="84">
        <v>0.2</v>
      </c>
      <c r="E38" s="80" t="s">
        <v>127</v>
      </c>
      <c r="F38" s="85"/>
      <c r="G38" s="85"/>
    </row>
    <row r="39" spans="2:7" ht="30" customHeight="1" x14ac:dyDescent="0.25">
      <c r="B39" s="82" t="s">
        <v>201</v>
      </c>
      <c r="C39" s="86" t="s">
        <v>202</v>
      </c>
      <c r="D39" s="84">
        <v>0.15</v>
      </c>
      <c r="E39" s="80" t="s">
        <v>127</v>
      </c>
      <c r="F39" s="85"/>
      <c r="G39" s="85"/>
    </row>
    <row r="40" spans="2:7" ht="30" customHeight="1" x14ac:dyDescent="0.25">
      <c r="B40" s="82" t="s">
        <v>203</v>
      </c>
      <c r="C40" s="86" t="s">
        <v>204</v>
      </c>
      <c r="D40" s="84">
        <v>1</v>
      </c>
      <c r="E40" s="80" t="s">
        <v>127</v>
      </c>
      <c r="F40" s="85"/>
      <c r="G40" s="85"/>
    </row>
    <row r="41" spans="2:7" ht="30" customHeight="1" x14ac:dyDescent="0.25">
      <c r="B41" s="162" t="s">
        <v>205</v>
      </c>
      <c r="C41" s="151" t="s">
        <v>204</v>
      </c>
      <c r="D41" s="152">
        <v>0.6</v>
      </c>
      <c r="E41" s="249" t="s">
        <v>168</v>
      </c>
      <c r="F41" s="85" t="s">
        <v>206</v>
      </c>
      <c r="G41" s="85"/>
    </row>
    <row r="42" spans="2:7" ht="30" customHeight="1" x14ac:dyDescent="0.25">
      <c r="B42" s="82" t="s">
        <v>207</v>
      </c>
      <c r="C42" s="86" t="s">
        <v>208</v>
      </c>
      <c r="D42" s="84">
        <v>1</v>
      </c>
      <c r="E42" s="80" t="s">
        <v>127</v>
      </c>
      <c r="F42" s="85"/>
      <c r="G42" s="85"/>
    </row>
    <row r="43" spans="2:7" ht="30" customHeight="1" x14ac:dyDescent="0.25">
      <c r="B43" s="82" t="s">
        <v>209</v>
      </c>
      <c r="C43" s="86" t="s">
        <v>210</v>
      </c>
      <c r="D43" s="84">
        <v>0.25</v>
      </c>
      <c r="E43" s="84" t="s">
        <v>211</v>
      </c>
      <c r="F43" s="85" t="s">
        <v>212</v>
      </c>
      <c r="G43" s="85"/>
    </row>
    <row r="44" spans="2:7" ht="30" customHeight="1" x14ac:dyDescent="0.25">
      <c r="B44" s="82" t="s">
        <v>213</v>
      </c>
      <c r="C44" s="86" t="s">
        <v>214</v>
      </c>
      <c r="D44" s="84">
        <v>0.35</v>
      </c>
      <c r="E44" s="84" t="s">
        <v>211</v>
      </c>
      <c r="F44" s="85" t="s">
        <v>212</v>
      </c>
      <c r="G44" s="85"/>
    </row>
    <row r="45" spans="2:7" ht="30" customHeight="1" x14ac:dyDescent="0.25">
      <c r="B45" s="82" t="s">
        <v>215</v>
      </c>
      <c r="C45" s="86" t="s">
        <v>124</v>
      </c>
      <c r="D45" s="84">
        <v>0.75</v>
      </c>
      <c r="E45" s="84" t="s">
        <v>211</v>
      </c>
      <c r="F45" s="85" t="s">
        <v>212</v>
      </c>
      <c r="G45" s="85"/>
    </row>
    <row r="46" spans="2:7" ht="30" customHeight="1" x14ac:dyDescent="0.25">
      <c r="B46" s="82" t="s">
        <v>216</v>
      </c>
      <c r="C46" s="86" t="s">
        <v>108</v>
      </c>
      <c r="D46" s="84">
        <v>0.9</v>
      </c>
      <c r="E46" s="84" t="s">
        <v>211</v>
      </c>
      <c r="F46" s="85" t="s">
        <v>212</v>
      </c>
      <c r="G46" s="85"/>
    </row>
    <row r="47" spans="2:7" ht="30" customHeight="1" x14ac:dyDescent="0.25">
      <c r="B47" s="82" t="s">
        <v>217</v>
      </c>
      <c r="C47" s="86" t="s">
        <v>109</v>
      </c>
      <c r="D47" s="84">
        <v>0.95000000000000007</v>
      </c>
      <c r="E47" s="84" t="s">
        <v>211</v>
      </c>
      <c r="F47" s="85" t="s">
        <v>212</v>
      </c>
      <c r="G47" s="85"/>
    </row>
    <row r="48" spans="2:7" ht="30" customHeight="1" x14ac:dyDescent="0.25">
      <c r="B48" s="82" t="s">
        <v>218</v>
      </c>
      <c r="C48" s="86" t="s">
        <v>107</v>
      </c>
      <c r="D48" s="84">
        <v>1</v>
      </c>
      <c r="E48" s="84" t="s">
        <v>211</v>
      </c>
      <c r="F48" s="85" t="s">
        <v>212</v>
      </c>
      <c r="G48" s="85"/>
    </row>
    <row r="49" spans="2:7" ht="30" customHeight="1" x14ac:dyDescent="0.25">
      <c r="B49" s="82" t="s">
        <v>219</v>
      </c>
      <c r="C49" s="86" t="s">
        <v>220</v>
      </c>
      <c r="D49" s="84">
        <v>0</v>
      </c>
      <c r="E49" s="84"/>
      <c r="F49" s="85"/>
      <c r="G49" s="85"/>
    </row>
    <row r="50" spans="2:7" ht="15.75" customHeight="1" x14ac:dyDescent="0.25">
      <c r="B50" s="87"/>
      <c r="C50" s="88"/>
      <c r="D50" s="87"/>
      <c r="E50" s="87"/>
      <c r="F50" s="87"/>
      <c r="G50" s="87"/>
    </row>
    <row r="51" spans="2:7" ht="15.75" customHeight="1" x14ac:dyDescent="0.25">
      <c r="B51" s="87"/>
      <c r="C51" s="88"/>
      <c r="D51" s="87"/>
      <c r="E51" s="87"/>
      <c r="F51" s="87"/>
      <c r="G51" s="87"/>
    </row>
    <row r="52" spans="2:7" ht="15.75" customHeight="1" x14ac:dyDescent="0.25">
      <c r="B52" s="87"/>
      <c r="C52" s="88"/>
      <c r="D52" s="87"/>
      <c r="E52" s="87"/>
      <c r="F52" s="87"/>
      <c r="G52" s="87"/>
    </row>
    <row r="53" spans="2:7" ht="15.75" customHeight="1" x14ac:dyDescent="0.25">
      <c r="B53" s="87"/>
      <c r="C53" s="89" t="s">
        <v>221</v>
      </c>
      <c r="D53" s="90" t="s">
        <v>121</v>
      </c>
      <c r="E53" s="154"/>
      <c r="F53" s="87"/>
      <c r="G53" s="87"/>
    </row>
    <row r="54" spans="2:7" ht="15.75" customHeight="1" x14ac:dyDescent="0.25">
      <c r="C54" s="91" t="s">
        <v>222</v>
      </c>
      <c r="D54" s="92">
        <v>0.75</v>
      </c>
      <c r="E54" s="155"/>
    </row>
    <row r="55" spans="2:7" ht="15.75" customHeight="1" x14ac:dyDescent="0.25">
      <c r="C55" s="91" t="s">
        <v>223</v>
      </c>
      <c r="D55" s="92">
        <v>0.75</v>
      </c>
      <c r="E55" s="155"/>
    </row>
    <row r="56" spans="2:7" ht="15.75" customHeight="1" x14ac:dyDescent="0.25">
      <c r="C56" s="91" t="s">
        <v>224</v>
      </c>
      <c r="D56" s="92">
        <v>1.4</v>
      </c>
      <c r="E56" s="155"/>
    </row>
    <row r="57" spans="2:7" ht="15.75" customHeight="1" x14ac:dyDescent="0.25">
      <c r="C57" s="91" t="s">
        <v>225</v>
      </c>
      <c r="D57" s="92">
        <v>1.1499999999999999</v>
      </c>
      <c r="E57" s="155"/>
    </row>
    <row r="58" spans="2:7" ht="15.75" customHeight="1" x14ac:dyDescent="0.25">
      <c r="C58" s="91" t="s">
        <v>226</v>
      </c>
      <c r="D58" s="92">
        <v>0.4</v>
      </c>
      <c r="E58" s="155"/>
    </row>
    <row r="59" spans="2:7" ht="15.75" customHeight="1" x14ac:dyDescent="0.25">
      <c r="C59" s="93" t="s">
        <v>227</v>
      </c>
      <c r="D59" s="94">
        <v>1</v>
      </c>
      <c r="E59" s="155"/>
    </row>
    <row r="60" spans="2:7" ht="15.75" customHeight="1" x14ac:dyDescent="0.25">
      <c r="C60" s="95" t="s">
        <v>228</v>
      </c>
      <c r="D60" s="96">
        <v>1</v>
      </c>
      <c r="E60" s="155"/>
    </row>
  </sheetData>
  <sheetProtection algorithmName="SHA-512" hashValue="FCSTI2FFa3alUddeA4+PCrwaFK7s9na9RpQD2EWidV//SMDT+vkT/guoh0aivBYeYmhll8/7JYc32bMdqdSumQ==" saltValue="d9b6+R6kFtJ5xQA2cSYBwA==" spinCount="100000" sheet="1" objects="1" scenarios="1"/>
  <mergeCells count="1">
    <mergeCell ref="B2:G2"/>
  </mergeCells>
  <pageMargins left="0.511811024" right="0.511811024" top="0.78740157499999996" bottom="0.78740157499999996" header="0" footer="0"/>
  <pageSetup paperSize="9"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B1:AP27"/>
  <sheetViews>
    <sheetView showGridLines="0" showRowColHeaders="0" topLeftCell="A5" workbookViewId="0">
      <selection activeCell="O6" sqref="O6"/>
    </sheetView>
  </sheetViews>
  <sheetFormatPr defaultColWidth="14.42578125" defaultRowHeight="15" customHeight="1" x14ac:dyDescent="0.25"/>
  <cols>
    <col min="1" max="1" width="3.7109375" customWidth="1"/>
    <col min="2" max="2" width="34.7109375" customWidth="1"/>
    <col min="3" max="3" width="9.28515625" customWidth="1"/>
    <col min="4" max="4" width="10.7109375" customWidth="1"/>
    <col min="5" max="17" width="6.7109375" customWidth="1"/>
    <col min="18" max="18" width="25" customWidth="1"/>
    <col min="19" max="19" width="9.28515625" customWidth="1"/>
    <col min="20" max="20" width="8.7109375" customWidth="1"/>
    <col min="21" max="31" width="7.7109375" customWidth="1"/>
    <col min="32" max="33" width="9.28515625" customWidth="1"/>
    <col min="34" max="34" width="4.5703125" customWidth="1"/>
  </cols>
  <sheetData>
    <row r="1" spans="2:42" ht="19.5" customHeight="1" x14ac:dyDescent="0.25">
      <c r="B1" s="365"/>
      <c r="C1" s="367" t="s">
        <v>229</v>
      </c>
      <c r="D1" s="368"/>
      <c r="E1" s="368"/>
      <c r="F1" s="368"/>
      <c r="G1" s="368"/>
      <c r="H1" s="368"/>
      <c r="I1" s="368"/>
      <c r="J1" s="368"/>
      <c r="K1" s="368"/>
      <c r="L1" s="368"/>
      <c r="M1" s="368"/>
      <c r="N1" s="368"/>
      <c r="O1" s="368"/>
      <c r="P1" s="110"/>
      <c r="Q1" s="110"/>
      <c r="R1" s="365"/>
      <c r="S1" s="370" t="s">
        <v>230</v>
      </c>
      <c r="T1" s="304"/>
      <c r="U1" s="304"/>
      <c r="V1" s="304"/>
      <c r="W1" s="304"/>
      <c r="X1" s="304"/>
      <c r="Y1" s="304"/>
      <c r="Z1" s="304"/>
      <c r="AA1" s="304"/>
      <c r="AB1" s="304"/>
      <c r="AC1" s="304"/>
      <c r="AD1" s="304"/>
      <c r="AE1" s="304"/>
      <c r="AF1" s="304"/>
      <c r="AG1" s="304"/>
    </row>
    <row r="2" spans="2:42" ht="19.5" customHeight="1" thickBot="1" x14ac:dyDescent="0.3">
      <c r="B2" s="366"/>
      <c r="C2" s="369"/>
      <c r="D2" s="366"/>
      <c r="E2" s="366"/>
      <c r="F2" s="366"/>
      <c r="G2" s="366"/>
      <c r="H2" s="366"/>
      <c r="I2" s="366"/>
      <c r="J2" s="366"/>
      <c r="K2" s="366"/>
      <c r="L2" s="366"/>
      <c r="M2" s="366"/>
      <c r="N2" s="366"/>
      <c r="O2" s="366"/>
      <c r="P2" s="110"/>
      <c r="Q2" s="110"/>
      <c r="R2" s="366"/>
      <c r="S2" s="304"/>
      <c r="T2" s="366"/>
      <c r="U2" s="366"/>
      <c r="V2" s="366"/>
      <c r="W2" s="366"/>
      <c r="X2" s="366"/>
      <c r="Y2" s="366"/>
      <c r="Z2" s="366"/>
      <c r="AA2" s="366"/>
      <c r="AB2" s="366"/>
      <c r="AC2" s="366"/>
      <c r="AD2" s="366"/>
      <c r="AE2" s="366"/>
      <c r="AF2" s="366"/>
      <c r="AG2" s="366"/>
    </row>
    <row r="3" spans="2:42" ht="19.5" customHeight="1" thickTop="1" thickBot="1" x14ac:dyDescent="0.3">
      <c r="B3" s="371" t="s">
        <v>231</v>
      </c>
      <c r="C3" s="374" t="s">
        <v>27</v>
      </c>
      <c r="D3" s="383" t="s">
        <v>232</v>
      </c>
      <c r="E3" s="384"/>
      <c r="F3" s="384"/>
      <c r="G3" s="384"/>
      <c r="H3" s="384"/>
      <c r="I3" s="385"/>
      <c r="J3" s="377" t="s">
        <v>233</v>
      </c>
      <c r="K3" s="378"/>
      <c r="L3" s="378"/>
      <c r="M3" s="378"/>
      <c r="N3" s="378"/>
      <c r="O3" s="378"/>
      <c r="P3" s="378"/>
      <c r="Q3" s="389"/>
      <c r="R3" s="371" t="s">
        <v>231</v>
      </c>
      <c r="S3" s="374" t="s">
        <v>27</v>
      </c>
      <c r="T3" s="383" t="s">
        <v>232</v>
      </c>
      <c r="U3" s="384"/>
      <c r="V3" s="384"/>
      <c r="W3" s="384"/>
      <c r="X3" s="384"/>
      <c r="Y3" s="385"/>
      <c r="Z3" s="377" t="s">
        <v>233</v>
      </c>
      <c r="AA3" s="378"/>
      <c r="AB3" s="378"/>
      <c r="AC3" s="378"/>
      <c r="AD3" s="378"/>
      <c r="AE3" s="378"/>
      <c r="AF3" s="378"/>
      <c r="AG3" s="378"/>
      <c r="AI3" s="386" t="s">
        <v>234</v>
      </c>
      <c r="AJ3" s="387"/>
      <c r="AK3" s="387"/>
      <c r="AL3" s="387"/>
      <c r="AM3" s="388"/>
      <c r="AN3" s="175"/>
      <c r="AO3" s="175"/>
      <c r="AP3" s="175"/>
    </row>
    <row r="4" spans="2:42" ht="19.5" customHeight="1" x14ac:dyDescent="0.25">
      <c r="B4" s="372"/>
      <c r="C4" s="375"/>
      <c r="D4" s="381" t="s">
        <v>235</v>
      </c>
      <c r="E4" s="382"/>
      <c r="F4" s="379" t="s">
        <v>236</v>
      </c>
      <c r="G4" s="382"/>
      <c r="H4" s="379" t="s">
        <v>237</v>
      </c>
      <c r="I4" s="380"/>
      <c r="J4" s="381" t="s">
        <v>238</v>
      </c>
      <c r="K4" s="382"/>
      <c r="L4" s="379" t="s">
        <v>239</v>
      </c>
      <c r="M4" s="382"/>
      <c r="N4" s="379" t="s">
        <v>240</v>
      </c>
      <c r="O4" s="380"/>
      <c r="P4" s="379" t="s">
        <v>241</v>
      </c>
      <c r="Q4" s="380"/>
      <c r="R4" s="372"/>
      <c r="S4" s="375"/>
      <c r="T4" s="381" t="s">
        <v>235</v>
      </c>
      <c r="U4" s="382"/>
      <c r="V4" s="379" t="s">
        <v>236</v>
      </c>
      <c r="W4" s="382"/>
      <c r="X4" s="379" t="s">
        <v>237</v>
      </c>
      <c r="Y4" s="380"/>
      <c r="Z4" s="381" t="s">
        <v>238</v>
      </c>
      <c r="AA4" s="382"/>
      <c r="AB4" s="390" t="s">
        <v>239</v>
      </c>
      <c r="AC4" s="382"/>
      <c r="AD4" s="379" t="s">
        <v>240</v>
      </c>
      <c r="AE4" s="380"/>
      <c r="AF4" s="379" t="s">
        <v>241</v>
      </c>
      <c r="AG4" s="380"/>
      <c r="AI4" s="274" t="s">
        <v>242</v>
      </c>
      <c r="AJ4" s="178"/>
      <c r="AK4" s="178"/>
      <c r="AL4" s="275" t="s">
        <v>243</v>
      </c>
      <c r="AM4" s="179"/>
    </row>
    <row r="5" spans="2:42" ht="19.5" customHeight="1" x14ac:dyDescent="0.25">
      <c r="B5" s="373"/>
      <c r="C5" s="376"/>
      <c r="D5" s="34" t="s">
        <v>244</v>
      </c>
      <c r="E5" s="35" t="s">
        <v>36</v>
      </c>
      <c r="F5" s="36" t="s">
        <v>244</v>
      </c>
      <c r="G5" s="35" t="s">
        <v>36</v>
      </c>
      <c r="H5" s="36" t="s">
        <v>244</v>
      </c>
      <c r="I5" s="37" t="s">
        <v>36</v>
      </c>
      <c r="J5" s="34" t="s">
        <v>244</v>
      </c>
      <c r="K5" s="35" t="s">
        <v>36</v>
      </c>
      <c r="L5" s="36" t="s">
        <v>244</v>
      </c>
      <c r="M5" s="35" t="s">
        <v>36</v>
      </c>
      <c r="N5" s="36" t="s">
        <v>244</v>
      </c>
      <c r="O5" s="37" t="s">
        <v>36</v>
      </c>
      <c r="P5" s="36" t="s">
        <v>244</v>
      </c>
      <c r="Q5" s="37" t="s">
        <v>36</v>
      </c>
      <c r="R5" s="373"/>
      <c r="S5" s="376"/>
      <c r="T5" s="34" t="s">
        <v>244</v>
      </c>
      <c r="U5" s="35" t="s">
        <v>36</v>
      </c>
      <c r="V5" s="36" t="s">
        <v>244</v>
      </c>
      <c r="W5" s="35" t="s">
        <v>36</v>
      </c>
      <c r="X5" s="36" t="s">
        <v>244</v>
      </c>
      <c r="Y5" s="37" t="s">
        <v>36</v>
      </c>
      <c r="Z5" s="34" t="s">
        <v>244</v>
      </c>
      <c r="AA5" s="35" t="s">
        <v>36</v>
      </c>
      <c r="AB5" s="111" t="s">
        <v>244</v>
      </c>
      <c r="AC5" s="112" t="s">
        <v>36</v>
      </c>
      <c r="AD5" s="36" t="s">
        <v>244</v>
      </c>
      <c r="AE5" s="37" t="s">
        <v>36</v>
      </c>
      <c r="AF5" s="36" t="s">
        <v>244</v>
      </c>
      <c r="AG5" s="37" t="s">
        <v>36</v>
      </c>
      <c r="AI5" s="127"/>
      <c r="AJ5" s="176" t="s">
        <v>24</v>
      </c>
      <c r="AK5" s="176" t="s">
        <v>245</v>
      </c>
      <c r="AL5" s="176" t="s">
        <v>24</v>
      </c>
      <c r="AM5" s="177" t="s">
        <v>245</v>
      </c>
    </row>
    <row r="6" spans="2:42" ht="19.5" customHeight="1" thickBot="1" x14ac:dyDescent="0.3">
      <c r="B6" s="38" t="s">
        <v>246</v>
      </c>
      <c r="C6" s="113">
        <f t="shared" ref="C6:C7" si="0">+E6+G6+I6</f>
        <v>0</v>
      </c>
      <c r="D6" s="39">
        <f>COUNTIF(Contagem!$M$4:$M$941,"ALIL")</f>
        <v>0</v>
      </c>
      <c r="E6" s="40">
        <f>D6*7</f>
        <v>0</v>
      </c>
      <c r="F6" s="41">
        <f>COUNTIF(Contagem!$M$4:$M$941,"ALIA")</f>
        <v>0</v>
      </c>
      <c r="G6" s="40">
        <f>F6*10</f>
        <v>0</v>
      </c>
      <c r="H6" s="41">
        <f>COUNTIF(Contagem!$M$4:$M$941,"ALIH")</f>
        <v>0</v>
      </c>
      <c r="I6" s="42">
        <f>H6*15</f>
        <v>0</v>
      </c>
      <c r="J6" s="39">
        <f>COUNTIFS(Contagem!$D$4:$D$941,"ALI",Contagem!$E$4:$E$941,"A")</f>
        <v>0</v>
      </c>
      <c r="K6" s="40">
        <f>SUMIFS(Contagem!$S$4:$S$941,Contagem!$D$4:$D$941,"ALI",Contagem!$E$4:$E$941,"A")</f>
        <v>0</v>
      </c>
      <c r="L6" s="41">
        <f>COUNTIFS(Contagem!$D$4:$D$941,"ALI",Contagem!$E$4:$E$941,"I")</f>
        <v>0</v>
      </c>
      <c r="M6" s="40">
        <f>SUMIFS(Contagem!$S$4:$S$941,Contagem!$D$4:$D$941,"ALI",Contagem!$E$4:$E$941,"I")</f>
        <v>0</v>
      </c>
      <c r="N6" s="41">
        <f>COUNTIFS(Contagem!$D$4:$D$941,"ALI",Contagem!$E$4:$E$941,"E")</f>
        <v>0</v>
      </c>
      <c r="O6" s="42">
        <f>SUMIFS(Contagem!$S$4:$S$941,Contagem!$D$4:$D$941,"ALI",Contagem!$E$4:$E$941,"E")</f>
        <v>0</v>
      </c>
      <c r="P6" s="41">
        <f>COUNTIFS(Contagem!$D$4:$D$941,"ALI",Contagem!$E$4:$E$941,"&lt;&gt;E",Contagem!$E$4:$E$941,"&lt;&gt;A",Contagem!$E$4:$E$941,"&lt;&gt;I")</f>
        <v>0</v>
      </c>
      <c r="Q6" s="42">
        <f>SUMIFS(Contagem!$S$4:$S$941,Contagem!$D$4:$D$941,"ALI",Contagem!$E$4:$E$941,"&lt;&gt;E",Contagem!$E$4:$E$941,"&lt;&gt;A",Contagem!$E$4:$E$941,"&lt;&gt;I")</f>
        <v>0</v>
      </c>
      <c r="R6" s="38" t="s">
        <v>246</v>
      </c>
      <c r="S6" s="113">
        <f t="shared" ref="S6:S7" si="1">+U6+W6+Y6</f>
        <v>0</v>
      </c>
      <c r="T6" s="39">
        <f>COUNTIF(Contagem!$AF$4:$AF$941,"ALIL")</f>
        <v>0</v>
      </c>
      <c r="U6" s="40">
        <f>T6*7</f>
        <v>0</v>
      </c>
      <c r="V6" s="39">
        <f>COUNTIF(Contagem!$AF$4:$AF$941,"ALIA")</f>
        <v>0</v>
      </c>
      <c r="W6" s="40">
        <f>V6*10</f>
        <v>0</v>
      </c>
      <c r="X6" s="39">
        <f>COUNTIF(Contagem!$AF$4:$AF$941,"ALIH")</f>
        <v>0</v>
      </c>
      <c r="Y6" s="42">
        <f>X6*15</f>
        <v>0</v>
      </c>
      <c r="Z6" s="43">
        <f>COUNTIFS(Contagem!$X$4:$X$941,"ALI",Contagem!$Y$4:$Y$941,"A")</f>
        <v>0</v>
      </c>
      <c r="AA6" s="44">
        <f>SUMIFS(Contagem!$AK$4:$AK$941,Contagem!$X$4:$X$941,"ALI",Contagem!$Y$4:$Y$941,"A")</f>
        <v>0</v>
      </c>
      <c r="AB6" s="114">
        <f>COUNTIFS(Contagem!$X$4:$X$941,"ALI",Contagem!$Y$4:$Y$941,"I")</f>
        <v>0</v>
      </c>
      <c r="AC6" s="115">
        <f>SUMIFS(Contagem!$AK$4:$AK$941,Contagem!$X$4:$X$941,"ALI",Contagem!$Y$4:$Y$941,"I")</f>
        <v>0</v>
      </c>
      <c r="AD6" s="45">
        <f>COUNTIFS(Contagem!$X$4:$X$941,"ALI",Contagem!$Y$4:$Y$941,"E")</f>
        <v>0</v>
      </c>
      <c r="AE6" s="46">
        <f>SUMIFS(Contagem!$AK$4:$AK$941,Contagem!$X$4:$X$941,"ALI",Contagem!$Y$4:$Y$941,"E")</f>
        <v>0</v>
      </c>
      <c r="AF6" s="45">
        <f>COUNTIFS(Contagem!$X$4:$X$941,"ALI",Contagem!$Y$4:$Y$941,"&lt;&gt;E",Contagem!$Y$4:$Y$941,"&lt;&gt;A",Contagem!$Y$4:$Y$941,"&lt;&gt;I")</f>
        <v>0</v>
      </c>
      <c r="AG6" s="46">
        <f>SUMIFS(Contagem!$AK$4:$AK$941,Contagem!$X$4:$X$941,"ALI",Contagem!$Y$4:$Y$941,"&lt;&gt;E",Contagem!$Y$4:$Y$941,"&lt;&gt;A",Contagem!$Y$4:$Y$941,"&lt;&gt;I")</f>
        <v>0</v>
      </c>
      <c r="AI6" s="276" t="s">
        <v>247</v>
      </c>
      <c r="AJ6" s="46">
        <f>SUM(Contagem!S4:S941)</f>
        <v>5.7999999999999989</v>
      </c>
      <c r="AK6" s="46">
        <f>SUM(Contagem!T4:T941)</f>
        <v>4.2</v>
      </c>
      <c r="AL6" s="46">
        <f>SUM(Contagem!AK4:AK941)</f>
        <v>0</v>
      </c>
      <c r="AM6" s="46">
        <f>SUM(Contagem!AL4:AL941)</f>
        <v>0</v>
      </c>
    </row>
    <row r="7" spans="2:42" ht="19.5" customHeight="1" thickBot="1" x14ac:dyDescent="0.3">
      <c r="B7" s="38" t="s">
        <v>248</v>
      </c>
      <c r="C7" s="113">
        <f t="shared" si="0"/>
        <v>0</v>
      </c>
      <c r="D7" s="47">
        <f>COUNTIF(Contagem!$M$4:$M$941,"AIEL")</f>
        <v>0</v>
      </c>
      <c r="E7" s="48">
        <f>D7*5</f>
        <v>0</v>
      </c>
      <c r="F7" s="49">
        <f>COUNTIF(Contagem!$M$4:$M$941,"AIEA")</f>
        <v>0</v>
      </c>
      <c r="G7" s="48">
        <f>F7*7</f>
        <v>0</v>
      </c>
      <c r="H7" s="49">
        <f>COUNTIF(Contagem!$M$4:$M$941,"AIEH")</f>
        <v>0</v>
      </c>
      <c r="I7" s="50">
        <f>H7*10</f>
        <v>0</v>
      </c>
      <c r="J7" s="47">
        <f>COUNTIFS(Contagem!$D$4:$D$941,"AIE",Contagem!$E$4:$E$941,"A")</f>
        <v>0</v>
      </c>
      <c r="K7" s="48">
        <f>SUMIFS(Contagem!$S$4:$S$941,Contagem!$D$4:$D$941,"AIE",Contagem!$E$4:$E$941,"A")</f>
        <v>0</v>
      </c>
      <c r="L7" s="49">
        <f>COUNTIFS(Contagem!$D$4:$D$941,"AIE",Contagem!$E$4:$E$941,"I")</f>
        <v>0</v>
      </c>
      <c r="M7" s="48">
        <f>SUMIFS(Contagem!$S$4:$S$941,Contagem!$D$4:$D$941,"AIE",Contagem!$E$4:$E$941,"I")</f>
        <v>0</v>
      </c>
      <c r="N7" s="49">
        <f>COUNTIFS(Contagem!$D$4:$D$941,"AIE",Contagem!$E$4:$E$941,"E")</f>
        <v>0</v>
      </c>
      <c r="O7" s="50">
        <f>SUMIFS(Contagem!$S$4:$S$941,Contagem!$D$4:$D$941,"AIE",Contagem!$E$4:$E$941,"E")</f>
        <v>0</v>
      </c>
      <c r="P7" s="41">
        <f>COUNTIFS(Contagem!$D$4:$D$941,"AIE",Contagem!$E$4:$E$941,"&lt;&gt;E",Contagem!$E$4:$E$941,"&lt;&gt;A",Contagem!$E$4:$E$941,"&lt;&gt;I")</f>
        <v>0</v>
      </c>
      <c r="Q7" s="42">
        <f>SUMIFS(Contagem!$S$4:$S$941,Contagem!$D$4:$D$941,"AIE",Contagem!$E$4:$E$941,"&lt;&gt;E",Contagem!$E$4:$E$941,"&lt;&gt;A",Contagem!$E$4:$E$941,"&lt;&gt;I")</f>
        <v>0</v>
      </c>
      <c r="R7" s="38" t="s">
        <v>248</v>
      </c>
      <c r="S7" s="113">
        <f t="shared" si="1"/>
        <v>0</v>
      </c>
      <c r="T7" s="47">
        <f>COUNTIF(Contagem!$AF$4:$AF$941,"AIEL")</f>
        <v>0</v>
      </c>
      <c r="U7" s="48">
        <f>T7*5</f>
        <v>0</v>
      </c>
      <c r="V7" s="47">
        <f>COUNTIF(Contagem!$AF$4:$AF$941,"AIEA")</f>
        <v>0</v>
      </c>
      <c r="W7" s="48">
        <f>V7*7</f>
        <v>0</v>
      </c>
      <c r="X7" s="47">
        <f>COUNTIF(Contagem!$AF$4:$AF$941,"AIEH")</f>
        <v>0</v>
      </c>
      <c r="Y7" s="50">
        <f>X7*10</f>
        <v>0</v>
      </c>
      <c r="Z7" s="51">
        <f>COUNTIFS(Contagem!$X$4:$X$941,"AIE",Contagem!$Y$4:$Y$941,"A")</f>
        <v>0</v>
      </c>
      <c r="AA7" s="52">
        <f>SUMIFS(Contagem!$AK$4:$AK$941,Contagem!$X$4:$X$941,"AIE",Contagem!$Y$4:$Y$941,"A")</f>
        <v>0</v>
      </c>
      <c r="AB7" s="53">
        <f>COUNTIFS(Contagem!$X$4:$X$941,"AIE",Contagem!$Y$4:$Y$941,"I")</f>
        <v>0</v>
      </c>
      <c r="AC7" s="54">
        <f>SUMIFS(Contagem!$AK$4:$AK$941,Contagem!$X$4:$X$941,"AIE",Contagem!$Y$4:$Y$941,"I")</f>
        <v>0</v>
      </c>
      <c r="AD7" s="55">
        <f>COUNTIFS(Contagem!$X$4:$X$941,"AIE",Contagem!$Y$4:$Y$941,"E")</f>
        <v>0</v>
      </c>
      <c r="AE7" s="56">
        <f>SUMIFS(Contagem!$AK$4:$AK$941,Contagem!$X$4:$X$941,"AIE",Contagem!$Y$4:$Y$941,"E")</f>
        <v>0</v>
      </c>
      <c r="AF7" s="45">
        <f>COUNTIFS(Contagem!$X$4:$X$941,"AIE",Contagem!$Y$4:$Y$941,"&lt;&gt;E",Contagem!$Y$4:$Y$941,"&lt;&gt;A",Contagem!$Y$4:$Y$941,"&lt;&gt;I")</f>
        <v>0</v>
      </c>
      <c r="AG7" s="46">
        <f>SUMIFS(Contagem!$AK$4:$AK$941,Contagem!$X$4:$X$941,"AIE",Contagem!$Y$4:$Y$941,"&lt;&gt;E",Contagem!$Y$4:$Y$941,"&lt;&gt;A",Contagem!$Y$4:$Y$941,"&lt;&gt;I")</f>
        <v>0</v>
      </c>
    </row>
    <row r="8" spans="2:42" ht="19.5" customHeight="1" x14ac:dyDescent="0.25">
      <c r="B8" s="57" t="s">
        <v>249</v>
      </c>
      <c r="C8" s="58">
        <f>C6+C7</f>
        <v>0</v>
      </c>
      <c r="D8" s="59"/>
      <c r="E8" s="59"/>
      <c r="F8" s="59"/>
      <c r="G8" s="59"/>
      <c r="H8" s="59"/>
      <c r="I8" s="59"/>
      <c r="J8" s="59"/>
      <c r="K8" s="59"/>
      <c r="L8" s="59"/>
      <c r="M8" s="59"/>
      <c r="N8" s="59"/>
      <c r="O8" s="59"/>
      <c r="P8" s="59"/>
      <c r="Q8" s="59"/>
      <c r="R8" s="57" t="s">
        <v>249</v>
      </c>
      <c r="S8" s="58">
        <f>S6+S7</f>
        <v>0</v>
      </c>
      <c r="T8" s="59"/>
      <c r="U8" s="59"/>
      <c r="V8" s="59"/>
      <c r="W8" s="59"/>
      <c r="X8" s="59"/>
      <c r="Y8" s="59"/>
      <c r="Z8" s="59"/>
      <c r="AA8" s="59"/>
      <c r="AB8" s="59"/>
      <c r="AC8" s="59"/>
      <c r="AD8" s="59"/>
      <c r="AE8" s="59"/>
      <c r="AF8" s="8"/>
      <c r="AG8" s="8"/>
    </row>
    <row r="9" spans="2:42" ht="19.5" customHeight="1" x14ac:dyDescent="0.25">
      <c r="B9" s="60"/>
      <c r="C9" s="61"/>
      <c r="D9" s="59"/>
      <c r="E9" s="59"/>
      <c r="F9" s="59"/>
      <c r="G9" s="59"/>
      <c r="H9" s="59"/>
      <c r="I9" s="59"/>
      <c r="J9" s="59"/>
      <c r="K9" s="59"/>
      <c r="L9" s="59"/>
      <c r="M9" s="59"/>
      <c r="N9" s="59"/>
      <c r="O9" s="59"/>
      <c r="P9" s="59"/>
      <c r="Q9" s="59"/>
      <c r="R9" s="60"/>
      <c r="S9" s="61"/>
      <c r="T9" s="59"/>
      <c r="U9" s="59"/>
      <c r="V9" s="59"/>
      <c r="W9" s="59"/>
      <c r="X9" s="59"/>
      <c r="Y9" s="59"/>
      <c r="Z9" s="59"/>
      <c r="AA9" s="59"/>
      <c r="AB9" s="59"/>
      <c r="AC9" s="59"/>
      <c r="AD9" s="59"/>
      <c r="AE9" s="59"/>
      <c r="AF9" s="8"/>
      <c r="AG9" s="8"/>
    </row>
    <row r="10" spans="2:42" ht="19.5" customHeight="1" x14ac:dyDescent="0.25">
      <c r="B10" s="371" t="s">
        <v>250</v>
      </c>
      <c r="C10" s="374" t="s">
        <v>27</v>
      </c>
      <c r="D10" s="383" t="s">
        <v>232</v>
      </c>
      <c r="E10" s="384"/>
      <c r="F10" s="384"/>
      <c r="G10" s="384"/>
      <c r="H10" s="384"/>
      <c r="I10" s="385"/>
      <c r="J10" s="377" t="s">
        <v>233</v>
      </c>
      <c r="K10" s="378"/>
      <c r="L10" s="378"/>
      <c r="M10" s="378"/>
      <c r="N10" s="378"/>
      <c r="O10" s="378"/>
      <c r="P10" s="378"/>
      <c r="Q10" s="389"/>
      <c r="R10" s="371" t="s">
        <v>250</v>
      </c>
      <c r="S10" s="374" t="s">
        <v>27</v>
      </c>
      <c r="T10" s="383" t="s">
        <v>232</v>
      </c>
      <c r="U10" s="384"/>
      <c r="V10" s="384"/>
      <c r="W10" s="384"/>
      <c r="X10" s="384"/>
      <c r="Y10" s="385"/>
      <c r="Z10" s="377" t="s">
        <v>233</v>
      </c>
      <c r="AA10" s="378"/>
      <c r="AB10" s="378"/>
      <c r="AC10" s="378"/>
      <c r="AD10" s="378"/>
      <c r="AE10" s="378"/>
      <c r="AF10" s="378"/>
      <c r="AG10" s="378"/>
    </row>
    <row r="11" spans="2:42" ht="19.5" customHeight="1" x14ac:dyDescent="0.25">
      <c r="B11" s="372"/>
      <c r="C11" s="375"/>
      <c r="D11" s="381" t="s">
        <v>235</v>
      </c>
      <c r="E11" s="382"/>
      <c r="F11" s="379" t="s">
        <v>236</v>
      </c>
      <c r="G11" s="382"/>
      <c r="H11" s="379" t="s">
        <v>237</v>
      </c>
      <c r="I11" s="380"/>
      <c r="J11" s="381" t="s">
        <v>238</v>
      </c>
      <c r="K11" s="382"/>
      <c r="L11" s="379" t="s">
        <v>239</v>
      </c>
      <c r="M11" s="382"/>
      <c r="N11" s="379" t="s">
        <v>240</v>
      </c>
      <c r="O11" s="380"/>
      <c r="P11" s="379" t="s">
        <v>241</v>
      </c>
      <c r="Q11" s="380"/>
      <c r="R11" s="372"/>
      <c r="S11" s="375"/>
      <c r="T11" s="381" t="s">
        <v>235</v>
      </c>
      <c r="U11" s="382"/>
      <c r="V11" s="390" t="s">
        <v>236</v>
      </c>
      <c r="W11" s="391"/>
      <c r="X11" s="379" t="s">
        <v>237</v>
      </c>
      <c r="Y11" s="380"/>
      <c r="Z11" s="381" t="s">
        <v>238</v>
      </c>
      <c r="AA11" s="382"/>
      <c r="AB11" s="379" t="s">
        <v>239</v>
      </c>
      <c r="AC11" s="382"/>
      <c r="AD11" s="379" t="s">
        <v>240</v>
      </c>
      <c r="AE11" s="380"/>
      <c r="AF11" s="379" t="s">
        <v>241</v>
      </c>
      <c r="AG11" s="380"/>
    </row>
    <row r="12" spans="2:42" ht="19.5" customHeight="1" x14ac:dyDescent="0.25">
      <c r="B12" s="373"/>
      <c r="C12" s="376"/>
      <c r="D12" s="34" t="s">
        <v>244</v>
      </c>
      <c r="E12" s="35" t="s">
        <v>36</v>
      </c>
      <c r="F12" s="36" t="s">
        <v>244</v>
      </c>
      <c r="G12" s="35" t="s">
        <v>36</v>
      </c>
      <c r="H12" s="36" t="s">
        <v>244</v>
      </c>
      <c r="I12" s="37" t="s">
        <v>36</v>
      </c>
      <c r="J12" s="34" t="s">
        <v>244</v>
      </c>
      <c r="K12" s="35" t="s">
        <v>36</v>
      </c>
      <c r="L12" s="36" t="s">
        <v>244</v>
      </c>
      <c r="M12" s="35" t="s">
        <v>36</v>
      </c>
      <c r="N12" s="111" t="s">
        <v>244</v>
      </c>
      <c r="O12" s="37" t="s">
        <v>36</v>
      </c>
      <c r="P12" s="111" t="s">
        <v>244</v>
      </c>
      <c r="Q12" s="37" t="s">
        <v>36</v>
      </c>
      <c r="R12" s="373"/>
      <c r="S12" s="376"/>
      <c r="T12" s="34" t="s">
        <v>244</v>
      </c>
      <c r="U12" s="35" t="s">
        <v>36</v>
      </c>
      <c r="V12" s="111" t="s">
        <v>244</v>
      </c>
      <c r="W12" s="112" t="s">
        <v>36</v>
      </c>
      <c r="X12" s="36" t="s">
        <v>244</v>
      </c>
      <c r="Y12" s="37" t="s">
        <v>36</v>
      </c>
      <c r="Z12" s="34" t="s">
        <v>244</v>
      </c>
      <c r="AA12" s="35" t="s">
        <v>36</v>
      </c>
      <c r="AB12" s="36" t="s">
        <v>244</v>
      </c>
      <c r="AC12" s="35" t="s">
        <v>36</v>
      </c>
      <c r="AD12" s="111" t="s">
        <v>244</v>
      </c>
      <c r="AE12" s="37" t="s">
        <v>36</v>
      </c>
      <c r="AF12" s="111" t="s">
        <v>244</v>
      </c>
      <c r="AG12" s="37" t="s">
        <v>36</v>
      </c>
    </row>
    <row r="13" spans="2:42" ht="19.5" customHeight="1" x14ac:dyDescent="0.25">
      <c r="B13" s="38" t="s">
        <v>251</v>
      </c>
      <c r="C13" s="113">
        <f t="shared" ref="C13:C15" si="2">+E13+G13+I13</f>
        <v>4</v>
      </c>
      <c r="D13" s="39">
        <f>COUNTIF(Contagem!$M$4:$M$941,"EEL")</f>
        <v>0</v>
      </c>
      <c r="E13" s="40">
        <f t="shared" ref="E13:E14" si="3">D13*3</f>
        <v>0</v>
      </c>
      <c r="F13" s="41">
        <f>COUNTIF(Contagem!$M$4:$M$941,"EEA")</f>
        <v>1</v>
      </c>
      <c r="G13" s="40">
        <f t="shared" ref="G13:G14" si="4">F13*4</f>
        <v>4</v>
      </c>
      <c r="H13" s="41">
        <f>COUNTIF(Contagem!$M$4:$M$941,"EEH")</f>
        <v>0</v>
      </c>
      <c r="I13" s="42">
        <f t="shared" ref="I13:I14" si="5">H13*6</f>
        <v>0</v>
      </c>
      <c r="J13" s="43">
        <f>COUNTIFS(Contagem!$D$4:$D$941,"EE",Contagem!$E$4:$E$941,"A")</f>
        <v>0</v>
      </c>
      <c r="K13" s="44">
        <f>SUMIFS(Contagem!$S$4:$S$941,Contagem!$D$4:$D$941,"EE",Contagem!$E$4:$E$941,"A")</f>
        <v>0</v>
      </c>
      <c r="L13" s="62">
        <f>COUNTIFS(Contagem!$D$4:$D$941,"EE",Contagem!$E$4:$E$941,"I")</f>
        <v>0</v>
      </c>
      <c r="M13" s="63">
        <f>SUMIFS(Contagem!$S$4:$S$941,Contagem!$D$4:$D$941,"EE",Contagem!$E$4:$E$941,"I")</f>
        <v>0</v>
      </c>
      <c r="N13" s="114">
        <f>COUNTIFS(Contagem!$D$4:$D$941,"EE",Contagem!$E$4:$E$941,"E")</f>
        <v>0</v>
      </c>
      <c r="O13" s="46">
        <f>SUMIFS(Contagem!$S$4:$S$941,Contagem!$D$4:$D$941,"EE",Contagem!$E$4:$E$941,"E")</f>
        <v>0</v>
      </c>
      <c r="P13" s="114">
        <f>COUNTIFS(Contagem!$D$4:$D$941,"EE",Contagem!$E$4:$E$941,"&lt;&gt;E",Contagem!$E$4:$E$941,"&lt;&gt;A",Contagem!$E$4:$E$941,"&lt;&gt;I")</f>
        <v>1</v>
      </c>
      <c r="Q13" s="46">
        <f>SUMIFS(Contagem!$S$4:$S$941,Contagem!$D$4:$D$941,"EE",Contagem!$E$4:$E$941,"&lt;&gt;E",Contagem!$E$4:$E$941,"&lt;&gt;A",Contagem!$E$4:$E$941,"&lt;&gt;I")</f>
        <v>4</v>
      </c>
      <c r="R13" s="38" t="s">
        <v>251</v>
      </c>
      <c r="S13" s="113">
        <f t="shared" ref="S13:S15" si="6">+U13+W13+Y13</f>
        <v>0</v>
      </c>
      <c r="T13" s="39">
        <f>COUNTIF(Contagem!$AF$4:$AF$941,"EEL")</f>
        <v>0</v>
      </c>
      <c r="U13" s="40">
        <f t="shared" ref="U13:U14" si="7">T13*3</f>
        <v>0</v>
      </c>
      <c r="V13" s="116">
        <f>COUNTIF(Contagem!$AF$4:$AF$941,"EEA")</f>
        <v>0</v>
      </c>
      <c r="W13" s="117">
        <f t="shared" ref="W13:W14" si="8">V13*4</f>
        <v>0</v>
      </c>
      <c r="X13" s="41">
        <f>COUNTIF(Contagem!$AF$4:$AF$941,"EEH")</f>
        <v>0</v>
      </c>
      <c r="Y13" s="42">
        <f t="shared" ref="Y13:Y14" si="9">X13*6</f>
        <v>0</v>
      </c>
      <c r="Z13" s="43">
        <f>COUNTIFS(Contagem!$X$4:$X$941,"EE",Contagem!$Y$4:$Y$941,"A")</f>
        <v>0</v>
      </c>
      <c r="AA13" s="44">
        <f>SUMIFS(Contagem!$AK$4:$AK$941,Contagem!$X$4:$X$941,"EE",Contagem!$Y$4:$Y$941,"A")</f>
        <v>0</v>
      </c>
      <c r="AB13" s="62">
        <f>COUNTIFS(Contagem!$X$4:$X$941,"EE",Contagem!$Y$4:$Y$941,"I")</f>
        <v>0</v>
      </c>
      <c r="AC13" s="63">
        <f>SUMIFS(Contagem!$AK$4:$AK$941,Contagem!$X$4:$X$941,"EE",Contagem!$Y$4:$Y$941,"I")</f>
        <v>0</v>
      </c>
      <c r="AD13" s="114">
        <f>COUNTIFS(Contagem!$X$4:$X$941,"EE",Contagem!$Y$4:$Y$941,"E")</f>
        <v>0</v>
      </c>
      <c r="AE13" s="46">
        <f>SUMIFS(Contagem!$AK$4:$AK$941,Contagem!$X$4:$X$941,"EE",Contagem!$Y$4:$Y$941,"E")</f>
        <v>0</v>
      </c>
      <c r="AF13" s="114">
        <f>COUNTIFS(Contagem!$X$4:$X$941,"EE",Contagem!$Y$4:$Y$941,"&lt;&gt;E",Contagem!$Y$4:$Y$941,"&lt;&gt;A",Contagem!$Y$4:$Y$941,"&lt;&gt;I")</f>
        <v>0</v>
      </c>
      <c r="AG13" s="46">
        <f>SUMIFS(Contagem!$AK$4:$AK$941,Contagem!$X$4:$X$941,"EE",Contagem!$Y$4:$Y$941,"&lt;&gt;E",Contagem!$Y$4:$Y$941,"&lt;&gt;A",Contagem!$Y$4:$Y$941,"&lt;&gt;I")</f>
        <v>0</v>
      </c>
    </row>
    <row r="14" spans="2:42" ht="19.5" customHeight="1" x14ac:dyDescent="0.25">
      <c r="B14" s="38" t="s">
        <v>252</v>
      </c>
      <c r="C14" s="113">
        <f t="shared" si="2"/>
        <v>0</v>
      </c>
      <c r="D14" s="39">
        <f>COUNTIF(Contagem!$M$4:$M$941,"CEL")</f>
        <v>0</v>
      </c>
      <c r="E14" s="40">
        <f t="shared" si="3"/>
        <v>0</v>
      </c>
      <c r="F14" s="41">
        <f>COUNTIF(Contagem!$M$4:$M$941,"CEA")</f>
        <v>0</v>
      </c>
      <c r="G14" s="40">
        <f t="shared" si="4"/>
        <v>0</v>
      </c>
      <c r="H14" s="41">
        <f>COUNTIF(Contagem!$M$4:$M$941,"CEH")</f>
        <v>0</v>
      </c>
      <c r="I14" s="42">
        <f t="shared" si="5"/>
        <v>0</v>
      </c>
      <c r="J14" s="43">
        <f>COUNTIFS(Contagem!$D$4:$D$941,"CE",Contagem!$E$4:$E$941,"A")</f>
        <v>0</v>
      </c>
      <c r="K14" s="44">
        <f>SUMIFS(Contagem!$S$4:$S$941,Contagem!$D$4:$D$941,"CE",Contagem!$E$4:$E$941,"A")</f>
        <v>0</v>
      </c>
      <c r="L14" s="62">
        <f>COUNTIFS(Contagem!$D$4:$D$941,"CE",Contagem!$E$4:$E$941,"I")</f>
        <v>0</v>
      </c>
      <c r="M14" s="63">
        <f>SUMIFS(Contagem!$S$4:$S$941,Contagem!$D$4:$D$941,"CE",Contagem!$E$4:$E$941,"I")</f>
        <v>0</v>
      </c>
      <c r="N14" s="114">
        <f>COUNTIFS(Contagem!$D$4:$D$941,"CE",Contagem!$E$4:$E$941,"E")</f>
        <v>0</v>
      </c>
      <c r="O14" s="46">
        <f>SUMIFS(Contagem!$S$4:$S$941,Contagem!$D$4:$D$941,"CE",Contagem!$E$4:$E$941,"E")</f>
        <v>0</v>
      </c>
      <c r="P14" s="114">
        <f>COUNTIFS(Contagem!$D$4:$D$941,"CE",Contagem!$E$4:$E$941,"&lt;&gt;E",Contagem!$E$4:$E$941,"&lt;&gt;A",Contagem!$E$4:$E$941,"&lt;&gt;I")</f>
        <v>0</v>
      </c>
      <c r="Q14" s="46">
        <f>SUMIFS(Contagem!$S$4:$S$941,Contagem!$D$4:$D$941,"CE",Contagem!$E$4:$E$941,"&lt;&gt;E",Contagem!$E$4:$E$941,"&lt;&gt;A",Contagem!$E$4:$E$941,"&lt;&gt;I")</f>
        <v>0</v>
      </c>
      <c r="R14" s="38" t="s">
        <v>252</v>
      </c>
      <c r="S14" s="113">
        <f t="shared" si="6"/>
        <v>0</v>
      </c>
      <c r="T14" s="39">
        <f>COUNTIF(Contagem!$AF$4:$AF$941,"CEL")</f>
        <v>0</v>
      </c>
      <c r="U14" s="40">
        <f t="shared" si="7"/>
        <v>0</v>
      </c>
      <c r="V14" s="116">
        <f>COUNTIF(Contagem!$AF$4:$AF$941,"CEA")</f>
        <v>0</v>
      </c>
      <c r="W14" s="117">
        <f t="shared" si="8"/>
        <v>0</v>
      </c>
      <c r="X14" s="41">
        <f>COUNTIF(Contagem!$AF$4:$AF$941,"CEH")</f>
        <v>0</v>
      </c>
      <c r="Y14" s="42">
        <f t="shared" si="9"/>
        <v>0</v>
      </c>
      <c r="Z14" s="43">
        <f>COUNTIFS(Contagem!$X$4:$X$941,"CE",Contagem!$Y$4:$Y$941,"A")</f>
        <v>0</v>
      </c>
      <c r="AA14" s="44">
        <f>SUMIFS(Contagem!$AK$4:$AK$941,Contagem!$X$4:$X$941,"CE",Contagem!$Y$4:$Y$941,"A")</f>
        <v>0</v>
      </c>
      <c r="AB14" s="62">
        <f>COUNTIFS(Contagem!$X$4:$X$941,"CE",Contagem!$Y$4:$Y$941,"I")</f>
        <v>0</v>
      </c>
      <c r="AC14" s="63">
        <f>SUMIFS(Contagem!$AK$4:$AK$941,Contagem!$X$4:$X$941,"CE",Contagem!$Y$4:$Y$941,"I")</f>
        <v>0</v>
      </c>
      <c r="AD14" s="114">
        <f>COUNTIFS(Contagem!$X$4:$X$941,"CE",Contagem!$Y$4:$Y$941,"E")</f>
        <v>0</v>
      </c>
      <c r="AE14" s="46">
        <f>SUMIFS(Contagem!$AK$4:$AK$941,Contagem!$X$4:$X$941,"CE",Contagem!$Y$4:$Y$941,"E")</f>
        <v>0</v>
      </c>
      <c r="AF14" s="114">
        <f>COUNTIFS(Contagem!$X$4:$X$941,"CE",Contagem!$Y$4:$Y$941,"&lt;&gt;E",Contagem!$Y$4:$Y$941,"&lt;&gt;A",Contagem!$Y$4:$Y$941,"&lt;&gt;I")</f>
        <v>0</v>
      </c>
      <c r="AG14" s="46">
        <f>SUMIFS(Contagem!$AK$4:$AK$941,Contagem!$X$4:$X$941,"CE",Contagem!$Y$4:$Y$941,"&lt;&gt;E",Contagem!$Y$4:$Y$941,"&lt;&gt;A",Contagem!$Y$4:$Y$941,"&lt;&gt;I")</f>
        <v>0</v>
      </c>
    </row>
    <row r="15" spans="2:42" ht="19.5" customHeight="1" x14ac:dyDescent="0.25">
      <c r="B15" s="38" t="s">
        <v>253</v>
      </c>
      <c r="C15" s="113">
        <f t="shared" si="2"/>
        <v>0</v>
      </c>
      <c r="D15" s="47">
        <f>COUNTIF(Contagem!$M$4:$M$941,"SEL")</f>
        <v>0</v>
      </c>
      <c r="E15" s="48">
        <f>D15*4</f>
        <v>0</v>
      </c>
      <c r="F15" s="49">
        <f>COUNTIF(Contagem!$M$4:$M$941,"SEA")</f>
        <v>0</v>
      </c>
      <c r="G15" s="48">
        <f>F15*5</f>
        <v>0</v>
      </c>
      <c r="H15" s="49">
        <f>COUNTIF(Contagem!$M$4:$M$941,"SEH")</f>
        <v>0</v>
      </c>
      <c r="I15" s="50">
        <f>H15*7</f>
        <v>0</v>
      </c>
      <c r="J15" s="51">
        <f>COUNTIFS(Contagem!$D$4:$D$941,"SE",Contagem!$E$4:$E$941,"A")</f>
        <v>0</v>
      </c>
      <c r="K15" s="52">
        <f>SUMIFS(Contagem!$S$4:$S$941,Contagem!$D$4:$D$941,"SE",Contagem!$E$4:$E$941,"A")</f>
        <v>0</v>
      </c>
      <c r="L15" s="64">
        <f>COUNTIFS(Contagem!$D$4:$D$941,"SE",Contagem!$E$4:$E$941,"I")</f>
        <v>0</v>
      </c>
      <c r="M15" s="65">
        <f>SUMIFS(Contagem!$S$4:$S$941,Contagem!$D$4:$D$941,"SE",Contagem!$E$4:$E$941,"I")</f>
        <v>0</v>
      </c>
      <c r="N15" s="53">
        <f>COUNTIFS(Contagem!$D$4:$D$941,"SE",Contagem!$E$4:$E$941,"E")</f>
        <v>0</v>
      </c>
      <c r="O15" s="56">
        <f>SUMIFS(Contagem!$S$4:$S$941,Contagem!$D$4:$D$941,"SE",Contagem!$E$4:$E$941,"E")</f>
        <v>0</v>
      </c>
      <c r="P15" s="114">
        <f>COUNTIFS(Contagem!$D$4:$D$941,"SE",Contagem!$E$4:$E$941,"&lt;&gt;E",Contagem!$E$4:$E$941,"&lt;&gt;A",Contagem!$E$4:$E$941,"&lt;&gt;I")</f>
        <v>0</v>
      </c>
      <c r="Q15" s="46">
        <f>SUMIFS(Contagem!$S$4:$S$941,Contagem!$D$4:$D$941,"SE",Contagem!$E$4:$E$941,"&lt;&gt;E",Contagem!$E$4:$E$941,"&lt;&gt;A",Contagem!$E$4:$E$941,"&lt;&gt;I")</f>
        <v>0</v>
      </c>
      <c r="R15" s="38" t="s">
        <v>253</v>
      </c>
      <c r="S15" s="113">
        <f t="shared" si="6"/>
        <v>0</v>
      </c>
      <c r="T15" s="47">
        <f>COUNTIF(Contagem!$AF$4:$AF$941,"SEL")</f>
        <v>0</v>
      </c>
      <c r="U15" s="48">
        <f>T15*4</f>
        <v>0</v>
      </c>
      <c r="V15" s="66">
        <f>COUNTIF(Contagem!$AF$4:$AF$941,"SEA")</f>
        <v>0</v>
      </c>
      <c r="W15" s="67">
        <f>V15*5</f>
        <v>0</v>
      </c>
      <c r="X15" s="49">
        <f>COUNTIF(Contagem!$AF$4:$AF$941,"SEH")</f>
        <v>0</v>
      </c>
      <c r="Y15" s="50">
        <f>X15*7</f>
        <v>0</v>
      </c>
      <c r="Z15" s="51">
        <f>COUNTIFS(Contagem!$X$4:$X$941,"SE",Contagem!$Y$4:$Y$941,"A")</f>
        <v>0</v>
      </c>
      <c r="AA15" s="52">
        <f>SUMIFS(Contagem!$AK$4:$AK$941,Contagem!$X$4:$X$941,"SE",Contagem!$Y$4:$Y$941,"A")</f>
        <v>0</v>
      </c>
      <c r="AB15" s="64">
        <f>COUNTIFS(Contagem!$X$4:$X$941,"SE",Contagem!$Y$4:$Y$941,"I")</f>
        <v>0</v>
      </c>
      <c r="AC15" s="65">
        <f>SUMIFS(Contagem!$AK$4:$AK$941,Contagem!$X$4:$X$941,"SE",Contagem!$Y$4:$Y$941,"I")</f>
        <v>0</v>
      </c>
      <c r="AD15" s="53">
        <f>COUNTIFS(Contagem!$X$4:$X$941,"SE",Contagem!$Y$4:$Y$941,"E")</f>
        <v>0</v>
      </c>
      <c r="AE15" s="56">
        <f>SUMIFS(Contagem!$AK$4:$AK$941,Contagem!$X$4:$X$941,"SE",Contagem!$Y$4:$Y$941,"E")</f>
        <v>0</v>
      </c>
      <c r="AF15" s="114">
        <f>COUNTIFS(Contagem!$X$4:$X$941,"SE",Contagem!$Y$4:$Y$941,"&lt;&gt;E",Contagem!$Y$4:$Y$941,"&lt;&gt;A",Contagem!$Y$4:$Y$941,"&lt;&gt;I")</f>
        <v>0</v>
      </c>
      <c r="AG15" s="46">
        <f>SUMIFS(Contagem!$AK$4:$AK$941,Contagem!$X$4:$X$941,"SE",Contagem!$Y$4:$Y$941,"&lt;&gt;E",Contagem!$Y$4:$Y$941,"&lt;&gt;A",Contagem!$Y$4:$Y$941,"&lt;&gt;I")</f>
        <v>0</v>
      </c>
    </row>
    <row r="16" spans="2:42" ht="19.5" customHeight="1" x14ac:dyDescent="0.25">
      <c r="B16" s="57" t="s">
        <v>254</v>
      </c>
      <c r="C16" s="68">
        <f>C13+C14+C15</f>
        <v>4</v>
      </c>
      <c r="D16" s="8"/>
      <c r="E16" s="8"/>
      <c r="F16" s="8"/>
      <c r="G16" s="8"/>
      <c r="H16" s="8"/>
      <c r="I16" s="8"/>
      <c r="J16" s="8"/>
      <c r="K16" s="8"/>
      <c r="L16" s="8"/>
      <c r="M16" s="8"/>
      <c r="N16" s="8"/>
      <c r="O16" s="8"/>
      <c r="P16" s="8"/>
      <c r="Q16" s="8"/>
      <c r="R16" s="57" t="s">
        <v>254</v>
      </c>
      <c r="S16" s="68">
        <f>S13+S14+S15</f>
        <v>0</v>
      </c>
      <c r="T16" s="8"/>
      <c r="U16" s="8"/>
      <c r="V16" s="8"/>
      <c r="W16" s="8"/>
      <c r="X16" s="8"/>
      <c r="Y16" s="8"/>
      <c r="Z16" s="8"/>
      <c r="AA16" s="8"/>
      <c r="AB16" s="8"/>
      <c r="AC16" s="8"/>
      <c r="AD16" s="8"/>
      <c r="AE16" s="8"/>
      <c r="AF16" s="8"/>
      <c r="AG16" s="8"/>
    </row>
    <row r="18" spans="2:20" ht="19.5" customHeight="1" x14ac:dyDescent="0.25">
      <c r="B18" s="69"/>
      <c r="C18" s="58" t="s">
        <v>244</v>
      </c>
      <c r="D18" s="58" t="s">
        <v>36</v>
      </c>
      <c r="E18" s="8"/>
      <c r="F18" s="8"/>
      <c r="G18" s="8"/>
      <c r="H18" s="8"/>
      <c r="I18" s="8"/>
      <c r="J18" s="8"/>
      <c r="K18" s="8"/>
      <c r="L18" s="8"/>
      <c r="M18" s="8"/>
      <c r="N18" s="8"/>
      <c r="O18" s="8"/>
      <c r="P18" s="8"/>
      <c r="Q18" s="8"/>
      <c r="R18" s="69"/>
      <c r="S18" s="58" t="s">
        <v>244</v>
      </c>
      <c r="T18" s="58" t="s">
        <v>36</v>
      </c>
    </row>
    <row r="19" spans="2:20" ht="19.5" customHeight="1" x14ac:dyDescent="0.25">
      <c r="B19" s="70" t="s">
        <v>255</v>
      </c>
      <c r="C19" s="71">
        <f>COUNTIF(Contagem!$D$4:$D$941,"INM")</f>
        <v>3</v>
      </c>
      <c r="D19" s="71">
        <f>SUMIF(Contagem!$D$4:$D$941,"INM",Contagem!$S$4:$S$941)</f>
        <v>1.7999999999999998</v>
      </c>
      <c r="E19" s="8"/>
      <c r="F19" s="8"/>
      <c r="G19" s="8"/>
      <c r="H19" s="8"/>
      <c r="I19" s="8"/>
      <c r="J19" s="8"/>
      <c r="K19" s="8"/>
      <c r="L19" s="8"/>
      <c r="M19" s="8"/>
      <c r="N19" s="8"/>
      <c r="O19" s="8"/>
      <c r="P19" s="8"/>
      <c r="Q19" s="8"/>
      <c r="R19" s="70" t="s">
        <v>255</v>
      </c>
      <c r="S19" s="71">
        <f>COUNTIF(Contagem!$X$4:$X$941,"INM")</f>
        <v>0</v>
      </c>
      <c r="T19" s="71">
        <f>SUMIF(Contagem!$X$4:$X$941,"INM",Contagem!$AK$4:$AK$941)</f>
        <v>0</v>
      </c>
    </row>
    <row r="20" spans="2:20" ht="19.5" customHeight="1" x14ac:dyDescent="0.25">
      <c r="B20" s="8"/>
      <c r="C20" s="8"/>
      <c r="D20" s="8"/>
      <c r="E20" s="8"/>
      <c r="F20" s="8"/>
      <c r="G20" s="8"/>
      <c r="H20" s="8"/>
      <c r="I20" s="8"/>
      <c r="J20" s="8"/>
      <c r="K20" s="8"/>
      <c r="L20" s="8"/>
      <c r="M20" s="8"/>
      <c r="N20" s="8"/>
      <c r="O20" s="8"/>
      <c r="P20" s="8"/>
      <c r="Q20" s="8"/>
      <c r="R20" s="8"/>
      <c r="S20" s="8"/>
      <c r="T20" s="8"/>
    </row>
    <row r="21" spans="2:20" ht="19.5" customHeight="1" x14ac:dyDescent="0.25">
      <c r="B21" s="72" t="s">
        <v>256</v>
      </c>
      <c r="C21" s="73" t="s">
        <v>24</v>
      </c>
      <c r="D21" s="73" t="s">
        <v>245</v>
      </c>
      <c r="E21" s="8"/>
      <c r="F21" s="8"/>
      <c r="G21" s="8"/>
      <c r="H21" s="8"/>
      <c r="I21" s="8"/>
      <c r="J21" s="8"/>
      <c r="K21" s="8"/>
      <c r="L21" s="8"/>
      <c r="M21" s="8"/>
      <c r="N21" s="8"/>
      <c r="O21" s="8"/>
      <c r="P21" s="8"/>
      <c r="Q21" s="8"/>
      <c r="R21" s="72" t="s">
        <v>256</v>
      </c>
      <c r="S21" s="73" t="s">
        <v>24</v>
      </c>
      <c r="T21" s="73" t="s">
        <v>245</v>
      </c>
    </row>
    <row r="22" spans="2:20" ht="19.5" customHeight="1" x14ac:dyDescent="0.25">
      <c r="B22" s="74" t="s">
        <v>257</v>
      </c>
      <c r="C22" s="71">
        <f>SUM(K6,K7,K13,K14,K15)</f>
        <v>0</v>
      </c>
      <c r="D22" s="75">
        <f>SUMIF(Contagem!$E$4:$E$941,"A",Contagem!$T$4:$T$941)</f>
        <v>0</v>
      </c>
      <c r="E22" s="8"/>
      <c r="F22" s="8"/>
      <c r="G22" s="8"/>
      <c r="H22" s="8"/>
      <c r="I22" s="8"/>
      <c r="J22" s="8"/>
      <c r="K22" s="8"/>
      <c r="L22" s="8"/>
      <c r="M22" s="8"/>
      <c r="N22" s="8"/>
      <c r="O22" s="8"/>
      <c r="P22" s="8"/>
      <c r="Q22" s="8"/>
      <c r="R22" s="74" t="s">
        <v>257</v>
      </c>
      <c r="S22" s="71">
        <f>SUM(AA6,AA7,AA13,AA14,AA15)</f>
        <v>0</v>
      </c>
      <c r="T22" s="75">
        <f>SUMIF(Contagem!$Y$4:$Y$941,"A",Contagem!$AL$4:$AL$941)</f>
        <v>0</v>
      </c>
    </row>
    <row r="23" spans="2:20" ht="19.5" customHeight="1" x14ac:dyDescent="0.25">
      <c r="B23" s="74" t="s">
        <v>258</v>
      </c>
      <c r="C23" s="71">
        <f>SUM(M6,M7,M13,M14,M15)</f>
        <v>0</v>
      </c>
      <c r="D23" s="75">
        <f>SUMIF(Contagem!$E$4:$E$941,"I",Contagem!$T$4:$T$941)</f>
        <v>0</v>
      </c>
      <c r="E23" s="8"/>
      <c r="F23" s="8"/>
      <c r="G23" s="8"/>
      <c r="H23" s="8"/>
      <c r="I23" s="8"/>
      <c r="J23" s="8"/>
      <c r="K23" s="8"/>
      <c r="L23" s="8"/>
      <c r="M23" s="8"/>
      <c r="N23" s="8"/>
      <c r="O23" s="8"/>
      <c r="P23" s="8"/>
      <c r="Q23" s="8"/>
      <c r="R23" s="74" t="s">
        <v>258</v>
      </c>
      <c r="S23" s="71">
        <f>SUM(AC6,AC7,AC13,AC14,AC15)</f>
        <v>0</v>
      </c>
      <c r="T23" s="75">
        <f>SUMIF(Contagem!$Y$4:$Y$941,"I",Contagem!$AL$4:$AL$941)</f>
        <v>0</v>
      </c>
    </row>
    <row r="24" spans="2:20" ht="19.5" customHeight="1" x14ac:dyDescent="0.25">
      <c r="B24" s="74" t="s">
        <v>259</v>
      </c>
      <c r="C24" s="71">
        <f>SUM(O6,O7,O13,O14,O15)</f>
        <v>0</v>
      </c>
      <c r="D24" s="75">
        <f>SUMIF(Contagem!$E$4:$E$941,"E",Contagem!$T$4:$T$941)</f>
        <v>0</v>
      </c>
      <c r="E24" s="8"/>
      <c r="F24" s="8"/>
      <c r="G24" s="8"/>
      <c r="H24" s="8"/>
      <c r="I24" s="8"/>
      <c r="J24" s="8"/>
      <c r="K24" s="8"/>
      <c r="L24" s="8"/>
      <c r="M24" s="8"/>
      <c r="N24" s="8"/>
      <c r="O24" s="8"/>
      <c r="P24" s="8"/>
      <c r="Q24" s="8"/>
      <c r="R24" s="74" t="s">
        <v>259</v>
      </c>
      <c r="S24" s="71">
        <f>SUM(AE6,AE7,AE13,AE14,AE15)</f>
        <v>0</v>
      </c>
      <c r="T24" s="75">
        <f>SUMIF(Contagem!$Y$4:$Y$941,"E",Contagem!$AL$4:$AL$941)</f>
        <v>0</v>
      </c>
    </row>
    <row r="25" spans="2:20" ht="19.5" customHeight="1" x14ac:dyDescent="0.25">
      <c r="B25" s="74" t="str">
        <f>+B19</f>
        <v>INM (Itens não Mensuráveis)</v>
      </c>
      <c r="C25" s="71">
        <f>SUMIF(Contagem!$D$4:$D$941,"INM",Contagem!$S$4:$S$941)</f>
        <v>1.7999999999999998</v>
      </c>
      <c r="D25" s="75">
        <f>SUMIF(Contagem!$D$4:$D$941,"INM",Contagem!T$4:$T$941)</f>
        <v>1.7999999999999998</v>
      </c>
      <c r="E25" s="8"/>
      <c r="F25" s="8"/>
      <c r="G25" s="8"/>
      <c r="H25" s="8"/>
      <c r="I25" s="8"/>
      <c r="J25" s="8"/>
      <c r="K25" s="8"/>
      <c r="L25" s="8"/>
      <c r="M25" s="8"/>
      <c r="N25" s="8"/>
      <c r="O25" s="8"/>
      <c r="P25" s="8"/>
      <c r="Q25" s="8"/>
      <c r="R25" s="74" t="str">
        <f>+R19</f>
        <v>INM (Itens não Mensuráveis)</v>
      </c>
      <c r="S25" s="71">
        <f>SUMIF(Contagem!$X$4:$X$941,"INM",Contagem!$AK$4:$AK$941)</f>
        <v>0</v>
      </c>
      <c r="T25" s="75">
        <f>SUMIF(Contagem!$X$4:$X$941,"INM",Contagem!$AL$4:$AL$941)</f>
        <v>0</v>
      </c>
    </row>
    <row r="26" spans="2:20" ht="19.5" customHeight="1" x14ac:dyDescent="0.25">
      <c r="B26" s="74" t="s">
        <v>241</v>
      </c>
      <c r="C26" s="71">
        <f>SUM(Q13,Q14,Q15,Q6,Q7)</f>
        <v>4</v>
      </c>
      <c r="D26" s="75">
        <f>((SUM(Contagem!T4:T941))-(SUM(D22:D25)))</f>
        <v>2.4000000000000004</v>
      </c>
      <c r="E26" s="8"/>
      <c r="F26" s="8"/>
      <c r="G26" s="8"/>
      <c r="H26" s="8"/>
      <c r="I26" s="8"/>
      <c r="J26" s="8"/>
      <c r="K26" s="8"/>
      <c r="L26" s="8"/>
      <c r="M26" s="8"/>
      <c r="N26" s="8"/>
      <c r="O26" s="8"/>
      <c r="P26" s="8"/>
      <c r="Q26" s="8"/>
      <c r="R26" s="74" t="s">
        <v>241</v>
      </c>
      <c r="S26" s="71">
        <f>SUM(AG6,AG7,AG13,AG14,AG15)</f>
        <v>0</v>
      </c>
      <c r="T26" s="75">
        <f>((SUM(Contagem!AL4:AL941))-(SUM(T22:T25)))</f>
        <v>0</v>
      </c>
    </row>
    <row r="27" spans="2:20" ht="19.5" customHeight="1" x14ac:dyDescent="0.25">
      <c r="B27" s="73" t="s">
        <v>247</v>
      </c>
      <c r="C27" s="76">
        <f t="shared" ref="C27:D27" si="10">SUM(C22:C26)</f>
        <v>5.8</v>
      </c>
      <c r="D27" s="77">
        <f t="shared" si="10"/>
        <v>4.2</v>
      </c>
      <c r="E27" s="8"/>
      <c r="F27" s="8"/>
      <c r="G27" s="8"/>
      <c r="H27" s="8"/>
      <c r="I27" s="8"/>
      <c r="J27" s="8"/>
      <c r="K27" s="8"/>
      <c r="L27" s="8"/>
      <c r="M27" s="8"/>
      <c r="N27" s="8"/>
      <c r="O27" s="8"/>
      <c r="P27" s="8"/>
      <c r="Q27" s="8"/>
      <c r="R27" s="73" t="s">
        <v>247</v>
      </c>
      <c r="S27" s="76">
        <f t="shared" ref="S27:T27" si="11">SUM(S22:S26)</f>
        <v>0</v>
      </c>
      <c r="T27" s="77">
        <f t="shared" si="11"/>
        <v>0</v>
      </c>
    </row>
  </sheetData>
  <sheetProtection algorithmName="SHA-512" hashValue="xB2TOQDCueX53aDB0SCHz/kNtNfOL6imZbreWItJF9JJF8+XtfreYDDwz5shr6A21qGdHXnSaKT2rfTjegd5iw==" saltValue="nh87azB8hh8yvRwviWbVIw==" spinCount="100000" sheet="1" objects="1" scenarios="1"/>
  <mergeCells count="49">
    <mergeCell ref="T11:U11"/>
    <mergeCell ref="R10:R12"/>
    <mergeCell ref="S10:S12"/>
    <mergeCell ref="J10:Q10"/>
    <mergeCell ref="T10:Y10"/>
    <mergeCell ref="D11:E11"/>
    <mergeCell ref="B10:B12"/>
    <mergeCell ref="C10:C12"/>
    <mergeCell ref="D10:I10"/>
    <mergeCell ref="H11:I11"/>
    <mergeCell ref="F11:G11"/>
    <mergeCell ref="D4:E4"/>
    <mergeCell ref="F4:G4"/>
    <mergeCell ref="H4:I4"/>
    <mergeCell ref="X4:Y4"/>
    <mergeCell ref="Z4:AA4"/>
    <mergeCell ref="P4:Q4"/>
    <mergeCell ref="AI3:AM3"/>
    <mergeCell ref="J3:Q3"/>
    <mergeCell ref="T3:Y3"/>
    <mergeCell ref="AB11:AC11"/>
    <mergeCell ref="AD11:AE11"/>
    <mergeCell ref="AF11:AG11"/>
    <mergeCell ref="AB4:AC4"/>
    <mergeCell ref="AD4:AE4"/>
    <mergeCell ref="Z10:AG10"/>
    <mergeCell ref="V11:W11"/>
    <mergeCell ref="X11:Y11"/>
    <mergeCell ref="Z11:AA11"/>
    <mergeCell ref="J11:K11"/>
    <mergeCell ref="L11:M11"/>
    <mergeCell ref="N11:O11"/>
    <mergeCell ref="P11:Q11"/>
    <mergeCell ref="B1:B2"/>
    <mergeCell ref="C1:O2"/>
    <mergeCell ref="S1:AG2"/>
    <mergeCell ref="B3:B5"/>
    <mergeCell ref="C3:C5"/>
    <mergeCell ref="S3:S5"/>
    <mergeCell ref="Z3:AG3"/>
    <mergeCell ref="AF4:AG4"/>
    <mergeCell ref="R1:R2"/>
    <mergeCell ref="R3:R5"/>
    <mergeCell ref="J4:K4"/>
    <mergeCell ref="L4:M4"/>
    <mergeCell ref="N4:O4"/>
    <mergeCell ref="T4:U4"/>
    <mergeCell ref="V4:W4"/>
    <mergeCell ref="D3:I3"/>
  </mergeCells>
  <conditionalFormatting sqref="C6:C9">
    <cfRule type="expression" dxfId="5" priority="1" stopIfTrue="1">
      <formula>B6=""</formula>
    </cfRule>
  </conditionalFormatting>
  <conditionalFormatting sqref="C13:C16">
    <cfRule type="expression" dxfId="4" priority="2" stopIfTrue="1">
      <formula>B13=""</formula>
    </cfRule>
  </conditionalFormatting>
  <conditionalFormatting sqref="C27">
    <cfRule type="cellIs" dxfId="3" priority="3" stopIfTrue="1" operator="notEqual">
      <formula>#REF!</formula>
    </cfRule>
  </conditionalFormatting>
  <conditionalFormatting sqref="S6:S9">
    <cfRule type="expression" dxfId="2" priority="4" stopIfTrue="1">
      <formula>R6=""</formula>
    </cfRule>
  </conditionalFormatting>
  <conditionalFormatting sqref="S13:S16">
    <cfRule type="expression" dxfId="1" priority="5" stopIfTrue="1">
      <formula>R13=""</formula>
    </cfRule>
  </conditionalFormatting>
  <conditionalFormatting sqref="S27">
    <cfRule type="cellIs" dxfId="0" priority="6" stopIfTrue="1" operator="notEqual">
      <formula>#REF!</formula>
    </cfRule>
  </conditionalFormatting>
  <pageMargins left="0.511811024" right="0.511811024" top="0.78740157499999996" bottom="0.78740157499999996" header="0" footer="0"/>
  <pageSetup paperSize="9" orientation="landscape"/>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90BB4-C6DD-414A-889D-15EF43CD8127}">
  <sheetPr codeName="Planilha7"/>
  <dimension ref="B1:Q29"/>
  <sheetViews>
    <sheetView showGridLines="0" showRowColHeaders="0" topLeftCell="A7" workbookViewId="0">
      <selection activeCell="B15" sqref="B15"/>
    </sheetView>
  </sheetViews>
  <sheetFormatPr defaultRowHeight="15" x14ac:dyDescent="0.25"/>
  <cols>
    <col min="1" max="1" width="3.7109375" customWidth="1"/>
    <col min="2" max="2" width="150.7109375" customWidth="1"/>
  </cols>
  <sheetData>
    <row r="1" spans="2:17" ht="40.15" customHeight="1" thickBot="1" x14ac:dyDescent="0.3"/>
    <row r="2" spans="2:17" ht="15.75" thickBot="1" x14ac:dyDescent="0.3">
      <c r="B2" s="217" t="s">
        <v>260</v>
      </c>
      <c r="C2" s="132"/>
      <c r="D2" s="132"/>
      <c r="E2" s="132"/>
      <c r="F2" s="132"/>
      <c r="G2" s="132"/>
      <c r="H2" s="132"/>
      <c r="I2" s="132"/>
      <c r="J2" s="132"/>
      <c r="K2" s="132"/>
      <c r="L2" s="132"/>
      <c r="M2" s="132"/>
      <c r="N2" s="132"/>
      <c r="O2" s="132"/>
      <c r="P2" s="132"/>
      <c r="Q2" s="132"/>
    </row>
    <row r="3" spans="2:17" x14ac:dyDescent="0.25">
      <c r="B3" s="277" t="s">
        <v>261</v>
      </c>
      <c r="C3" s="123"/>
      <c r="D3" s="123"/>
      <c r="E3" s="123"/>
      <c r="F3" s="123"/>
      <c r="G3" s="123"/>
      <c r="H3" s="123"/>
      <c r="I3" s="123"/>
      <c r="J3" s="123"/>
      <c r="K3" s="123"/>
      <c r="L3" s="123"/>
      <c r="M3" s="123"/>
      <c r="N3" s="123"/>
      <c r="O3" s="123"/>
      <c r="P3" s="123"/>
      <c r="Q3" s="123"/>
    </row>
    <row r="4" spans="2:17" x14ac:dyDescent="0.25">
      <c r="B4" s="278" t="s">
        <v>262</v>
      </c>
      <c r="C4" s="123"/>
      <c r="D4" s="123"/>
      <c r="E4" s="123"/>
      <c r="F4" s="123"/>
      <c r="G4" s="123"/>
      <c r="H4" s="123"/>
      <c r="I4" s="123"/>
      <c r="J4" s="123"/>
      <c r="K4" s="123"/>
      <c r="L4" s="123"/>
      <c r="M4" s="123"/>
      <c r="N4" s="123"/>
      <c r="O4" s="123"/>
      <c r="P4" s="123"/>
      <c r="Q4" s="123"/>
    </row>
    <row r="5" spans="2:17" x14ac:dyDescent="0.25">
      <c r="B5" s="278" t="s">
        <v>263</v>
      </c>
      <c r="C5" s="123"/>
      <c r="D5" s="123"/>
      <c r="E5" s="123"/>
      <c r="F5" s="123"/>
      <c r="G5" s="123"/>
      <c r="H5" s="123"/>
      <c r="I5" s="123"/>
      <c r="J5" s="123"/>
      <c r="K5" s="123"/>
      <c r="L5" s="123"/>
      <c r="M5" s="123"/>
      <c r="N5" s="123"/>
      <c r="O5" s="123"/>
      <c r="P5" s="123"/>
      <c r="Q5" s="123"/>
    </row>
    <row r="6" spans="2:17" ht="30.75" thickBot="1" x14ac:dyDescent="0.3">
      <c r="B6" s="279" t="s">
        <v>264</v>
      </c>
      <c r="C6" s="123"/>
      <c r="D6" s="123"/>
      <c r="E6" s="123"/>
      <c r="F6" s="123"/>
      <c r="G6" s="123"/>
      <c r="H6" s="123"/>
      <c r="I6" s="123"/>
      <c r="J6" s="123"/>
      <c r="K6" s="123"/>
      <c r="L6" s="123"/>
      <c r="M6" s="123"/>
      <c r="N6" s="123"/>
      <c r="O6" s="123"/>
      <c r="P6" s="123"/>
      <c r="Q6" s="123"/>
    </row>
    <row r="7" spans="2:17" ht="15.75" thickBot="1" x14ac:dyDescent="0.3">
      <c r="B7" s="217" t="s">
        <v>265</v>
      </c>
      <c r="C7" s="132"/>
      <c r="D7" s="132"/>
      <c r="E7" s="132"/>
      <c r="F7" s="132"/>
      <c r="G7" s="132"/>
      <c r="H7" s="132"/>
      <c r="I7" s="132"/>
      <c r="J7" s="132"/>
      <c r="K7" s="132"/>
      <c r="L7" s="132"/>
      <c r="M7" s="132"/>
      <c r="N7" s="132"/>
      <c r="O7" s="132"/>
      <c r="P7" s="132"/>
      <c r="Q7" s="132"/>
    </row>
    <row r="8" spans="2:17" ht="45" x14ac:dyDescent="0.25">
      <c r="B8" s="277" t="s">
        <v>266</v>
      </c>
      <c r="C8" s="123"/>
      <c r="D8" s="123"/>
      <c r="E8" s="123"/>
      <c r="F8" s="123"/>
      <c r="G8" s="123"/>
      <c r="H8" s="123"/>
      <c r="I8" s="123"/>
      <c r="J8" s="123"/>
      <c r="K8" s="123"/>
      <c r="L8" s="123"/>
      <c r="M8" s="123"/>
      <c r="N8" s="123"/>
      <c r="O8" s="123"/>
      <c r="P8" s="123"/>
      <c r="Q8" s="123"/>
    </row>
    <row r="9" spans="2:17" ht="30" x14ac:dyDescent="0.25">
      <c r="B9" s="278" t="s">
        <v>267</v>
      </c>
      <c r="C9" s="123"/>
      <c r="D9" s="123"/>
      <c r="E9" s="123"/>
      <c r="F9" s="123"/>
      <c r="G9" s="123"/>
      <c r="H9" s="123"/>
      <c r="I9" s="123"/>
      <c r="J9" s="123"/>
      <c r="K9" s="123"/>
      <c r="L9" s="123"/>
      <c r="M9" s="123"/>
      <c r="N9" s="123"/>
      <c r="O9" s="123"/>
      <c r="P9" s="123"/>
      <c r="Q9" s="123"/>
    </row>
    <row r="10" spans="2:17" x14ac:dyDescent="0.25">
      <c r="B10" s="278" t="s">
        <v>268</v>
      </c>
      <c r="C10" s="123"/>
      <c r="D10" s="123"/>
      <c r="E10" s="123"/>
      <c r="F10" s="123"/>
      <c r="G10" s="123"/>
      <c r="H10" s="123"/>
      <c r="I10" s="123"/>
      <c r="J10" s="123"/>
      <c r="K10" s="123"/>
      <c r="L10" s="123"/>
      <c r="M10" s="123"/>
      <c r="N10" s="123"/>
      <c r="O10" s="123"/>
      <c r="P10" s="123"/>
      <c r="Q10" s="123"/>
    </row>
    <row r="11" spans="2:17" x14ac:dyDescent="0.25">
      <c r="B11" s="278" t="s">
        <v>269</v>
      </c>
      <c r="C11" s="123"/>
      <c r="D11" s="123"/>
      <c r="E11" s="123"/>
      <c r="F11" s="123"/>
      <c r="G11" s="123"/>
      <c r="H11" s="123"/>
      <c r="I11" s="123"/>
      <c r="J11" s="123"/>
      <c r="K11" s="123"/>
      <c r="L11" s="123"/>
      <c r="M11" s="123"/>
      <c r="N11" s="123"/>
      <c r="O11" s="123"/>
      <c r="P11" s="123"/>
      <c r="Q11" s="123"/>
    </row>
    <row r="12" spans="2:17" x14ac:dyDescent="0.25">
      <c r="B12" s="278" t="s">
        <v>270</v>
      </c>
      <c r="C12" s="123"/>
      <c r="D12" s="123"/>
      <c r="E12" s="123"/>
      <c r="F12" s="123"/>
      <c r="G12" s="123"/>
      <c r="H12" s="123"/>
      <c r="I12" s="123"/>
      <c r="J12" s="123"/>
      <c r="K12" s="123"/>
      <c r="L12" s="123"/>
      <c r="M12" s="123"/>
      <c r="N12" s="123"/>
      <c r="O12" s="123"/>
      <c r="P12" s="123"/>
      <c r="Q12" s="123"/>
    </row>
    <row r="13" spans="2:17" x14ac:dyDescent="0.25">
      <c r="B13" s="278" t="s">
        <v>271</v>
      </c>
      <c r="C13" s="123"/>
      <c r="D13" s="123"/>
      <c r="E13" s="123"/>
      <c r="F13" s="123"/>
      <c r="G13" s="123"/>
      <c r="H13" s="123"/>
      <c r="I13" s="123"/>
      <c r="J13" s="123"/>
      <c r="K13" s="123"/>
      <c r="L13" s="123"/>
      <c r="M13" s="123"/>
      <c r="N13" s="123"/>
      <c r="O13" s="123"/>
      <c r="P13" s="123"/>
      <c r="Q13" s="123"/>
    </row>
    <row r="14" spans="2:17" ht="30" x14ac:dyDescent="0.25">
      <c r="B14" s="278" t="s">
        <v>272</v>
      </c>
      <c r="C14" s="123"/>
      <c r="D14" s="123"/>
      <c r="E14" s="123"/>
      <c r="F14" s="123"/>
      <c r="G14" s="123"/>
      <c r="H14" s="123"/>
      <c r="I14" s="123"/>
      <c r="J14" s="123"/>
      <c r="K14" s="123"/>
      <c r="L14" s="123"/>
      <c r="M14" s="123"/>
      <c r="N14" s="123"/>
      <c r="O14" s="123"/>
      <c r="P14" s="123"/>
      <c r="Q14" s="123"/>
    </row>
    <row r="15" spans="2:17" ht="30.75" thickBot="1" x14ac:dyDescent="0.3">
      <c r="B15" s="279" t="s">
        <v>273</v>
      </c>
      <c r="C15" s="123"/>
      <c r="D15" s="123"/>
      <c r="E15" s="123"/>
      <c r="F15" s="123"/>
      <c r="G15" s="123"/>
      <c r="H15" s="123"/>
      <c r="I15" s="123"/>
      <c r="J15" s="123"/>
      <c r="K15" s="123"/>
      <c r="L15" s="123"/>
      <c r="M15" s="123"/>
      <c r="N15" s="123"/>
      <c r="O15" s="123"/>
      <c r="P15" s="123"/>
      <c r="Q15" s="123"/>
    </row>
    <row r="16" spans="2:17" ht="15.75" thickBot="1" x14ac:dyDescent="0.3">
      <c r="B16" s="217" t="s">
        <v>274</v>
      </c>
      <c r="C16" s="132"/>
      <c r="D16" s="132"/>
      <c r="E16" s="132"/>
      <c r="F16" s="132"/>
      <c r="G16" s="132"/>
      <c r="H16" s="132"/>
      <c r="I16" s="132"/>
      <c r="J16" s="132"/>
      <c r="K16" s="132"/>
      <c r="L16" s="132"/>
      <c r="M16" s="132"/>
      <c r="N16" s="132"/>
      <c r="O16" s="132"/>
      <c r="P16" s="132"/>
      <c r="Q16" s="132"/>
    </row>
    <row r="17" spans="2:17" ht="30" x14ac:dyDescent="0.25">
      <c r="B17" s="280" t="s">
        <v>275</v>
      </c>
      <c r="C17" s="132"/>
      <c r="D17" s="132"/>
      <c r="E17" s="132"/>
      <c r="F17" s="132"/>
      <c r="G17" s="132"/>
      <c r="H17" s="132"/>
      <c r="I17" s="132"/>
      <c r="J17" s="132"/>
      <c r="K17" s="132"/>
      <c r="L17" s="132"/>
      <c r="M17" s="132"/>
      <c r="N17" s="132"/>
      <c r="O17" s="132"/>
      <c r="P17" s="132"/>
      <c r="Q17" s="132"/>
    </row>
    <row r="18" spans="2:17" ht="30" x14ac:dyDescent="0.25">
      <c r="B18" s="278" t="s">
        <v>276</v>
      </c>
      <c r="C18" s="123"/>
      <c r="D18" s="123"/>
      <c r="E18" s="123"/>
      <c r="F18" s="123"/>
      <c r="G18" s="123"/>
      <c r="H18" s="123"/>
      <c r="I18" s="123"/>
      <c r="J18" s="123"/>
      <c r="K18" s="123"/>
      <c r="L18" s="123"/>
      <c r="M18" s="123"/>
      <c r="N18" s="123"/>
      <c r="O18" s="123"/>
      <c r="P18" s="123"/>
      <c r="Q18" s="123"/>
    </row>
    <row r="19" spans="2:17" x14ac:dyDescent="0.25">
      <c r="B19" s="278" t="s">
        <v>277</v>
      </c>
      <c r="C19" s="123"/>
      <c r="D19" s="123"/>
      <c r="E19" s="123"/>
      <c r="F19" s="123"/>
      <c r="G19" s="123"/>
      <c r="H19" s="123"/>
      <c r="I19" s="123"/>
      <c r="J19" s="123"/>
      <c r="K19" s="123"/>
      <c r="L19" s="123"/>
      <c r="M19" s="123"/>
      <c r="N19" s="123"/>
      <c r="O19" s="123"/>
      <c r="P19" s="123"/>
      <c r="Q19" s="123"/>
    </row>
    <row r="20" spans="2:17" x14ac:dyDescent="0.25">
      <c r="B20" s="278" t="s">
        <v>278</v>
      </c>
      <c r="C20" s="123"/>
      <c r="D20" s="123"/>
      <c r="E20" s="123"/>
      <c r="F20" s="123"/>
      <c r="G20" s="123"/>
      <c r="H20" s="123"/>
      <c r="I20" s="123"/>
      <c r="J20" s="123"/>
      <c r="K20" s="123"/>
      <c r="L20" s="123"/>
      <c r="M20" s="123"/>
      <c r="N20" s="123"/>
      <c r="O20" s="123"/>
      <c r="P20" s="123"/>
      <c r="Q20" s="123"/>
    </row>
    <row r="21" spans="2:17" ht="30" x14ac:dyDescent="0.25">
      <c r="B21" s="278" t="s">
        <v>279</v>
      </c>
      <c r="C21" s="123"/>
      <c r="D21" s="123"/>
      <c r="E21" s="123"/>
      <c r="F21" s="123"/>
      <c r="G21" s="123"/>
      <c r="H21" s="123"/>
      <c r="I21" s="123"/>
      <c r="J21" s="123"/>
      <c r="K21" s="123"/>
      <c r="L21" s="123"/>
      <c r="M21" s="123"/>
      <c r="N21" s="123"/>
      <c r="O21" s="123"/>
      <c r="P21" s="123"/>
      <c r="Q21" s="123"/>
    </row>
    <row r="22" spans="2:17" ht="30.75" thickBot="1" x14ac:dyDescent="0.3">
      <c r="B22" s="279" t="s">
        <v>280</v>
      </c>
      <c r="C22" s="123"/>
      <c r="D22" s="123"/>
      <c r="E22" s="123"/>
      <c r="F22" s="123"/>
      <c r="G22" s="123"/>
      <c r="H22" s="123"/>
      <c r="I22" s="123"/>
      <c r="J22" s="123"/>
      <c r="K22" s="123"/>
      <c r="L22" s="123"/>
      <c r="M22" s="123"/>
      <c r="N22" s="123"/>
      <c r="O22" s="123"/>
      <c r="P22" s="123"/>
      <c r="Q22" s="123"/>
    </row>
    <row r="23" spans="2:17" ht="15.75" thickBot="1" x14ac:dyDescent="0.3">
      <c r="B23" s="217" t="s">
        <v>281</v>
      </c>
      <c r="C23" s="123"/>
      <c r="D23" s="123"/>
      <c r="E23" s="123"/>
      <c r="F23" s="123"/>
      <c r="G23" s="123"/>
      <c r="H23" s="123"/>
      <c r="I23" s="123"/>
      <c r="J23" s="123"/>
      <c r="K23" s="123"/>
      <c r="L23" s="123"/>
      <c r="M23" s="123"/>
      <c r="N23" s="123"/>
      <c r="O23" s="123"/>
      <c r="P23" s="123"/>
      <c r="Q23" s="123"/>
    </row>
    <row r="24" spans="2:17" x14ac:dyDescent="0.25">
      <c r="B24" s="277" t="s">
        <v>282</v>
      </c>
      <c r="C24" s="123"/>
      <c r="D24" s="123"/>
      <c r="E24" s="123"/>
      <c r="F24" s="123"/>
      <c r="G24" s="123"/>
      <c r="H24" s="123"/>
      <c r="I24" s="123"/>
      <c r="J24" s="123"/>
      <c r="K24" s="123"/>
      <c r="L24" s="123"/>
      <c r="M24" s="123"/>
      <c r="N24" s="123"/>
      <c r="O24" s="123"/>
      <c r="P24" s="123"/>
      <c r="Q24" s="123"/>
    </row>
    <row r="25" spans="2:17" ht="15.75" thickBot="1" x14ac:dyDescent="0.3">
      <c r="B25" s="281" t="s">
        <v>283</v>
      </c>
      <c r="C25" s="123"/>
      <c r="D25" s="123"/>
      <c r="E25" s="123"/>
      <c r="F25" s="123"/>
      <c r="G25" s="123"/>
      <c r="H25" s="123"/>
      <c r="I25" s="123"/>
      <c r="J25" s="123"/>
      <c r="K25" s="123"/>
      <c r="L25" s="123"/>
      <c r="M25" s="123"/>
      <c r="N25" s="123"/>
      <c r="O25" s="123"/>
      <c r="P25" s="123"/>
      <c r="Q25" s="123"/>
    </row>
    <row r="26" spans="2:17" ht="15.75" thickBot="1" x14ac:dyDescent="0.3">
      <c r="B26" s="217" t="s">
        <v>284</v>
      </c>
      <c r="C26" s="123"/>
      <c r="D26" s="123"/>
      <c r="E26" s="123"/>
      <c r="F26" s="123"/>
      <c r="G26" s="123"/>
      <c r="H26" s="123"/>
      <c r="I26" s="123"/>
      <c r="J26" s="123"/>
      <c r="K26" s="123"/>
      <c r="L26" s="123"/>
      <c r="M26" s="123"/>
      <c r="N26" s="123"/>
      <c r="O26" s="123"/>
      <c r="P26" s="123"/>
      <c r="Q26" s="123"/>
    </row>
    <row r="27" spans="2:17" ht="30" x14ac:dyDescent="0.25">
      <c r="B27" s="277" t="s">
        <v>285</v>
      </c>
      <c r="C27" s="123"/>
      <c r="D27" s="123"/>
      <c r="E27" s="123"/>
      <c r="F27" s="123"/>
      <c r="G27" s="123"/>
      <c r="H27" s="123"/>
      <c r="I27" s="123"/>
      <c r="J27" s="123"/>
      <c r="K27" s="123"/>
      <c r="L27" s="123"/>
      <c r="M27" s="123"/>
      <c r="N27" s="123"/>
      <c r="O27" s="123"/>
      <c r="P27" s="123"/>
      <c r="Q27" s="123"/>
    </row>
    <row r="28" spans="2:17" ht="30.75" thickBot="1" x14ac:dyDescent="0.3">
      <c r="B28" s="281" t="s">
        <v>286</v>
      </c>
    </row>
    <row r="29" spans="2:17" x14ac:dyDescent="0.25">
      <c r="B29" s="216"/>
    </row>
  </sheetData>
  <sheetProtection algorithmName="SHA-512" hashValue="gc12asnKw28tpDjmyVaOQe+jt76GHVictf5xcuEdHTDZi0Wc3aVNGzrPsIW4twbgpPsaxqiiw8uCeKz+SL9LDg==" saltValue="1k25FcD4JcW9T+cevXfPrQ==" spinCount="100000" sheet="1" objects="1" scenarios="1"/>
  <pageMargins left="0.511811024" right="0.511811024" top="0.78740157499999996" bottom="0.78740157499999996" header="0.31496062000000002" footer="0.31496062000000002"/>
  <pageSetup paperSize="9"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09467-1A39-45C6-B3B9-56F54C9D63DE}">
  <sheetPr codeName="Planilha8"/>
  <dimension ref="A1:K100"/>
  <sheetViews>
    <sheetView showGridLines="0" showRowColHeaders="0" workbookViewId="0">
      <pane xSplit="1" ySplit="2" topLeftCell="B16" activePane="bottomRight" state="frozen"/>
      <selection pane="topRight" activeCell="B1" sqref="B1"/>
      <selection pane="bottomLeft" activeCell="A3" sqref="A3"/>
      <selection pane="bottomRight" activeCell="D20" sqref="D20"/>
    </sheetView>
  </sheetViews>
  <sheetFormatPr defaultRowHeight="15" x14ac:dyDescent="0.25"/>
  <cols>
    <col min="1" max="1" width="3.7109375" style="133" customWidth="1"/>
    <col min="2" max="2" width="7.7109375" customWidth="1"/>
    <col min="3" max="3" width="10.7109375" customWidth="1"/>
    <col min="4" max="4" width="105.7109375" style="123" customWidth="1"/>
    <col min="5" max="5" width="8.85546875" style="132"/>
    <col min="6" max="6" width="8.85546875" style="123" hidden="1" customWidth="1"/>
    <col min="7" max="9" width="8.85546875" hidden="1" customWidth="1"/>
  </cols>
  <sheetData>
    <row r="1" spans="2:9" ht="67.900000000000006" customHeight="1" thickBot="1" x14ac:dyDescent="0.3">
      <c r="B1" s="392" t="s">
        <v>287</v>
      </c>
      <c r="C1" s="392"/>
      <c r="D1" s="392"/>
    </row>
    <row r="2" spans="2:9" x14ac:dyDescent="0.25">
      <c r="B2" s="223" t="s">
        <v>288</v>
      </c>
      <c r="C2" s="228" t="s">
        <v>30</v>
      </c>
      <c r="D2" s="125" t="s">
        <v>120</v>
      </c>
      <c r="F2" s="124"/>
      <c r="G2" s="122"/>
      <c r="H2" s="121"/>
      <c r="I2" s="122"/>
    </row>
    <row r="3" spans="2:9" x14ac:dyDescent="0.25">
      <c r="B3" s="282" t="s">
        <v>289</v>
      </c>
      <c r="C3" s="226">
        <v>45462</v>
      </c>
      <c r="D3" s="126" t="s">
        <v>290</v>
      </c>
      <c r="F3" s="250" t="str">
        <f>"Versão " &amp; G3</f>
        <v>Versão 2.13</v>
      </c>
      <c r="G3" s="120" t="str">
        <f>LOOKUP(2,1/(LEN(B3:B100)&gt;0),B3:B100)</f>
        <v>2.13</v>
      </c>
      <c r="I3" t="s">
        <v>291</v>
      </c>
    </row>
    <row r="4" spans="2:9" x14ac:dyDescent="0.25">
      <c r="B4" s="282" t="s">
        <v>292</v>
      </c>
      <c r="C4" s="226">
        <v>45481</v>
      </c>
      <c r="D4" s="126" t="s">
        <v>293</v>
      </c>
    </row>
    <row r="5" spans="2:9" x14ac:dyDescent="0.25">
      <c r="B5" s="224" t="s">
        <v>294</v>
      </c>
      <c r="C5" s="226">
        <v>45496</v>
      </c>
      <c r="D5" s="128" t="s">
        <v>295</v>
      </c>
    </row>
    <row r="6" spans="2:9" ht="26.25" x14ac:dyDescent="0.25">
      <c r="B6" s="282" t="s">
        <v>296</v>
      </c>
      <c r="C6" s="226">
        <v>45524</v>
      </c>
      <c r="D6" s="128" t="s">
        <v>297</v>
      </c>
    </row>
    <row r="7" spans="2:9" x14ac:dyDescent="0.25">
      <c r="B7" s="282" t="s">
        <v>298</v>
      </c>
      <c r="C7" s="226">
        <v>45553</v>
      </c>
      <c r="D7" s="128" t="s">
        <v>299</v>
      </c>
    </row>
    <row r="8" spans="2:9" x14ac:dyDescent="0.25">
      <c r="B8" s="282" t="s">
        <v>300</v>
      </c>
      <c r="C8" s="226">
        <v>45555</v>
      </c>
      <c r="D8" s="128" t="s">
        <v>301</v>
      </c>
    </row>
    <row r="9" spans="2:9" x14ac:dyDescent="0.25">
      <c r="B9" s="224" t="s">
        <v>302</v>
      </c>
      <c r="C9" s="226">
        <v>45573</v>
      </c>
      <c r="D9" s="128" t="s">
        <v>303</v>
      </c>
    </row>
    <row r="10" spans="2:9" ht="39" x14ac:dyDescent="0.25">
      <c r="B10" s="282" t="s">
        <v>304</v>
      </c>
      <c r="C10" s="226">
        <v>45582</v>
      </c>
      <c r="D10" s="128" t="s">
        <v>305</v>
      </c>
    </row>
    <row r="11" spans="2:9" x14ac:dyDescent="0.25">
      <c r="B11" s="282" t="s">
        <v>306</v>
      </c>
      <c r="C11" s="226">
        <v>45587</v>
      </c>
      <c r="D11" s="128" t="s">
        <v>307</v>
      </c>
    </row>
    <row r="12" spans="2:9" x14ac:dyDescent="0.25">
      <c r="B12" s="282" t="s">
        <v>308</v>
      </c>
      <c r="C12" s="226">
        <v>45589</v>
      </c>
      <c r="D12" s="128" t="s">
        <v>309</v>
      </c>
    </row>
    <row r="13" spans="2:9" x14ac:dyDescent="0.25">
      <c r="B13" s="282" t="s">
        <v>310</v>
      </c>
      <c r="C13" s="226">
        <v>45595</v>
      </c>
      <c r="D13" s="128" t="s">
        <v>311</v>
      </c>
    </row>
    <row r="14" spans="2:9" ht="26.25" x14ac:dyDescent="0.25">
      <c r="B14" s="282" t="s">
        <v>312</v>
      </c>
      <c r="C14" s="226">
        <v>45663</v>
      </c>
      <c r="D14" s="128" t="s">
        <v>313</v>
      </c>
    </row>
    <row r="15" spans="2:9" ht="64.5" x14ac:dyDescent="0.25">
      <c r="B15" s="282" t="s">
        <v>314</v>
      </c>
      <c r="C15" s="226">
        <v>45784</v>
      </c>
      <c r="D15" s="128" t="s">
        <v>315</v>
      </c>
    </row>
    <row r="16" spans="2:9" ht="39" x14ac:dyDescent="0.25">
      <c r="B16" s="282" t="s">
        <v>316</v>
      </c>
      <c r="C16" s="226">
        <v>45845</v>
      </c>
      <c r="D16" s="128" t="s">
        <v>317</v>
      </c>
    </row>
    <row r="17" spans="2:11" ht="77.25" x14ac:dyDescent="0.25">
      <c r="B17" s="282" t="s">
        <v>318</v>
      </c>
      <c r="C17" s="226">
        <v>45909</v>
      </c>
      <c r="D17" s="128" t="s">
        <v>319</v>
      </c>
      <c r="K17" s="273"/>
    </row>
    <row r="18" spans="2:11" x14ac:dyDescent="0.25">
      <c r="B18" s="282" t="s">
        <v>320</v>
      </c>
      <c r="C18" s="226">
        <v>45966</v>
      </c>
      <c r="D18" s="128" t="s">
        <v>321</v>
      </c>
    </row>
    <row r="19" spans="2:11" x14ac:dyDescent="0.25">
      <c r="B19" s="282" t="s">
        <v>322</v>
      </c>
      <c r="C19" s="226">
        <v>46037</v>
      </c>
      <c r="D19" s="128" t="s">
        <v>323</v>
      </c>
    </row>
    <row r="20" spans="2:11" ht="102.75" x14ac:dyDescent="0.25">
      <c r="B20" s="282" t="s">
        <v>324</v>
      </c>
      <c r="C20" s="226">
        <v>46090</v>
      </c>
      <c r="D20" s="128" t="s">
        <v>325</v>
      </c>
    </row>
    <row r="21" spans="2:11" x14ac:dyDescent="0.25">
      <c r="B21" s="224"/>
      <c r="C21" s="226"/>
      <c r="D21" s="128"/>
    </row>
    <row r="22" spans="2:11" x14ac:dyDescent="0.25">
      <c r="B22" s="224"/>
      <c r="C22" s="226"/>
      <c r="D22" s="128"/>
    </row>
    <row r="23" spans="2:11" x14ac:dyDescent="0.25">
      <c r="B23" s="224"/>
      <c r="C23" s="226"/>
      <c r="D23" s="128"/>
    </row>
    <row r="24" spans="2:11" x14ac:dyDescent="0.25">
      <c r="B24" s="224"/>
      <c r="C24" s="226"/>
      <c r="D24" s="128"/>
    </row>
    <row r="25" spans="2:11" x14ac:dyDescent="0.25">
      <c r="B25" s="224"/>
      <c r="C25" s="226"/>
      <c r="D25" s="128"/>
    </row>
    <row r="26" spans="2:11" x14ac:dyDescent="0.25">
      <c r="B26" s="224"/>
      <c r="C26" s="226"/>
      <c r="D26" s="128"/>
    </row>
    <row r="27" spans="2:11" x14ac:dyDescent="0.25">
      <c r="B27" s="224"/>
      <c r="C27" s="226"/>
      <c r="D27" s="128"/>
    </row>
    <row r="28" spans="2:11" x14ac:dyDescent="0.25">
      <c r="B28" s="224"/>
      <c r="C28" s="226"/>
      <c r="D28" s="128"/>
    </row>
    <row r="29" spans="2:11" x14ac:dyDescent="0.25">
      <c r="B29" s="224"/>
      <c r="C29" s="226"/>
      <c r="D29" s="128"/>
    </row>
    <row r="30" spans="2:11" x14ac:dyDescent="0.25">
      <c r="B30" s="224"/>
      <c r="C30" s="226"/>
      <c r="D30" s="128"/>
    </row>
    <row r="31" spans="2:11" x14ac:dyDescent="0.25">
      <c r="B31" s="224"/>
      <c r="C31" s="226"/>
      <c r="D31" s="128"/>
    </row>
    <row r="32" spans="2:11" x14ac:dyDescent="0.25">
      <c r="B32" s="224"/>
      <c r="C32" s="226"/>
      <c r="D32" s="128"/>
    </row>
    <row r="33" spans="2:4" x14ac:dyDescent="0.25">
      <c r="B33" s="224"/>
      <c r="C33" s="226"/>
      <c r="D33" s="128"/>
    </row>
    <row r="34" spans="2:4" x14ac:dyDescent="0.25">
      <c r="B34" s="224"/>
      <c r="C34" s="226"/>
      <c r="D34" s="128"/>
    </row>
    <row r="35" spans="2:4" x14ac:dyDescent="0.25">
      <c r="B35" s="224"/>
      <c r="C35" s="226"/>
      <c r="D35" s="128"/>
    </row>
    <row r="36" spans="2:4" x14ac:dyDescent="0.25">
      <c r="B36" s="224"/>
      <c r="C36" s="226"/>
      <c r="D36" s="128"/>
    </row>
    <row r="37" spans="2:4" x14ac:dyDescent="0.25">
      <c r="B37" s="224"/>
      <c r="C37" s="226"/>
      <c r="D37" s="128"/>
    </row>
    <row r="38" spans="2:4" x14ac:dyDescent="0.25">
      <c r="B38" s="224"/>
      <c r="C38" s="226"/>
      <c r="D38" s="128"/>
    </row>
    <row r="39" spans="2:4" x14ac:dyDescent="0.25">
      <c r="B39" s="224"/>
      <c r="C39" s="226"/>
      <c r="D39" s="128"/>
    </row>
    <row r="40" spans="2:4" x14ac:dyDescent="0.25">
      <c r="B40" s="224"/>
      <c r="C40" s="226"/>
      <c r="D40" s="128"/>
    </row>
    <row r="41" spans="2:4" x14ac:dyDescent="0.25">
      <c r="B41" s="224"/>
      <c r="C41" s="226"/>
      <c r="D41" s="128"/>
    </row>
    <row r="42" spans="2:4" x14ac:dyDescent="0.25">
      <c r="B42" s="224"/>
      <c r="C42" s="226"/>
      <c r="D42" s="128"/>
    </row>
    <row r="43" spans="2:4" x14ac:dyDescent="0.25">
      <c r="B43" s="224"/>
      <c r="C43" s="226"/>
      <c r="D43" s="128"/>
    </row>
    <row r="44" spans="2:4" x14ac:dyDescent="0.25">
      <c r="B44" s="224"/>
      <c r="C44" s="226"/>
      <c r="D44" s="128"/>
    </row>
    <row r="45" spans="2:4" x14ac:dyDescent="0.25">
      <c r="B45" s="224"/>
      <c r="C45" s="226"/>
      <c r="D45" s="128"/>
    </row>
    <row r="46" spans="2:4" x14ac:dyDescent="0.25">
      <c r="B46" s="224"/>
      <c r="C46" s="226"/>
      <c r="D46" s="128"/>
    </row>
    <row r="47" spans="2:4" x14ac:dyDescent="0.25">
      <c r="B47" s="224"/>
      <c r="C47" s="226"/>
      <c r="D47" s="128"/>
    </row>
    <row r="48" spans="2:4" x14ac:dyDescent="0.25">
      <c r="B48" s="224"/>
      <c r="C48" s="226"/>
      <c r="D48" s="128"/>
    </row>
    <row r="49" spans="2:4" x14ac:dyDescent="0.25">
      <c r="B49" s="224"/>
      <c r="C49" s="226"/>
      <c r="D49" s="128"/>
    </row>
    <row r="50" spans="2:4" x14ac:dyDescent="0.25">
      <c r="B50" s="224"/>
      <c r="C50" s="226"/>
      <c r="D50" s="128"/>
    </row>
    <row r="51" spans="2:4" x14ac:dyDescent="0.25">
      <c r="B51" s="224"/>
      <c r="C51" s="226"/>
      <c r="D51" s="128"/>
    </row>
    <row r="52" spans="2:4" x14ac:dyDescent="0.25">
      <c r="B52" s="224"/>
      <c r="C52" s="226"/>
      <c r="D52" s="128"/>
    </row>
    <row r="53" spans="2:4" x14ac:dyDescent="0.25">
      <c r="B53" s="224"/>
      <c r="C53" s="226"/>
      <c r="D53" s="128"/>
    </row>
    <row r="54" spans="2:4" x14ac:dyDescent="0.25">
      <c r="B54" s="224"/>
      <c r="C54" s="226"/>
      <c r="D54" s="128"/>
    </row>
    <row r="55" spans="2:4" x14ac:dyDescent="0.25">
      <c r="B55" s="224"/>
      <c r="C55" s="226"/>
      <c r="D55" s="128"/>
    </row>
    <row r="56" spans="2:4" x14ac:dyDescent="0.25">
      <c r="B56" s="224"/>
      <c r="C56" s="226"/>
      <c r="D56" s="128"/>
    </row>
    <row r="57" spans="2:4" x14ac:dyDescent="0.25">
      <c r="B57" s="224"/>
      <c r="C57" s="226"/>
      <c r="D57" s="128"/>
    </row>
    <row r="58" spans="2:4" x14ac:dyDescent="0.25">
      <c r="B58" s="224"/>
      <c r="C58" s="226"/>
      <c r="D58" s="128"/>
    </row>
    <row r="59" spans="2:4" x14ac:dyDescent="0.25">
      <c r="B59" s="224"/>
      <c r="C59" s="226"/>
      <c r="D59" s="128"/>
    </row>
    <row r="60" spans="2:4" x14ac:dyDescent="0.25">
      <c r="B60" s="224"/>
      <c r="C60" s="226"/>
      <c r="D60" s="128"/>
    </row>
    <row r="61" spans="2:4" x14ac:dyDescent="0.25">
      <c r="B61" s="224"/>
      <c r="C61" s="226"/>
      <c r="D61" s="128"/>
    </row>
    <row r="62" spans="2:4" x14ac:dyDescent="0.25">
      <c r="B62" s="224"/>
      <c r="C62" s="226"/>
      <c r="D62" s="128"/>
    </row>
    <row r="63" spans="2:4" x14ac:dyDescent="0.25">
      <c r="B63" s="224"/>
      <c r="C63" s="226"/>
      <c r="D63" s="128"/>
    </row>
    <row r="64" spans="2:4" x14ac:dyDescent="0.25">
      <c r="B64" s="224"/>
      <c r="C64" s="226"/>
      <c r="D64" s="128"/>
    </row>
    <row r="65" spans="2:4" x14ac:dyDescent="0.25">
      <c r="B65" s="224"/>
      <c r="C65" s="226"/>
      <c r="D65" s="128"/>
    </row>
    <row r="66" spans="2:4" x14ac:dyDescent="0.25">
      <c r="B66" s="224"/>
      <c r="C66" s="226"/>
      <c r="D66" s="128"/>
    </row>
    <row r="67" spans="2:4" x14ac:dyDescent="0.25">
      <c r="B67" s="224"/>
      <c r="C67" s="226"/>
      <c r="D67" s="128"/>
    </row>
    <row r="68" spans="2:4" x14ac:dyDescent="0.25">
      <c r="B68" s="224"/>
      <c r="C68" s="226"/>
      <c r="D68" s="128"/>
    </row>
    <row r="69" spans="2:4" x14ac:dyDescent="0.25">
      <c r="B69" s="224"/>
      <c r="C69" s="226"/>
      <c r="D69" s="128"/>
    </row>
    <row r="70" spans="2:4" x14ac:dyDescent="0.25">
      <c r="B70" s="224"/>
      <c r="C70" s="226"/>
      <c r="D70" s="128"/>
    </row>
    <row r="71" spans="2:4" x14ac:dyDescent="0.25">
      <c r="B71" s="224"/>
      <c r="C71" s="226"/>
      <c r="D71" s="128"/>
    </row>
    <row r="72" spans="2:4" x14ac:dyDescent="0.25">
      <c r="B72" s="224"/>
      <c r="C72" s="226"/>
      <c r="D72" s="128"/>
    </row>
    <row r="73" spans="2:4" x14ac:dyDescent="0.25">
      <c r="B73" s="224"/>
      <c r="C73" s="226"/>
      <c r="D73" s="128"/>
    </row>
    <row r="74" spans="2:4" x14ac:dyDescent="0.25">
      <c r="B74" s="224"/>
      <c r="C74" s="226"/>
      <c r="D74" s="128"/>
    </row>
    <row r="75" spans="2:4" x14ac:dyDescent="0.25">
      <c r="B75" s="224"/>
      <c r="C75" s="226"/>
      <c r="D75" s="128"/>
    </row>
    <row r="76" spans="2:4" x14ac:dyDescent="0.25">
      <c r="B76" s="224"/>
      <c r="C76" s="226"/>
      <c r="D76" s="128"/>
    </row>
    <row r="77" spans="2:4" x14ac:dyDescent="0.25">
      <c r="B77" s="224"/>
      <c r="C77" s="226"/>
      <c r="D77" s="128"/>
    </row>
    <row r="78" spans="2:4" x14ac:dyDescent="0.25">
      <c r="B78" s="224"/>
      <c r="C78" s="226"/>
      <c r="D78" s="128"/>
    </row>
    <row r="79" spans="2:4" x14ac:dyDescent="0.25">
      <c r="B79" s="224"/>
      <c r="C79" s="226"/>
      <c r="D79" s="128"/>
    </row>
    <row r="80" spans="2:4" x14ac:dyDescent="0.25">
      <c r="B80" s="224"/>
      <c r="C80" s="226"/>
      <c r="D80" s="128"/>
    </row>
    <row r="81" spans="2:4" x14ac:dyDescent="0.25">
      <c r="B81" s="224"/>
      <c r="C81" s="226"/>
      <c r="D81" s="128"/>
    </row>
    <row r="82" spans="2:4" x14ac:dyDescent="0.25">
      <c r="B82" s="224"/>
      <c r="C82" s="226"/>
      <c r="D82" s="128"/>
    </row>
    <row r="83" spans="2:4" x14ac:dyDescent="0.25">
      <c r="B83" s="224"/>
      <c r="C83" s="226"/>
      <c r="D83" s="128"/>
    </row>
    <row r="84" spans="2:4" x14ac:dyDescent="0.25">
      <c r="B84" s="224"/>
      <c r="C84" s="226"/>
      <c r="D84" s="128"/>
    </row>
    <row r="85" spans="2:4" x14ac:dyDescent="0.25">
      <c r="B85" s="224"/>
      <c r="C85" s="226"/>
      <c r="D85" s="128"/>
    </row>
    <row r="86" spans="2:4" x14ac:dyDescent="0.25">
      <c r="B86" s="224"/>
      <c r="C86" s="226"/>
      <c r="D86" s="128"/>
    </row>
    <row r="87" spans="2:4" x14ac:dyDescent="0.25">
      <c r="B87" s="224"/>
      <c r="C87" s="226"/>
      <c r="D87" s="128"/>
    </row>
    <row r="88" spans="2:4" x14ac:dyDescent="0.25">
      <c r="B88" s="224"/>
      <c r="C88" s="226"/>
      <c r="D88" s="128"/>
    </row>
    <row r="89" spans="2:4" x14ac:dyDescent="0.25">
      <c r="B89" s="224"/>
      <c r="C89" s="226"/>
      <c r="D89" s="128"/>
    </row>
    <row r="90" spans="2:4" x14ac:dyDescent="0.25">
      <c r="B90" s="224"/>
      <c r="C90" s="226"/>
      <c r="D90" s="128"/>
    </row>
    <row r="91" spans="2:4" x14ac:dyDescent="0.25">
      <c r="B91" s="224"/>
      <c r="C91" s="226"/>
      <c r="D91" s="128"/>
    </row>
    <row r="92" spans="2:4" x14ac:dyDescent="0.25">
      <c r="B92" s="224"/>
      <c r="C92" s="226"/>
      <c r="D92" s="128"/>
    </row>
    <row r="93" spans="2:4" x14ac:dyDescent="0.25">
      <c r="B93" s="224"/>
      <c r="C93" s="226"/>
      <c r="D93" s="128"/>
    </row>
    <row r="94" spans="2:4" x14ac:dyDescent="0.25">
      <c r="B94" s="224"/>
      <c r="C94" s="226"/>
      <c r="D94" s="128"/>
    </row>
    <row r="95" spans="2:4" x14ac:dyDescent="0.25">
      <c r="B95" s="224"/>
      <c r="C95" s="226"/>
      <c r="D95" s="128"/>
    </row>
    <row r="96" spans="2:4" x14ac:dyDescent="0.25">
      <c r="B96" s="224"/>
      <c r="C96" s="226"/>
      <c r="D96" s="128"/>
    </row>
    <row r="97" spans="2:4" x14ac:dyDescent="0.25">
      <c r="B97" s="224"/>
      <c r="C97" s="226"/>
      <c r="D97" s="128"/>
    </row>
    <row r="98" spans="2:4" x14ac:dyDescent="0.25">
      <c r="B98" s="224"/>
      <c r="C98" s="226"/>
      <c r="D98" s="128"/>
    </row>
    <row r="99" spans="2:4" x14ac:dyDescent="0.25">
      <c r="B99" s="224"/>
      <c r="C99" s="226"/>
      <c r="D99" s="128"/>
    </row>
    <row r="100" spans="2:4" ht="15.75" thickBot="1" x14ac:dyDescent="0.3">
      <c r="B100" s="225"/>
      <c r="C100" s="227"/>
      <c r="D100" s="129"/>
    </row>
  </sheetData>
  <sheetProtection algorithmName="SHA-512" hashValue="aWj4uEWcue9ClLSeskmsTpdwkYPMbdo/yBAkVOLQaFOzPvkQ60Qu3hGnTiW2XHg6HMUD7Htgo0A0wkwuzC59lA==" saltValue="smUsHlWBYjA8/9wNECeuNg==" spinCount="100000" sheet="1" objects="1" scenarios="1"/>
  <mergeCells count="1">
    <mergeCell ref="B1:D1"/>
  </mergeCells>
  <pageMargins left="0.511811024" right="0.511811024" top="0.78740157499999996" bottom="0.78740157499999996" header="0.31496062000000002" footer="0.31496062000000002"/>
  <pageSetup paperSize="9"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8991B-6758-4694-B6C0-51237BCF108D}">
  <sheetPr codeName="Planilha9">
    <tabColor rgb="FF92D050"/>
  </sheetPr>
  <dimension ref="B1:N46"/>
  <sheetViews>
    <sheetView showGridLines="0" showRowColHeaders="0" topLeftCell="A4" workbookViewId="0">
      <selection activeCell="K21" sqref="K21"/>
    </sheetView>
  </sheetViews>
  <sheetFormatPr defaultRowHeight="15" x14ac:dyDescent="0.25"/>
  <cols>
    <col min="1" max="1" width="3.7109375" customWidth="1"/>
    <col min="2" max="2" width="11.28515625" customWidth="1"/>
    <col min="3" max="3" width="11.42578125" customWidth="1"/>
    <col min="4" max="4" width="11.7109375" customWidth="1"/>
    <col min="5" max="5" width="17.28515625" bestFit="1" customWidth="1"/>
    <col min="6" max="6" width="3.7109375" customWidth="1"/>
    <col min="8" max="8" width="3.7109375" customWidth="1"/>
    <col min="13" max="13" width="13.5703125" bestFit="1" customWidth="1"/>
  </cols>
  <sheetData>
    <row r="1" spans="2:14" x14ac:dyDescent="0.25">
      <c r="M1" t="s">
        <v>326</v>
      </c>
    </row>
    <row r="2" spans="2:14" ht="30.75" thickBot="1" x14ac:dyDescent="0.3">
      <c r="B2" s="262" t="s">
        <v>327</v>
      </c>
      <c r="G2" s="262" t="s">
        <v>328</v>
      </c>
      <c r="I2" s="262" t="s">
        <v>329</v>
      </c>
      <c r="J2" s="262" t="s">
        <v>330</v>
      </c>
      <c r="K2" s="262" t="s">
        <v>331</v>
      </c>
      <c r="M2" s="262" t="s">
        <v>332</v>
      </c>
      <c r="N2" s="265" t="s">
        <v>333</v>
      </c>
    </row>
    <row r="3" spans="2:14" ht="63.75" thickBot="1" x14ac:dyDescent="0.3">
      <c r="B3" s="255" t="s">
        <v>334</v>
      </c>
      <c r="C3" s="256" t="s">
        <v>335</v>
      </c>
      <c r="D3" s="256" t="s">
        <v>122</v>
      </c>
      <c r="E3" s="257" t="s">
        <v>336</v>
      </c>
      <c r="G3" s="258" t="s">
        <v>337</v>
      </c>
      <c r="I3" s="258" t="s">
        <v>337</v>
      </c>
      <c r="J3" s="258" t="s">
        <v>337</v>
      </c>
      <c r="K3" s="258" t="s">
        <v>337</v>
      </c>
      <c r="M3" s="260" t="s">
        <v>338</v>
      </c>
      <c r="N3" s="260" t="s">
        <v>338</v>
      </c>
    </row>
    <row r="4" spans="2:14" ht="20.45" customHeight="1" x14ac:dyDescent="0.25">
      <c r="B4" s="251" t="s">
        <v>339</v>
      </c>
      <c r="C4" s="252">
        <v>7</v>
      </c>
      <c r="D4" s="253" t="s">
        <v>330</v>
      </c>
      <c r="E4" s="254" t="s">
        <v>235</v>
      </c>
      <c r="G4" s="259" t="s">
        <v>340</v>
      </c>
      <c r="I4" s="259" t="s">
        <v>340</v>
      </c>
      <c r="J4" s="259" t="s">
        <v>340</v>
      </c>
      <c r="K4" s="283" t="s">
        <v>341</v>
      </c>
      <c r="M4" s="263" t="s">
        <v>166</v>
      </c>
      <c r="N4" s="120" t="str" cm="1">
        <f t="array" ref="N4:N46">IF($D4="INM",Tabela_INM,_xlfn._xlws.FILTER(Mnemonico,(Mnemonico&lt;&gt;"") * ISERROR(MATCH(Mnemonico, Tabela_INM, 0))))</f>
        <v>Inc-4.1</v>
      </c>
    </row>
    <row r="5" spans="2:14" x14ac:dyDescent="0.25">
      <c r="B5" s="127" t="s">
        <v>342</v>
      </c>
      <c r="C5" s="120">
        <v>10</v>
      </c>
      <c r="D5" s="150" t="s">
        <v>330</v>
      </c>
      <c r="E5" s="134" t="s">
        <v>343</v>
      </c>
      <c r="G5" s="153" t="s">
        <v>344</v>
      </c>
      <c r="I5" s="153" t="s">
        <v>344</v>
      </c>
      <c r="J5" s="153" t="s">
        <v>344</v>
      </c>
      <c r="K5" s="284" t="s">
        <v>345</v>
      </c>
      <c r="M5" s="263" t="s">
        <v>192</v>
      </c>
      <c r="N5" s="120" t="str">
        <v>A50-4.2</v>
      </c>
    </row>
    <row r="6" spans="2:14" ht="15.75" thickBot="1" x14ac:dyDescent="0.3">
      <c r="B6" s="127" t="s">
        <v>346</v>
      </c>
      <c r="C6" s="120">
        <v>15</v>
      </c>
      <c r="D6" s="150" t="s">
        <v>330</v>
      </c>
      <c r="E6" s="134" t="s">
        <v>237</v>
      </c>
      <c r="G6" s="153" t="s">
        <v>347</v>
      </c>
      <c r="I6" s="153" t="s">
        <v>347</v>
      </c>
      <c r="J6" s="153" t="s">
        <v>347</v>
      </c>
      <c r="K6" s="284" t="s">
        <v>168</v>
      </c>
      <c r="M6" s="264" t="s">
        <v>205</v>
      </c>
      <c r="N6" s="120" t="str">
        <v>A65-4.2</v>
      </c>
    </row>
    <row r="7" spans="2:14" x14ac:dyDescent="0.25">
      <c r="B7" s="127" t="s">
        <v>348</v>
      </c>
      <c r="C7" s="120">
        <v>5</v>
      </c>
      <c r="D7" s="150" t="s">
        <v>330</v>
      </c>
      <c r="E7" s="134" t="s">
        <v>235</v>
      </c>
      <c r="G7" s="153" t="s">
        <v>349</v>
      </c>
      <c r="I7" s="153" t="s">
        <v>349</v>
      </c>
      <c r="J7" s="153" t="s">
        <v>349</v>
      </c>
      <c r="K7" s="284" t="s">
        <v>227</v>
      </c>
      <c r="M7" s="123"/>
      <c r="N7" s="120" t="str">
        <v>A75-4.2</v>
      </c>
    </row>
    <row r="8" spans="2:14" x14ac:dyDescent="0.25">
      <c r="B8" s="127" t="s">
        <v>350</v>
      </c>
      <c r="C8" s="120">
        <v>7</v>
      </c>
      <c r="D8" s="150" t="s">
        <v>330</v>
      </c>
      <c r="E8" s="134" t="s">
        <v>343</v>
      </c>
      <c r="G8" s="153" t="s">
        <v>351</v>
      </c>
      <c r="I8" s="153" t="s">
        <v>351</v>
      </c>
      <c r="J8" s="153" t="s">
        <v>351</v>
      </c>
      <c r="K8" s="284" t="s">
        <v>341</v>
      </c>
      <c r="M8" s="123"/>
      <c r="N8" s="120" t="str">
        <v>A80-4.2</v>
      </c>
    </row>
    <row r="9" spans="2:14" x14ac:dyDescent="0.25">
      <c r="B9" s="127" t="s">
        <v>352</v>
      </c>
      <c r="C9" s="120">
        <v>10</v>
      </c>
      <c r="D9" s="150" t="s">
        <v>330</v>
      </c>
      <c r="E9" s="134" t="s">
        <v>237</v>
      </c>
      <c r="G9" s="153" t="s">
        <v>168</v>
      </c>
      <c r="I9" s="153" t="s">
        <v>168</v>
      </c>
      <c r="J9" s="153" t="s">
        <v>168</v>
      </c>
      <c r="K9" s="284" t="s">
        <v>345</v>
      </c>
      <c r="M9" s="123"/>
      <c r="N9" s="120" t="str">
        <v>A90-4.2</v>
      </c>
    </row>
    <row r="10" spans="2:14" x14ac:dyDescent="0.25">
      <c r="B10" s="285" t="s">
        <v>353</v>
      </c>
      <c r="C10" s="120">
        <v>3</v>
      </c>
      <c r="D10" s="150" t="s">
        <v>330</v>
      </c>
      <c r="E10" s="134" t="s">
        <v>235</v>
      </c>
      <c r="G10" s="153" t="s">
        <v>227</v>
      </c>
      <c r="I10" s="153" t="s">
        <v>227</v>
      </c>
      <c r="J10" s="153" t="s">
        <v>227</v>
      </c>
      <c r="K10" s="284" t="s">
        <v>168</v>
      </c>
      <c r="M10" s="123"/>
      <c r="N10" s="120" t="str">
        <v>Exc-4.2</v>
      </c>
    </row>
    <row r="11" spans="2:14" ht="15.75" thickBot="1" x14ac:dyDescent="0.3">
      <c r="B11" s="285" t="s">
        <v>354</v>
      </c>
      <c r="C11" s="120">
        <v>4</v>
      </c>
      <c r="D11" s="150" t="s">
        <v>330</v>
      </c>
      <c r="E11" s="134" t="s">
        <v>343</v>
      </c>
      <c r="G11" s="286" t="s">
        <v>227</v>
      </c>
      <c r="I11" s="286" t="s">
        <v>355</v>
      </c>
      <c r="J11" s="153" t="s">
        <v>227</v>
      </c>
      <c r="K11" s="286" t="s">
        <v>355</v>
      </c>
      <c r="M11" s="123"/>
      <c r="N11" s="120" t="str">
        <v>Exc25-4.2</v>
      </c>
    </row>
    <row r="12" spans="2:14" x14ac:dyDescent="0.25">
      <c r="B12" s="285" t="s">
        <v>356</v>
      </c>
      <c r="C12" s="120">
        <v>6</v>
      </c>
      <c r="D12" s="150" t="s">
        <v>330</v>
      </c>
      <c r="E12" s="134" t="s">
        <v>237</v>
      </c>
      <c r="J12" s="287" t="s">
        <v>357</v>
      </c>
      <c r="M12" s="123"/>
      <c r="N12" s="120" t="str">
        <v>MD-4.3</v>
      </c>
    </row>
    <row r="13" spans="2:14" x14ac:dyDescent="0.25">
      <c r="B13" s="285" t="s">
        <v>358</v>
      </c>
      <c r="C13" s="120">
        <v>3</v>
      </c>
      <c r="D13" s="150" t="s">
        <v>330</v>
      </c>
      <c r="E13" s="134" t="s">
        <v>235</v>
      </c>
      <c r="M13" s="123"/>
      <c r="N13" s="120" t="str">
        <v>MC-4.4</v>
      </c>
    </row>
    <row r="14" spans="2:14" x14ac:dyDescent="0.25">
      <c r="B14" s="285" t="s">
        <v>359</v>
      </c>
      <c r="C14" s="120">
        <v>4</v>
      </c>
      <c r="D14" s="150" t="s">
        <v>330</v>
      </c>
      <c r="E14" s="134" t="s">
        <v>343</v>
      </c>
      <c r="M14" s="123"/>
      <c r="N14" s="120" t="str">
        <v>MC50-4.4</v>
      </c>
    </row>
    <row r="15" spans="2:14" x14ac:dyDescent="0.25">
      <c r="B15" s="285" t="s">
        <v>360</v>
      </c>
      <c r="C15" s="120">
        <v>6</v>
      </c>
      <c r="D15" s="150" t="s">
        <v>330</v>
      </c>
      <c r="E15" s="134" t="s">
        <v>237</v>
      </c>
      <c r="M15" s="123"/>
      <c r="N15" s="120" t="str">
        <v>MC65-4.4</v>
      </c>
    </row>
    <row r="16" spans="2:14" x14ac:dyDescent="0.25">
      <c r="B16" s="285" t="s">
        <v>361</v>
      </c>
      <c r="C16" s="120">
        <v>4</v>
      </c>
      <c r="D16" s="150" t="s">
        <v>330</v>
      </c>
      <c r="E16" s="134" t="s">
        <v>235</v>
      </c>
      <c r="M16" s="123"/>
      <c r="N16" s="120" t="str">
        <v>MC75-4.4</v>
      </c>
    </row>
    <row r="17" spans="2:14" x14ac:dyDescent="0.25">
      <c r="B17" s="285" t="s">
        <v>362</v>
      </c>
      <c r="C17" s="120">
        <v>5</v>
      </c>
      <c r="D17" s="150" t="s">
        <v>330</v>
      </c>
      <c r="E17" s="134" t="s">
        <v>343</v>
      </c>
      <c r="M17" s="123"/>
      <c r="N17" s="120" t="str">
        <v>MC90-4.4</v>
      </c>
    </row>
    <row r="18" spans="2:14" x14ac:dyDescent="0.25">
      <c r="B18" s="285" t="s">
        <v>363</v>
      </c>
      <c r="C18" s="120">
        <v>7</v>
      </c>
      <c r="D18" s="150" t="s">
        <v>330</v>
      </c>
      <c r="E18" s="134" t="s">
        <v>237</v>
      </c>
      <c r="G18" s="273" t="s">
        <v>364</v>
      </c>
      <c r="M18" s="123"/>
      <c r="N18" s="120" t="str">
        <v>MD1-4.5.1</v>
      </c>
    </row>
    <row r="19" spans="2:14" x14ac:dyDescent="0.25">
      <c r="B19" s="285" t="s">
        <v>365</v>
      </c>
      <c r="C19" s="120">
        <v>7</v>
      </c>
      <c r="D19" s="288" t="s">
        <v>329</v>
      </c>
      <c r="E19" s="289" t="s">
        <v>366</v>
      </c>
      <c r="M19" s="123"/>
      <c r="N19" s="120" t="str">
        <v>MD2-4.5.2</v>
      </c>
    </row>
    <row r="20" spans="2:14" x14ac:dyDescent="0.25">
      <c r="B20" s="285" t="s">
        <v>367</v>
      </c>
      <c r="C20" s="120">
        <v>5</v>
      </c>
      <c r="D20" s="288" t="s">
        <v>329</v>
      </c>
      <c r="E20" s="289" t="s">
        <v>366</v>
      </c>
      <c r="M20" s="123"/>
      <c r="N20" s="120" t="str">
        <v>MD3-4.5.2</v>
      </c>
    </row>
    <row r="21" spans="2:14" x14ac:dyDescent="0.25">
      <c r="B21" s="285" t="s">
        <v>368</v>
      </c>
      <c r="C21" s="120">
        <v>4</v>
      </c>
      <c r="D21" s="288" t="s">
        <v>329</v>
      </c>
      <c r="E21" s="289" t="s">
        <v>369</v>
      </c>
      <c r="M21" s="123"/>
      <c r="N21" s="120" t="str">
        <v>AV1-4.6.1</v>
      </c>
    </row>
    <row r="22" spans="2:14" x14ac:dyDescent="0.25">
      <c r="B22" s="285" t="s">
        <v>370</v>
      </c>
      <c r="C22" s="120">
        <v>4</v>
      </c>
      <c r="D22" s="288" t="s">
        <v>329</v>
      </c>
      <c r="E22" s="289" t="s">
        <v>369</v>
      </c>
      <c r="M22" s="123"/>
      <c r="N22" s="120" t="str">
        <v>AV2-4.6.2</v>
      </c>
    </row>
    <row r="23" spans="2:14" x14ac:dyDescent="0.25">
      <c r="B23" s="285" t="s">
        <v>371</v>
      </c>
      <c r="C23" s="120">
        <v>5</v>
      </c>
      <c r="D23" s="288" t="s">
        <v>329</v>
      </c>
      <c r="E23" s="289" t="s">
        <v>369</v>
      </c>
      <c r="M23" s="123"/>
      <c r="N23" s="120" t="str">
        <v>Ad40-4.8</v>
      </c>
    </row>
    <row r="24" spans="2:14" x14ac:dyDescent="0.25">
      <c r="B24" s="285" t="s">
        <v>372</v>
      </c>
      <c r="C24" s="120">
        <v>24</v>
      </c>
      <c r="D24" s="288" t="s">
        <v>329</v>
      </c>
      <c r="E24" s="289" t="s">
        <v>373</v>
      </c>
      <c r="G24" s="290" t="s">
        <v>374</v>
      </c>
      <c r="K24">
        <f>4+4+4+5+7</f>
        <v>24</v>
      </c>
      <c r="M24" s="123"/>
      <c r="N24" s="120" t="str">
        <v>Ad50-4.8</v>
      </c>
    </row>
    <row r="25" spans="2:14" x14ac:dyDescent="0.25">
      <c r="B25" s="285" t="s">
        <v>341</v>
      </c>
      <c r="C25" s="120">
        <v>4.5999999999999996</v>
      </c>
      <c r="D25" s="291" t="s">
        <v>331</v>
      </c>
      <c r="E25" s="289" t="s">
        <v>375</v>
      </c>
      <c r="M25" s="123"/>
      <c r="N25" s="120" t="str">
        <v>Ad65-4.8</v>
      </c>
    </row>
    <row r="26" spans="2:14" x14ac:dyDescent="0.25">
      <c r="B26" s="285" t="s">
        <v>345</v>
      </c>
      <c r="C26" s="120">
        <v>7</v>
      </c>
      <c r="D26" s="291" t="s">
        <v>331</v>
      </c>
      <c r="E26" s="289" t="s">
        <v>376</v>
      </c>
      <c r="M26" s="123"/>
      <c r="N26" s="120" t="str">
        <v>Ad75-4.8</v>
      </c>
    </row>
    <row r="27" spans="2:14" x14ac:dyDescent="0.25">
      <c r="B27" s="285" t="s">
        <v>355</v>
      </c>
      <c r="C27" s="120">
        <v>25.4</v>
      </c>
      <c r="D27" s="291" t="s">
        <v>331</v>
      </c>
      <c r="E27" s="289" t="s">
        <v>373</v>
      </c>
      <c r="G27" s="290" t="s">
        <v>377</v>
      </c>
      <c r="K27" s="119">
        <f>4*4.6+7</f>
        <v>25.4</v>
      </c>
      <c r="M27" s="123"/>
      <c r="N27" s="120" t="str">
        <v>Ad90-4.8</v>
      </c>
    </row>
    <row r="28" spans="2:14" x14ac:dyDescent="0.25">
      <c r="M28" s="123"/>
      <c r="N28" s="120" t="str">
        <v>AE1-4.9.1</v>
      </c>
    </row>
    <row r="29" spans="2:14" x14ac:dyDescent="0.25">
      <c r="M29" s="123"/>
      <c r="N29" s="120" t="str">
        <v>AE2-4.9.1</v>
      </c>
    </row>
    <row r="30" spans="2:14" x14ac:dyDescent="0.25">
      <c r="M30" s="123"/>
      <c r="N30" s="120" t="str">
        <v>AE3-4.9.1</v>
      </c>
    </row>
    <row r="31" spans="2:14" x14ac:dyDescent="0.25">
      <c r="M31" s="123"/>
      <c r="N31" s="120" t="str">
        <v>AE4-4.9.2</v>
      </c>
    </row>
    <row r="32" spans="2:14" x14ac:dyDescent="0.25">
      <c r="M32" s="123"/>
      <c r="N32" s="120" t="str">
        <v>AE5-4.9.3</v>
      </c>
    </row>
    <row r="33" spans="13:14" x14ac:dyDescent="0.25">
      <c r="M33" s="123"/>
      <c r="N33" s="120" t="str">
        <v>AD-4.10</v>
      </c>
    </row>
    <row r="34" spans="13:14" x14ac:dyDescent="0.25">
      <c r="M34" s="123"/>
      <c r="N34" s="120" t="str">
        <v>MDSL-4.12</v>
      </c>
    </row>
    <row r="35" spans="13:14" x14ac:dyDescent="0.25">
      <c r="M35" s="123"/>
      <c r="N35" s="120" t="str">
        <v>VE-4.13</v>
      </c>
    </row>
    <row r="36" spans="13:14" x14ac:dyDescent="0.25">
      <c r="M36" s="123"/>
      <c r="N36" s="120" t="str">
        <v>VET-4.13</v>
      </c>
    </row>
    <row r="37" spans="13:14" x14ac:dyDescent="0.25">
      <c r="M37" s="123"/>
      <c r="N37" s="120" t="str">
        <v>PFT-4.14</v>
      </c>
    </row>
    <row r="38" spans="13:14" x14ac:dyDescent="0.25">
      <c r="M38" s="123"/>
      <c r="N38" s="120" t="str">
        <v>CIR-4.15</v>
      </c>
    </row>
    <row r="39" spans="13:14" x14ac:dyDescent="0.25">
      <c r="M39" s="123"/>
      <c r="N39" s="120" t="str">
        <v>CMM-4.16</v>
      </c>
    </row>
    <row r="40" spans="13:14" x14ac:dyDescent="0.25">
      <c r="M40" s="123"/>
      <c r="N40" s="120" t="str">
        <v>FREQ</v>
      </c>
    </row>
    <row r="41" spans="13:14" x14ac:dyDescent="0.25">
      <c r="M41" s="123"/>
      <c r="N41" s="120" t="str">
        <v>FDES</v>
      </c>
    </row>
    <row r="42" spans="13:14" x14ac:dyDescent="0.25">
      <c r="M42" s="123"/>
      <c r="N42" s="120" t="str">
        <v>FIMP</v>
      </c>
    </row>
    <row r="43" spans="13:14" x14ac:dyDescent="0.25">
      <c r="M43" s="123"/>
      <c r="N43" s="120" t="str">
        <v>FTEST</v>
      </c>
    </row>
    <row r="44" spans="13:14" x14ac:dyDescent="0.25">
      <c r="M44" s="123"/>
      <c r="N44" s="120" t="str">
        <v>FHOM</v>
      </c>
    </row>
    <row r="45" spans="13:14" x14ac:dyDescent="0.25">
      <c r="M45" s="123"/>
      <c r="N45" s="120" t="str">
        <v>FIMPL</v>
      </c>
    </row>
    <row r="46" spans="13:14" x14ac:dyDescent="0.25">
      <c r="M46" s="123"/>
      <c r="N46" s="120" t="str">
        <v>SA</v>
      </c>
    </row>
  </sheetData>
  <sheetProtection algorithmName="SHA-512" hashValue="nv4kmKHnyo23wH0dhTM7/oneMADnZCM+k4/nfzKFwtCbxU+DnW0tv3dY7QJ/peN2yQ7XA+7DecqnLrtm2u/ZxQ==" saltValue="N/9Cdl5/KEdPVtkOrOq8cg==" spinCount="100000" sheet="1" objects="1" scenarios="1"/>
  <pageMargins left="0.511811024" right="0.511811024" top="0.78740157499999996" bottom="0.78740157499999996" header="0.31496062000000002" footer="0.31496062000000002"/>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I31"/>
  <sheetViews>
    <sheetView showGridLines="0" showRowColHeaders="0" workbookViewId="0">
      <selection sqref="A1:E1"/>
    </sheetView>
  </sheetViews>
  <sheetFormatPr defaultColWidth="14.42578125" defaultRowHeight="15" customHeight="1" x14ac:dyDescent="0.25"/>
  <cols>
    <col min="1" max="1" width="16.7109375" customWidth="1"/>
    <col min="2" max="2" width="59" customWidth="1"/>
    <col min="3" max="3" width="5.28515625" customWidth="1"/>
    <col min="4" max="4" width="5.42578125" customWidth="1"/>
    <col min="5" max="5" width="10.42578125" customWidth="1"/>
    <col min="6" max="6" width="9.7109375" customWidth="1"/>
    <col min="7" max="7" width="17.42578125" customWidth="1"/>
    <col min="8" max="8" width="16.7109375" hidden="1" customWidth="1"/>
    <col min="9" max="9" width="10.28515625" customWidth="1"/>
    <col min="10" max="10" width="13.28515625" customWidth="1"/>
    <col min="11" max="11" width="135.42578125" customWidth="1"/>
    <col min="12" max="12" width="12.42578125" customWidth="1"/>
    <col min="13" max="13" width="12.28515625" customWidth="1"/>
    <col min="14" max="14" width="9.28515625" customWidth="1"/>
    <col min="15" max="26" width="8.7109375" customWidth="1"/>
  </cols>
  <sheetData>
    <row r="1" spans="1:9" ht="23.25" customHeight="1" x14ac:dyDescent="0.25">
      <c r="A1" s="393" t="s">
        <v>378</v>
      </c>
      <c r="B1" s="304"/>
      <c r="C1" s="304"/>
      <c r="D1" s="304"/>
      <c r="E1" s="304"/>
      <c r="F1" s="101"/>
      <c r="G1" s="101"/>
      <c r="H1" s="15"/>
      <c r="I1" s="102"/>
    </row>
    <row r="2" spans="1:9" ht="32.25" customHeight="1" x14ac:dyDescent="0.25">
      <c r="A2" s="16" t="s">
        <v>379</v>
      </c>
      <c r="B2" s="16" t="s">
        <v>120</v>
      </c>
      <c r="C2" s="17" t="s">
        <v>36</v>
      </c>
      <c r="D2" s="18" t="s">
        <v>380</v>
      </c>
      <c r="E2" s="17" t="s">
        <v>27</v>
      </c>
      <c r="F2" s="17" t="s">
        <v>381</v>
      </c>
      <c r="G2" s="17" t="s">
        <v>382</v>
      </c>
      <c r="H2" s="19"/>
      <c r="I2" s="20" t="s">
        <v>82</v>
      </c>
    </row>
    <row r="3" spans="1:9" ht="12.75" customHeight="1" x14ac:dyDescent="0.25">
      <c r="A3" s="21"/>
      <c r="B3" s="22" t="str">
        <f>IF(A3="","",IF(Resumo!$D$8="CAST",VLOOKUP(A3,SISP_Deflatores_e_INMs!B$27:D$35,2,FALSE),VLOOKUP(A3,SISP_Deflatores_e_INMs!B$27:D$35,2,FALSE)))</f>
        <v/>
      </c>
      <c r="C3" s="23" t="str">
        <f>IF(A3="","",IF(Resumo!$D$8="CAST",VLOOKUP(A3,SISP_Deflatores_e_INMs!B$27:D$35,3,FALSE),VLOOKUP(A3,SISP_Deflatores_e_INMs!B$27:D$35,3,FALSE)))</f>
        <v/>
      </c>
      <c r="D3" s="24">
        <v>0</v>
      </c>
      <c r="E3" s="23" t="str">
        <f t="shared" ref="E3:E15" si="0">IF(C3="","",D3*C3)</f>
        <v/>
      </c>
      <c r="F3" s="25" t="str">
        <f>IF(OR(A3="",Resumo!$D$8="CTIS"),"",VLOOKUP(A3,SISP_Deflatores_e_INMs!B$27:D$35,3,FALSE))</f>
        <v/>
      </c>
      <c r="G3" s="26"/>
      <c r="H3" s="27"/>
      <c r="I3" s="28"/>
    </row>
    <row r="4" spans="1:9" ht="12.75" customHeight="1" x14ac:dyDescent="0.25">
      <c r="A4" s="21"/>
      <c r="B4" s="22" t="str">
        <f>IF(A4="","",IF(Resumo!$D$8="CAST",VLOOKUP(A4,SISP_Deflatores_e_INMs!B$27:D$35,2,FALSE),VLOOKUP(A4,SISP_Deflatores_e_INMs!B$27:D$35,2,FALSE)))</f>
        <v/>
      </c>
      <c r="C4" s="23" t="str">
        <f>IF(A4="","",IF(Resumo!$D$8="CAST",VLOOKUP(A4,SISP_Deflatores_e_INMs!B$27:D$35,3,FALSE),VLOOKUP(A4,SISP_Deflatores_e_INMs!B$27:D$35,3,FALSE)))</f>
        <v/>
      </c>
      <c r="D4" s="24">
        <v>0</v>
      </c>
      <c r="E4" s="23" t="str">
        <f t="shared" si="0"/>
        <v/>
      </c>
      <c r="F4" s="25" t="str">
        <f>IF(OR(A4="",Resumo!$D$8="CTIS"),"",VLOOKUP(A4,SISP_Deflatores_e_INMs!B$27:D$35,3,FALSE))</f>
        <v/>
      </c>
      <c r="G4" s="26"/>
      <c r="H4" s="27"/>
      <c r="I4" s="28"/>
    </row>
    <row r="5" spans="1:9" ht="12.75" customHeight="1" x14ac:dyDescent="0.25">
      <c r="A5" s="21"/>
      <c r="B5" s="22" t="str">
        <f>IF(A5="","",IF(Resumo!$D$8="CAST",VLOOKUP(A5,SISP_Deflatores_e_INMs!B$27:D$35,2,FALSE),VLOOKUP(A5,SISP_Deflatores_e_INMs!B$27:D$35,2,FALSE)))</f>
        <v/>
      </c>
      <c r="C5" s="23" t="str">
        <f>IF(A5="","",IF(Resumo!$D$8="CAST",VLOOKUP(A5,SISP_Deflatores_e_INMs!B$27:D$35,3,FALSE),VLOOKUP(A5,SISP_Deflatores_e_INMs!B$27:D$35,3,FALSE)))</f>
        <v/>
      </c>
      <c r="D5" s="24">
        <v>0</v>
      </c>
      <c r="E5" s="23" t="str">
        <f t="shared" si="0"/>
        <v/>
      </c>
      <c r="F5" s="25" t="str">
        <f>IF(OR(A5="",Resumo!$D$8="CTIS"),"",VLOOKUP(A5,SISP_Deflatores_e_INMs!B$27:D$35,3,FALSE))</f>
        <v/>
      </c>
      <c r="G5" s="26"/>
      <c r="H5" s="27"/>
      <c r="I5" s="28"/>
    </row>
    <row r="6" spans="1:9" ht="12.75" customHeight="1" x14ac:dyDescent="0.25">
      <c r="A6" s="21"/>
      <c r="B6" s="22" t="str">
        <f>IF(A6="","",IF(Resumo!$D$8="CAST",VLOOKUP(A6,SISP_Deflatores_e_INMs!B$27:D$35,2,FALSE),VLOOKUP(A6,SISP_Deflatores_e_INMs!B$27:D$35,2,FALSE)))</f>
        <v/>
      </c>
      <c r="C6" s="23" t="str">
        <f>IF(A6="","",IF(Resumo!$D$8="CAST",VLOOKUP(A6,SISP_Deflatores_e_INMs!B$27:D$35,3,FALSE),VLOOKUP(A6,SISP_Deflatores_e_INMs!B$27:D$35,3,FALSE)))</f>
        <v/>
      </c>
      <c r="D6" s="24">
        <v>0</v>
      </c>
      <c r="E6" s="23" t="str">
        <f t="shared" si="0"/>
        <v/>
      </c>
      <c r="F6" s="25" t="str">
        <f>IF(OR(A6="",Resumo!$D$8="CTIS"),"",VLOOKUP(A6,SISP_Deflatores_e_INMs!B$27:D$35,3,FALSE))</f>
        <v/>
      </c>
      <c r="G6" s="26"/>
      <c r="H6" s="27"/>
      <c r="I6" s="28"/>
    </row>
    <row r="7" spans="1:9" ht="12.75" customHeight="1" x14ac:dyDescent="0.25">
      <c r="A7" s="21"/>
      <c r="B7" s="22" t="str">
        <f>IF(A7="","",IF(Resumo!$D$8="CAST",VLOOKUP(A7,SISP_Deflatores_e_INMs!B$27:D$35,2,FALSE),VLOOKUP(A7,SISP_Deflatores_e_INMs!B$27:D$35,2,FALSE)))</f>
        <v/>
      </c>
      <c r="C7" s="23" t="str">
        <f>IF(A7="","",IF(Resumo!$D$8="CAST",VLOOKUP(A7,SISP_Deflatores_e_INMs!B$27:D$35,3,FALSE),VLOOKUP(A7,SISP_Deflatores_e_INMs!B$27:D$35,3,FALSE)))</f>
        <v/>
      </c>
      <c r="D7" s="24">
        <v>0</v>
      </c>
      <c r="E7" s="23" t="str">
        <f t="shared" si="0"/>
        <v/>
      </c>
      <c r="F7" s="25" t="str">
        <f>IF(OR(A7="",Resumo!$D$8="CTIS"),"",VLOOKUP(A7,SISP_Deflatores_e_INMs!B$27:D$35,3,FALSE))</f>
        <v/>
      </c>
      <c r="G7" s="26"/>
      <c r="H7" s="27"/>
      <c r="I7" s="28"/>
    </row>
    <row r="8" spans="1:9" ht="12.75" customHeight="1" x14ac:dyDescent="0.25">
      <c r="A8" s="21"/>
      <c r="B8" s="22" t="str">
        <f>IF(A8="","",IF(Resumo!$D$8="CAST",VLOOKUP(A8,SISP_Deflatores_e_INMs!B$27:D$35,2,FALSE),VLOOKUP(A8,SISP_Deflatores_e_INMs!B$27:D$35,2,FALSE)))</f>
        <v/>
      </c>
      <c r="C8" s="23" t="str">
        <f>IF(A8="","",IF(Resumo!$D$8="CAST",VLOOKUP(A8,SISP_Deflatores_e_INMs!B$27:D$35,3,FALSE),VLOOKUP(A8,SISP_Deflatores_e_INMs!B$27:D$35,3,FALSE)))</f>
        <v/>
      </c>
      <c r="D8" s="24">
        <v>0</v>
      </c>
      <c r="E8" s="23" t="str">
        <f t="shared" si="0"/>
        <v/>
      </c>
      <c r="F8" s="25" t="str">
        <f>IF(OR(A8="",Resumo!$D$8="CTIS"),"",VLOOKUP(A8,SISP_Deflatores_e_INMs!B$27:D$35,3,FALSE))</f>
        <v/>
      </c>
      <c r="G8" s="26"/>
      <c r="H8" s="27"/>
      <c r="I8" s="28"/>
    </row>
    <row r="9" spans="1:9" ht="12.75" customHeight="1" x14ac:dyDescent="0.25">
      <c r="A9" s="21"/>
      <c r="B9" s="22" t="str">
        <f>IF(A9="","",IF(Resumo!$D$8="CAST",VLOOKUP(A9,SISP_Deflatores_e_INMs!B$27:D$35,2,FALSE),VLOOKUP(A9,SISP_Deflatores_e_INMs!B$27:D$35,2,FALSE)))</f>
        <v/>
      </c>
      <c r="C9" s="23" t="str">
        <f>IF(A9="","",IF(Resumo!$D$8="CAST",VLOOKUP(A9,SISP_Deflatores_e_INMs!B$27:D$35,3,FALSE),VLOOKUP(A9,SISP_Deflatores_e_INMs!B$27:D$35,3,FALSE)))</f>
        <v/>
      </c>
      <c r="D9" s="24">
        <v>0</v>
      </c>
      <c r="E9" s="23" t="str">
        <f t="shared" si="0"/>
        <v/>
      </c>
      <c r="F9" s="25" t="str">
        <f>IF(OR(A9="",Resumo!$D$8="CTIS"),"",VLOOKUP(A9,SISP_Deflatores_e_INMs!B$27:D$35,3,FALSE))</f>
        <v/>
      </c>
      <c r="G9" s="26"/>
      <c r="H9" s="27"/>
      <c r="I9" s="28"/>
    </row>
    <row r="10" spans="1:9" ht="12.75" customHeight="1" x14ac:dyDescent="0.25">
      <c r="A10" s="21"/>
      <c r="B10" s="22" t="str">
        <f>IF(A10="","",IF(Resumo!$D$8="CAST",VLOOKUP(A10,SISP_Deflatores_e_INMs!B$27:D$35,2,FALSE),VLOOKUP(A10,SISP_Deflatores_e_INMs!B$27:D$35,2,FALSE)))</f>
        <v/>
      </c>
      <c r="C10" s="23" t="str">
        <f>IF(A10="","",IF(Resumo!$D$8="CAST",VLOOKUP(A10,SISP_Deflatores_e_INMs!B$27:D$35,3,FALSE),VLOOKUP(A10,SISP_Deflatores_e_INMs!B$27:D$35,3,FALSE)))</f>
        <v/>
      </c>
      <c r="D10" s="24">
        <v>0</v>
      </c>
      <c r="E10" s="23" t="str">
        <f t="shared" si="0"/>
        <v/>
      </c>
      <c r="F10" s="25" t="str">
        <f>IF(OR(A10="",Resumo!$D$8="CTIS"),"",VLOOKUP(A10,SISP_Deflatores_e_INMs!B$27:D$35,3,FALSE))</f>
        <v/>
      </c>
      <c r="G10" s="26"/>
      <c r="H10" s="27"/>
      <c r="I10" s="28"/>
    </row>
    <row r="11" spans="1:9" ht="12.75" customHeight="1" x14ac:dyDescent="0.25">
      <c r="A11" s="21"/>
      <c r="B11" s="22" t="str">
        <f>IF(A11="","",IF(Resumo!$D$8="CAST",VLOOKUP(A11,SISP_Deflatores_e_INMs!B$27:D$35,2,FALSE),VLOOKUP(A11,SISP_Deflatores_e_INMs!B$27:D$35,2,FALSE)))</f>
        <v/>
      </c>
      <c r="C11" s="23" t="str">
        <f>IF(A11="","",IF(Resumo!$D$8="CAST",VLOOKUP(A11,SISP_Deflatores_e_INMs!B$27:D$35,3,FALSE),VLOOKUP(A11,SISP_Deflatores_e_INMs!B$27:D$35,3,FALSE)))</f>
        <v/>
      </c>
      <c r="D11" s="24">
        <v>0</v>
      </c>
      <c r="E11" s="23" t="str">
        <f t="shared" si="0"/>
        <v/>
      </c>
      <c r="F11" s="25" t="str">
        <f>IF(OR(A11="",Resumo!$D$8="CTIS"),"",VLOOKUP(A11,SISP_Deflatores_e_INMs!B$27:D$35,3,FALSE))</f>
        <v/>
      </c>
      <c r="G11" s="26"/>
      <c r="H11" s="27"/>
      <c r="I11" s="28"/>
    </row>
    <row r="12" spans="1:9" ht="12.75" customHeight="1" x14ac:dyDescent="0.25">
      <c r="A12" s="21"/>
      <c r="B12" s="22" t="str">
        <f>IF(A12="","",IF(Resumo!$D$8="CAST",VLOOKUP(A12,SISP_Deflatores_e_INMs!B$27:D$35,2,FALSE),VLOOKUP(A12,SISP_Deflatores_e_INMs!B$27:D$35,2,FALSE)))</f>
        <v/>
      </c>
      <c r="C12" s="23" t="str">
        <f>IF(A12="","",IF(Resumo!$D$8="CAST",VLOOKUP(A12,SISP_Deflatores_e_INMs!B$27:D$35,3,FALSE),VLOOKUP(A12,SISP_Deflatores_e_INMs!B$27:D$35,3,FALSE)))</f>
        <v/>
      </c>
      <c r="D12" s="24">
        <v>0</v>
      </c>
      <c r="E12" s="23" t="str">
        <f t="shared" si="0"/>
        <v/>
      </c>
      <c r="F12" s="25" t="str">
        <f>IF(OR(A12="",Resumo!$D$8="CTIS"),"",VLOOKUP(A12,SISP_Deflatores_e_INMs!B$27:D$35,3,FALSE))</f>
        <v/>
      </c>
      <c r="G12" s="26"/>
      <c r="H12" s="27"/>
      <c r="I12" s="28"/>
    </row>
    <row r="13" spans="1:9" ht="12.75" customHeight="1" x14ac:dyDescent="0.25">
      <c r="A13" s="21"/>
      <c r="B13" s="22" t="str">
        <f>IF(A13="","",IF(Resumo!$D$8="CAST",VLOOKUP(A13,SISP_Deflatores_e_INMs!B$27:D$35,2,FALSE),VLOOKUP(A13,SISP_Deflatores_e_INMs!B$27:D$35,2,FALSE)))</f>
        <v/>
      </c>
      <c r="C13" s="23" t="str">
        <f>IF(A13="","",IF(Resumo!$D$8="CAST",VLOOKUP(A13,SISP_Deflatores_e_INMs!B$27:D$35,3,FALSE),VLOOKUP(A13,SISP_Deflatores_e_INMs!B$27:D$35,3,FALSE)))</f>
        <v/>
      </c>
      <c r="D13" s="24">
        <v>0</v>
      </c>
      <c r="E13" s="23" t="str">
        <f t="shared" si="0"/>
        <v/>
      </c>
      <c r="F13" s="25" t="str">
        <f>IF(OR(A13="",Resumo!$D$8="CTIS"),"",VLOOKUP(A13,SISP_Deflatores_e_INMs!B$27:D$35,3,FALSE))</f>
        <v/>
      </c>
      <c r="G13" s="26"/>
      <c r="H13" s="27"/>
      <c r="I13" s="28"/>
    </row>
    <row r="14" spans="1:9" ht="12.75" customHeight="1" x14ac:dyDescent="0.25">
      <c r="A14" s="21"/>
      <c r="B14" s="22" t="str">
        <f>IF(A14="","",IF(Resumo!$D$8="CAST",VLOOKUP(A14,SISP_Deflatores_e_INMs!B$27:D$35,2,FALSE),VLOOKUP(A14,SISP_Deflatores_e_INMs!B$27:D$35,2,FALSE)))</f>
        <v/>
      </c>
      <c r="C14" s="23" t="str">
        <f>IF(A14="","",IF(Resumo!$D$8="CAST",VLOOKUP(A14,SISP_Deflatores_e_INMs!B$27:D$35,3,FALSE),VLOOKUP(A14,SISP_Deflatores_e_INMs!B$27:D$35,3,FALSE)))</f>
        <v/>
      </c>
      <c r="D14" s="24">
        <v>0</v>
      </c>
      <c r="E14" s="23" t="str">
        <f t="shared" si="0"/>
        <v/>
      </c>
      <c r="F14" s="25" t="str">
        <f>IF(OR(A14="",Resumo!$D$8="CTIS"),"",VLOOKUP(A14,SISP_Deflatores_e_INMs!B$27:D$35,3,FALSE))</f>
        <v/>
      </c>
      <c r="G14" s="26"/>
      <c r="H14" s="27"/>
      <c r="I14" s="28"/>
    </row>
    <row r="15" spans="1:9" ht="12.75" customHeight="1" x14ac:dyDescent="0.25">
      <c r="A15" s="21"/>
      <c r="B15" s="22" t="str">
        <f>IF(A15="","",IF(Resumo!$D$8="CAST",VLOOKUP(A15,SISP_Deflatores_e_INMs!B$27:D$35,2,FALSE),VLOOKUP(A15,SISP_Deflatores_e_INMs!B$27:D$35,2,FALSE)))</f>
        <v/>
      </c>
      <c r="C15" s="23" t="str">
        <f>IF(A15="","",IF(Resumo!$D$8="CAST",VLOOKUP(A15,SISP_Deflatores_e_INMs!B$27:D$35,3,FALSE),VLOOKUP(A15,SISP_Deflatores_e_INMs!B$27:D$35,3,FALSE)))</f>
        <v/>
      </c>
      <c r="D15" s="24">
        <v>0</v>
      </c>
      <c r="E15" s="23" t="str">
        <f t="shared" si="0"/>
        <v/>
      </c>
      <c r="F15" s="25" t="str">
        <f>IF(OR(A15="",Resumo!$D$8="CTIS"),"",VLOOKUP(A15,SISP_Deflatores_e_INMs!B$27:D$35,3,FALSE))</f>
        <v/>
      </c>
      <c r="G15" s="26"/>
      <c r="H15" s="27"/>
      <c r="I15" s="28"/>
    </row>
    <row r="16" spans="1:9" ht="12.75" customHeight="1" x14ac:dyDescent="0.3">
      <c r="A16" s="104"/>
      <c r="B16" s="105"/>
      <c r="C16" s="106"/>
      <c r="D16" s="29" t="s">
        <v>383</v>
      </c>
      <c r="E16" s="30">
        <f>SUM(E3:E15)</f>
        <v>0</v>
      </c>
      <c r="F16" s="107"/>
      <c r="G16" s="107"/>
      <c r="H16" s="104"/>
      <c r="I16" s="103"/>
    </row>
    <row r="20" spans="2:2" ht="12.75" customHeight="1" x14ac:dyDescent="0.3">
      <c r="B20" s="108">
        <f>Resumo!D30</f>
        <v>0</v>
      </c>
    </row>
    <row r="21" spans="2:2" ht="12.75" customHeight="1" x14ac:dyDescent="0.3">
      <c r="B21" s="109" t="s">
        <v>384</v>
      </c>
    </row>
    <row r="22" spans="2:2" ht="12.75" customHeight="1" x14ac:dyDescent="0.3">
      <c r="B22" s="105"/>
    </row>
    <row r="23" spans="2:2" ht="12.75" customHeight="1" x14ac:dyDescent="0.3">
      <c r="B23" s="105"/>
    </row>
    <row r="24" spans="2:2" ht="12.75" customHeight="1" x14ac:dyDescent="0.3">
      <c r="B24" s="31"/>
    </row>
    <row r="25" spans="2:2" ht="12.75" customHeight="1" x14ac:dyDescent="0.3">
      <c r="B25" s="108">
        <f>Resumo!D31</f>
        <v>0</v>
      </c>
    </row>
    <row r="26" spans="2:2" ht="12.75" customHeight="1" x14ac:dyDescent="0.3">
      <c r="B26" s="109" t="s">
        <v>31</v>
      </c>
    </row>
    <row r="27" spans="2:2" ht="12.75" customHeight="1" x14ac:dyDescent="0.3">
      <c r="B27" s="105"/>
    </row>
    <row r="28" spans="2:2" ht="12.75" customHeight="1" x14ac:dyDescent="0.3">
      <c r="B28" s="105"/>
    </row>
    <row r="29" spans="2:2" ht="12.75" customHeight="1" x14ac:dyDescent="0.3">
      <c r="B29" s="32"/>
    </row>
    <row r="30" spans="2:2" ht="12.75" customHeight="1" x14ac:dyDescent="0.3">
      <c r="B30" s="33" t="s">
        <v>385</v>
      </c>
    </row>
    <row r="31" spans="2:2" ht="12.75" customHeight="1" x14ac:dyDescent="0.3">
      <c r="B31" s="109" t="s">
        <v>386</v>
      </c>
    </row>
  </sheetData>
  <sheetProtection algorithmName="SHA-512" hashValue="uqxMqa7+E5JmH0ZQ9jMxtC6HujsXxir9BNYc3uzHb1E3mW9Pzxz9w5s8wqqxLDkQmXstUvGwchKhqQPZqkOoXw==" saltValue="+6ta0CkrxA4D2Ymxl9MY8w==" spinCount="100000" sheet="1" objects="1" scenarios="1"/>
  <mergeCells count="1">
    <mergeCell ref="A1:E1"/>
  </mergeCells>
  <dataValidations count="2">
    <dataValidation type="list" allowBlank="1" showErrorMessage="1" sqref="I3:I15" xr:uid="{00000000-0002-0000-0200-000000000000}">
      <formula1>"OK,NOK"</formula1>
    </dataValidation>
    <dataValidation type="list" allowBlank="1" showErrorMessage="1" sqref="A3:A15" xr:uid="{00000000-0002-0000-0200-000001000000}">
      <formula1>ListaCTIS</formula1>
    </dataValidation>
  </dataValidations>
  <pageMargins left="0.511811024" right="0.511811024" top="1.0729166666666667" bottom="0.78740157499999996" header="0" footer="0"/>
  <pageSetup paperSize="9" orientation="landscape"/>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B31929F2AF2BE478031FE8D82E8D9FA" ma:contentTypeVersion="11" ma:contentTypeDescription="Criar um novo documento." ma:contentTypeScope="" ma:versionID="9cb0b18ba7e712b19dae81caf6d55145">
  <xsd:schema xmlns:xsd="http://www.w3.org/2001/XMLSchema" xmlns:xs="http://www.w3.org/2001/XMLSchema" xmlns:p="http://schemas.microsoft.com/office/2006/metadata/properties" xmlns:ns2="ebeba993-b001-4d4b-9923-69d0033fcb2f" xmlns:ns3="9a21ef41-8296-44ad-90dd-c58c303ea628" targetNamespace="http://schemas.microsoft.com/office/2006/metadata/properties" ma:root="true" ma:fieldsID="87b418563c3a548a3686704bd0328a38" ns2:_="" ns3:_="">
    <xsd:import namespace="ebeba993-b001-4d4b-9923-69d0033fcb2f"/>
    <xsd:import namespace="9a21ef41-8296-44ad-90dd-c58c303ea62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eba993-b001-4d4b-9923-69d0033fcb2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m" ma:readOnly="false" ma:fieldId="{5cf76f15-5ced-4ddc-b409-7134ff3c332f}" ma:taxonomyMulti="true" ma:sspId="a747c6ad-9843-4590-9892-190fbd1c813a"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a21ef41-8296-44ad-90dd-c58c303ea62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025f1e0-cfcf-4d4c-9833-331578c60416}" ma:internalName="TaxCatchAll" ma:showField="CatchAllData" ma:web="9a21ef41-8296-44ad-90dd-c58c303ea62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9a21ef41-8296-44ad-90dd-c58c303ea628" xsi:nil="true"/>
    <lcf76f155ced4ddcb4097134ff3c332f xmlns="ebeba993-b001-4d4b-9923-69d0033fcb2f">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9A74F60-BEFD-44A1-95B8-2CDC73A5F4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eba993-b001-4d4b-9923-69d0033fcb2f"/>
    <ds:schemaRef ds:uri="9a21ef41-8296-44ad-90dd-c58c303ea6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90AB60-6122-49A5-AB16-270AC92A69C5}">
  <ds:schemaRefs>
    <ds:schemaRef ds:uri="http://schemas.microsoft.com/office/2006/metadata/properties"/>
    <ds:schemaRef ds:uri="http://schemas.microsoft.com/office/infopath/2007/PartnerControls"/>
    <ds:schemaRef ds:uri="9a21ef41-8296-44ad-90dd-c58c303ea628"/>
    <ds:schemaRef ds:uri="ebeba993-b001-4d4b-9923-69d0033fcb2f"/>
  </ds:schemaRefs>
</ds:datastoreItem>
</file>

<file path=customXml/itemProps3.xml><?xml version="1.0" encoding="utf-8"?>
<ds:datastoreItem xmlns:ds="http://schemas.openxmlformats.org/officeDocument/2006/customXml" ds:itemID="{99AED23B-58F7-4735-B08C-D4A053C333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39</vt:i4>
      </vt:variant>
    </vt:vector>
  </HeadingPairs>
  <TitlesOfParts>
    <vt:vector size="48" baseType="lpstr">
      <vt:lpstr>Resumo</vt:lpstr>
      <vt:lpstr>Contagem</vt:lpstr>
      <vt:lpstr>Faturamento</vt:lpstr>
      <vt:lpstr>SISP_Deflatores_e_INMs</vt:lpstr>
      <vt:lpstr>QuadroResumo</vt:lpstr>
      <vt:lpstr>Instruções</vt:lpstr>
      <vt:lpstr>Historico</vt:lpstr>
      <vt:lpstr>Tabelas e Parametros</vt:lpstr>
      <vt:lpstr>Itens Não Mensuráveis</vt:lpstr>
      <vt:lpstr>AF_Descr_AR_TR</vt:lpstr>
      <vt:lpstr>AF_Descr_DT</vt:lpstr>
      <vt:lpstr>AF_QTD_AR_TR</vt:lpstr>
      <vt:lpstr>AF_QTD_DT</vt:lpstr>
      <vt:lpstr>Area</vt:lpstr>
      <vt:lpstr>Area_dados_faturamento</vt:lpstr>
      <vt:lpstr>AreaFaturamentoTotal</vt:lpstr>
      <vt:lpstr>Auto_faseA</vt:lpstr>
      <vt:lpstr>Auto_faseB</vt:lpstr>
      <vt:lpstr>Auto_faseC</vt:lpstr>
      <vt:lpstr>Auto_faseD</vt:lpstr>
      <vt:lpstr>Auto_faseE</vt:lpstr>
      <vt:lpstr>Auto_faseF</vt:lpstr>
      <vt:lpstr>Auto_faseG</vt:lpstr>
      <vt:lpstr>Auto_faseH</vt:lpstr>
      <vt:lpstr>Cont_Audit</vt:lpstr>
      <vt:lpstr>Cont_Fabrica</vt:lpstr>
      <vt:lpstr>Cont_Pareceres</vt:lpstr>
      <vt:lpstr>Descr_AR_TR</vt:lpstr>
      <vt:lpstr>Descr_TD</vt:lpstr>
      <vt:lpstr>Fase1</vt:lpstr>
      <vt:lpstr>Fase2</vt:lpstr>
      <vt:lpstr>Fase3</vt:lpstr>
      <vt:lpstr>Fase4</vt:lpstr>
      <vt:lpstr>Fase5</vt:lpstr>
      <vt:lpstr>Fase6</vt:lpstr>
      <vt:lpstr>Fase7</vt:lpstr>
      <vt:lpstr>Fase8</vt:lpstr>
      <vt:lpstr>ListaCTIS</vt:lpstr>
      <vt:lpstr>Mnemonico</vt:lpstr>
      <vt:lpstr>QTD_AR_TR</vt:lpstr>
      <vt:lpstr>QTD_TD</vt:lpstr>
      <vt:lpstr>SumarioFaturamento</vt:lpstr>
      <vt:lpstr>Tabela_Deflator</vt:lpstr>
      <vt:lpstr>Tabela_INM</vt:lpstr>
      <vt:lpstr>Tabela_Pontuação</vt:lpstr>
      <vt:lpstr>Tabela_Sem_INM</vt:lpstr>
      <vt:lpstr>Tabela_Tipo</vt:lpstr>
      <vt:lpstr>Tipo_de_contagem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Márcio Medeiro Gomes</dc:creator>
  <cp:keywords/>
  <dc:description/>
  <cp:lastModifiedBy>WATSON RODRIGUES BATISTA CIRIACO</cp:lastModifiedBy>
  <cp:revision/>
  <dcterms:created xsi:type="dcterms:W3CDTF">2011-04-06T17:26:48Z</dcterms:created>
  <dcterms:modified xsi:type="dcterms:W3CDTF">2026-05-13T13:07:25Z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0x0101006B31929F2AF2BE478031FE8D82E8D9FA</vt:lpwstr>
  </property>
  <property fmtid="{D5CDD505-2E9C-101B-9397-08002B2CF9AE}" pid="3" name="MediaServiceImageTags">
    <vt:lpwstr/>
  </property>
  <property fmtid="{D5CDD505-2E9C-101B-9397-08002B2CF9AE}" pid="4" name="MSIP_Label_93238bd9-9f00-425d-8266-df6b72991080_Enabled">
    <vt:lpwstr>true</vt:lpwstr>
  </property>
  <property fmtid="{D5CDD505-2E9C-101B-9397-08002B2CF9AE}" pid="5" name="MSIP_Label_93238bd9-9f00-425d-8266-df6b72991080_SetDate">
    <vt:lpwstr>2026-04-24T11:05:17Z</vt:lpwstr>
  </property>
  <property fmtid="{D5CDD505-2E9C-101B-9397-08002B2CF9AE}" pid="6" name="MSIP_Label_93238bd9-9f00-425d-8266-df6b72991080_Method">
    <vt:lpwstr>Standard</vt:lpwstr>
  </property>
  <property fmtid="{D5CDD505-2E9C-101B-9397-08002B2CF9AE}" pid="7" name="MSIP_Label_93238bd9-9f00-425d-8266-df6b72991080_Name">
    <vt:lpwstr>Interna</vt:lpwstr>
  </property>
  <property fmtid="{D5CDD505-2E9C-101B-9397-08002B2CF9AE}" pid="8" name="MSIP_Label_93238bd9-9f00-425d-8266-df6b72991080_SiteId">
    <vt:lpwstr>61585c28-aee6-4741-9fd9-bd0b04b1e51d</vt:lpwstr>
  </property>
  <property fmtid="{D5CDD505-2E9C-101B-9397-08002B2CF9AE}" pid="9" name="MSIP_Label_93238bd9-9f00-425d-8266-df6b72991080_ActionId">
    <vt:lpwstr>6579aa68-824f-47dd-88f7-72608f8210e2</vt:lpwstr>
  </property>
  <property fmtid="{D5CDD505-2E9C-101B-9397-08002B2CF9AE}" pid="10" name="MSIP_Label_93238bd9-9f00-425d-8266-df6b72991080_ContentBits">
    <vt:lpwstr>0</vt:lpwstr>
  </property>
  <property fmtid="{D5CDD505-2E9C-101B-9397-08002B2CF9AE}" pid="11" name="MSIP_Label_93238bd9-9f00-425d-8266-df6b72991080_Tag">
    <vt:lpwstr>10, 3, 0, 1</vt:lpwstr>
  </property>
</Properties>
</file>